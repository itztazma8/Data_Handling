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F0\EXCELCNV\cddc36fd-f028-40b9-9d3f-84f3c48b8e87\"/>
    </mc:Choice>
  </mc:AlternateContent>
  <xr:revisionPtr revIDLastSave="985" documentId="8_{AD2BA6DF-1F17-41C9-9E15-DF03FB469D93}" xr6:coauthVersionLast="47" xr6:coauthVersionMax="47" xr10:uidLastSave="{D7E4A675-FEF9-4818-BF2F-48A872C9B65E}"/>
  <bookViews>
    <workbookView xWindow="-60" yWindow="-60" windowWidth="15480" windowHeight="11640" firstSheet="2" xr2:uid="{19360804-9A9D-42BD-85FD-C32C144BF2A5}"/>
  </bookViews>
  <sheets>
    <sheet name="Cleaned Laptop Dataset" sheetId="1" r:id="rId1"/>
    <sheet name="Laptop Price Analysis" sheetId="2" r:id="rId2"/>
    <sheet name="Ratings Vs Price Analysis" sheetId="3" r:id="rId3"/>
  </sheets>
  <definedNames>
    <definedName name="_xlnm._FilterDatabase" localSheetId="0" hidden="1">'Cleaned Laptop Dataset'!$F$1:$F$1681</definedName>
  </definedNames>
  <calcPr calcId="191028"/>
  <pivotCaches>
    <pivotCache cacheId="70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64" i="1" l="1"/>
  <c r="R1414" i="1"/>
  <c r="R1407" i="1"/>
  <c r="R1331" i="1"/>
  <c r="R1075" i="1"/>
  <c r="R1049" i="1"/>
  <c r="R874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2" i="1"/>
  <c r="R2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28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8" i="1"/>
  <c r="R1409" i="1"/>
  <c r="R1410" i="1"/>
  <c r="R1411" i="1"/>
  <c r="R1412" i="1"/>
  <c r="R1413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291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838" i="1"/>
  <c r="R837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445" i="1"/>
  <c r="R1681" i="1"/>
  <c r="R1680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64" i="1"/>
  <c r="R66" i="1"/>
  <c r="R67" i="1"/>
  <c r="R68" i="1"/>
  <c r="R69" i="1"/>
  <c r="R70" i="1"/>
  <c r="R73" i="1"/>
  <c r="R79" i="1"/>
  <c r="R80" i="1"/>
  <c r="R83" i="1"/>
  <c r="R84" i="1"/>
  <c r="R85" i="1"/>
  <c r="R86" i="1"/>
  <c r="R87" i="1"/>
  <c r="R88" i="1"/>
  <c r="R89" i="1"/>
  <c r="R90" i="1"/>
  <c r="R81" i="1"/>
  <c r="R95" i="1"/>
  <c r="R96" i="1"/>
  <c r="R98" i="1"/>
  <c r="R99" i="1"/>
  <c r="R100" i="1"/>
  <c r="R101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81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183" i="1"/>
  <c r="R184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60" i="1"/>
  <c r="R234" i="1"/>
  <c r="R238" i="1"/>
  <c r="R239" i="1"/>
  <c r="R240" i="1"/>
  <c r="R241" i="1"/>
  <c r="R242" i="1"/>
  <c r="R243" i="1"/>
  <c r="R244" i="1"/>
  <c r="R245" i="1"/>
  <c r="R236" i="1"/>
  <c r="R237" i="1"/>
  <c r="R251" i="1"/>
  <c r="R250" i="1"/>
  <c r="R249" i="1"/>
  <c r="R248" i="1"/>
  <c r="R247" i="1"/>
  <c r="R246" i="1"/>
  <c r="R253" i="1"/>
  <c r="R254" i="1"/>
  <c r="R255" i="1"/>
  <c r="R256" i="1"/>
  <c r="R257" i="1"/>
  <c r="R259" i="1"/>
  <c r="R260" i="1"/>
  <c r="R261" i="1"/>
  <c r="R263" i="1"/>
  <c r="R264" i="1"/>
  <c r="R265" i="1"/>
  <c r="R266" i="1"/>
  <c r="R269" i="1"/>
  <c r="R270" i="1"/>
  <c r="R271" i="1"/>
  <c r="R272" i="1"/>
  <c r="R273" i="1"/>
  <c r="R274" i="1"/>
  <c r="R276" i="1"/>
  <c r="R277" i="1"/>
  <c r="R278" i="1"/>
  <c r="R279" i="1"/>
  <c r="R280" i="1"/>
  <c r="R281" i="1"/>
  <c r="R275" i="1"/>
  <c r="R282" i="1"/>
  <c r="R283" i="1"/>
  <c r="R285" i="1"/>
  <c r="R286" i="1"/>
  <c r="R287" i="1"/>
  <c r="R288" i="1"/>
  <c r="R291" i="1"/>
  <c r="R292" i="1"/>
  <c r="R293" i="1"/>
  <c r="R295" i="1"/>
  <c r="R296" i="1"/>
  <c r="R298" i="1"/>
  <c r="R299" i="1"/>
  <c r="R301" i="1"/>
  <c r="R302" i="1"/>
  <c r="R303" i="1"/>
  <c r="R304" i="1"/>
  <c r="R305" i="1"/>
  <c r="R306" i="1"/>
  <c r="R308" i="1"/>
  <c r="R309" i="1"/>
  <c r="R310" i="1"/>
  <c r="R312" i="1"/>
  <c r="R313" i="1"/>
  <c r="R314" i="1"/>
  <c r="R315" i="1"/>
  <c r="R316" i="1"/>
  <c r="R317" i="1"/>
  <c r="R318" i="1"/>
  <c r="R319" i="1"/>
  <c r="R320" i="1"/>
  <c r="R311" i="1"/>
  <c r="R322" i="1"/>
  <c r="R324" i="1"/>
  <c r="R325" i="1"/>
  <c r="R326" i="1"/>
  <c r="R327" i="1"/>
  <c r="R331" i="1"/>
  <c r="R332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9" i="1"/>
  <c r="R350" i="1"/>
  <c r="R351" i="1"/>
  <c r="R352" i="1"/>
  <c r="R348" i="1"/>
  <c r="R358" i="1"/>
  <c r="R357" i="1"/>
  <c r="R356" i="1"/>
  <c r="R355" i="1"/>
  <c r="R354" i="1"/>
  <c r="R353" i="1"/>
  <c r="R360" i="1"/>
  <c r="R359" i="1"/>
  <c r="R363" i="1"/>
  <c r="R362" i="1"/>
  <c r="R365" i="1"/>
  <c r="R366" i="1"/>
  <c r="R367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90" i="1"/>
  <c r="R391" i="1"/>
  <c r="R392" i="1"/>
  <c r="R393" i="1"/>
  <c r="R395" i="1"/>
  <c r="R398" i="1"/>
  <c r="R399" i="1"/>
  <c r="R401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2" i="1"/>
  <c r="R424" i="1"/>
  <c r="R427" i="1"/>
  <c r="R428" i="1"/>
  <c r="R429" i="1"/>
  <c r="R430" i="1"/>
  <c r="R431" i="1"/>
  <c r="R432" i="1"/>
  <c r="R434" i="1"/>
  <c r="R435" i="1"/>
  <c r="R436" i="1"/>
  <c r="R439" i="1"/>
  <c r="R438" i="1"/>
  <c r="R443" i="1"/>
  <c r="R444" i="1"/>
  <c r="R442" i="1"/>
  <c r="R441" i="1"/>
  <c r="R5" i="1"/>
  <c r="R65" i="1"/>
  <c r="R64" i="1"/>
  <c r="R55" i="1"/>
  <c r="R56" i="1"/>
  <c r="R57" i="1"/>
  <c r="R58" i="1"/>
  <c r="R59" i="1"/>
  <c r="R60" i="1"/>
  <c r="R61" i="1"/>
  <c r="R62" i="1"/>
  <c r="R63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32" i="1"/>
  <c r="R31" i="1"/>
  <c r="R30" i="1"/>
  <c r="R29" i="1"/>
  <c r="R24" i="1"/>
  <c r="R25" i="1"/>
  <c r="R26" i="1"/>
  <c r="R27" i="1"/>
  <c r="R28" i="1"/>
  <c r="R23" i="1"/>
  <c r="R22" i="1"/>
  <c r="R21" i="1"/>
  <c r="R19" i="1"/>
  <c r="R18" i="1"/>
  <c r="R14" i="1"/>
  <c r="R15" i="1"/>
  <c r="R16" i="1"/>
  <c r="R17" i="1"/>
  <c r="R13" i="1"/>
  <c r="R12" i="1"/>
  <c r="R11" i="1"/>
  <c r="R9" i="1"/>
  <c r="R6" i="1"/>
  <c r="R4" i="1"/>
  <c r="R3" i="1"/>
  <c r="R7" i="1"/>
  <c r="R8" i="1"/>
  <c r="R10" i="1"/>
  <c r="R182" i="1"/>
  <c r="R75" i="1"/>
  <c r="R74" i="1"/>
  <c r="R1662" i="1"/>
  <c r="R1663" i="1"/>
  <c r="R1661" i="1"/>
  <c r="R1657" i="1"/>
  <c r="R1658" i="1"/>
  <c r="R1659" i="1"/>
  <c r="R1660" i="1"/>
  <c r="R165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576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604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518" i="1"/>
  <c r="R1519" i="1"/>
  <c r="R1520" i="1"/>
  <c r="R1521" i="1"/>
  <c r="R1522" i="1"/>
  <c r="R1523" i="1"/>
  <c r="R1524" i="1"/>
  <c r="R1525" i="1"/>
  <c r="R1526" i="1"/>
  <c r="R1527" i="1"/>
  <c r="R1651" i="1"/>
  <c r="R1652" i="1"/>
  <c r="R1653" i="1"/>
  <c r="R1654" i="1"/>
  <c r="R1655" i="1"/>
  <c r="R531" i="1"/>
  <c r="R440" i="1"/>
  <c r="R437" i="1"/>
  <c r="R433" i="1"/>
  <c r="R426" i="1"/>
  <c r="R425" i="1"/>
  <c r="R423" i="1"/>
  <c r="R421" i="1"/>
  <c r="R404" i="1"/>
  <c r="R403" i="1"/>
  <c r="R402" i="1"/>
  <c r="R400" i="1"/>
  <c r="R397" i="1"/>
  <c r="R396" i="1"/>
  <c r="R394" i="1"/>
  <c r="R389" i="1"/>
  <c r="R388" i="1"/>
  <c r="R368" i="1"/>
  <c r="R364" i="1"/>
  <c r="R361" i="1"/>
  <c r="R334" i="1"/>
  <c r="R333" i="1"/>
  <c r="R330" i="1"/>
  <c r="R329" i="1"/>
  <c r="R328" i="1"/>
  <c r="R323" i="1"/>
  <c r="R321" i="1"/>
  <c r="R307" i="1"/>
  <c r="R300" i="1"/>
  <c r="R297" i="1"/>
  <c r="R294" i="1"/>
  <c r="R290" i="1"/>
  <c r="R289" i="1"/>
  <c r="R284" i="1"/>
  <c r="R268" i="1"/>
  <c r="R267" i="1"/>
  <c r="R262" i="1"/>
  <c r="R258" i="1"/>
  <c r="R252" i="1"/>
  <c r="R235" i="1"/>
  <c r="R233" i="1"/>
  <c r="R232" i="1"/>
  <c r="R203" i="1"/>
  <c r="R133" i="1"/>
  <c r="R132" i="1"/>
  <c r="R105" i="1"/>
  <c r="R104" i="1"/>
  <c r="R103" i="1"/>
  <c r="R102" i="1"/>
  <c r="R97" i="1"/>
  <c r="R94" i="1"/>
  <c r="R93" i="1"/>
  <c r="R92" i="1"/>
  <c r="R91" i="1"/>
  <c r="R82" i="1"/>
  <c r="R78" i="1"/>
  <c r="R77" i="1"/>
  <c r="R76" i="1"/>
  <c r="R72" i="1"/>
  <c r="R71" i="1"/>
  <c r="R54" i="1"/>
  <c r="R20" i="1"/>
  <c r="F8" i="1" a="1"/>
  <c r="F8" i="1"/>
  <c r="F3" i="1" a="1"/>
  <c r="F3" i="1"/>
  <c r="F4" i="1" a="1"/>
  <c r="F4" i="1"/>
  <c r="F5" i="1" a="1"/>
  <c r="F5" i="1"/>
  <c r="F6" i="1" a="1"/>
  <c r="F6" i="1"/>
  <c r="F7" i="1" a="1"/>
  <c r="F7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/>
  <c r="F382" i="1" a="1"/>
  <c r="F382" i="1"/>
  <c r="F383" i="1" a="1"/>
  <c r="F383" i="1"/>
  <c r="F384" i="1" a="1"/>
  <c r="F384" i="1"/>
  <c r="F385" i="1" a="1"/>
  <c r="F385" i="1"/>
  <c r="F386" i="1" a="1"/>
  <c r="F386" i="1"/>
  <c r="F387" i="1" a="1"/>
  <c r="F387" i="1"/>
  <c r="F388" i="1" a="1"/>
  <c r="F388" i="1"/>
  <c r="F389" i="1" a="1"/>
  <c r="F389" i="1"/>
  <c r="F390" i="1" a="1"/>
  <c r="F390" i="1"/>
  <c r="F391" i="1" a="1"/>
  <c r="F391" i="1"/>
  <c r="F392" i="1" a="1"/>
  <c r="F392" i="1"/>
  <c r="F393" i="1" a="1"/>
  <c r="F393" i="1"/>
  <c r="F394" i="1" a="1"/>
  <c r="F394" i="1"/>
  <c r="F395" i="1" a="1"/>
  <c r="F395" i="1"/>
  <c r="F396" i="1" a="1"/>
  <c r="F396" i="1"/>
  <c r="F397" i="1" a="1"/>
  <c r="F397" i="1"/>
  <c r="F398" i="1" a="1"/>
  <c r="F398" i="1"/>
  <c r="F399" i="1" a="1"/>
  <c r="F399" i="1"/>
  <c r="F400" i="1" a="1"/>
  <c r="F400" i="1"/>
  <c r="F401" i="1" a="1"/>
  <c r="F401" i="1"/>
  <c r="F402" i="1" a="1"/>
  <c r="F402" i="1"/>
  <c r="F403" i="1" a="1"/>
  <c r="F403" i="1"/>
  <c r="F404" i="1" a="1"/>
  <c r="F404" i="1"/>
  <c r="F405" i="1" a="1"/>
  <c r="F405" i="1"/>
  <c r="F406" i="1" a="1"/>
  <c r="F406" i="1"/>
  <c r="F407" i="1" a="1"/>
  <c r="F407" i="1"/>
  <c r="F408" i="1" a="1"/>
  <c r="F408" i="1"/>
  <c r="F409" i="1" a="1"/>
  <c r="F409" i="1"/>
  <c r="F410" i="1" a="1"/>
  <c r="F410" i="1"/>
  <c r="F411" i="1" a="1"/>
  <c r="F411" i="1"/>
  <c r="F412" i="1" a="1"/>
  <c r="F412" i="1"/>
  <c r="F413" i="1" a="1"/>
  <c r="F413" i="1"/>
  <c r="F414" i="1" a="1"/>
  <c r="F414" i="1"/>
  <c r="F415" i="1" a="1"/>
  <c r="F415" i="1"/>
  <c r="F416" i="1" a="1"/>
  <c r="F416" i="1"/>
  <c r="F417" i="1" a="1"/>
  <c r="F417" i="1"/>
  <c r="F418" i="1" a="1"/>
  <c r="F418" i="1"/>
  <c r="F419" i="1" a="1"/>
  <c r="F419" i="1"/>
  <c r="F420" i="1" a="1"/>
  <c r="F420" i="1"/>
  <c r="F421" i="1" a="1"/>
  <c r="F421" i="1"/>
  <c r="F422" i="1" a="1"/>
  <c r="F422" i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/>
  <c r="F456" i="1" a="1"/>
  <c r="F456" i="1"/>
  <c r="F457" i="1" a="1"/>
  <c r="F457" i="1"/>
  <c r="F458" i="1" a="1"/>
  <c r="F458" i="1"/>
  <c r="F459" i="1" a="1"/>
  <c r="F459" i="1"/>
  <c r="F460" i="1" a="1"/>
  <c r="F460" i="1"/>
  <c r="F461" i="1" a="1"/>
  <c r="F461" i="1"/>
  <c r="F462" i="1" a="1"/>
  <c r="F462" i="1"/>
  <c r="F463" i="1" a="1"/>
  <c r="F463" i="1"/>
  <c r="F464" i="1" a="1"/>
  <c r="F464" i="1"/>
  <c r="F465" i="1" a="1"/>
  <c r="F465" i="1"/>
  <c r="F466" i="1" a="1"/>
  <c r="F466" i="1"/>
  <c r="F467" i="1" a="1"/>
  <c r="F467" i="1"/>
  <c r="F468" i="1" a="1"/>
  <c r="F468" i="1"/>
  <c r="F469" i="1" a="1"/>
  <c r="F469" i="1"/>
  <c r="F470" i="1" a="1"/>
  <c r="F470" i="1"/>
  <c r="F471" i="1" a="1"/>
  <c r="F471" i="1"/>
  <c r="F472" i="1" a="1"/>
  <c r="F472" i="1"/>
  <c r="F473" i="1" a="1"/>
  <c r="F473" i="1"/>
  <c r="F474" i="1" a="1"/>
  <c r="F474" i="1"/>
  <c r="F475" i="1" a="1"/>
  <c r="F475" i="1"/>
  <c r="F476" i="1" a="1"/>
  <c r="F476" i="1"/>
  <c r="F477" i="1" a="1"/>
  <c r="F477" i="1"/>
  <c r="F478" i="1" a="1"/>
  <c r="F478" i="1"/>
  <c r="F479" i="1" a="1"/>
  <c r="F479" i="1"/>
  <c r="F480" i="1" a="1"/>
  <c r="F480" i="1"/>
  <c r="F481" i="1" a="1"/>
  <c r="F481" i="1"/>
  <c r="F482" i="1" a="1"/>
  <c r="F482" i="1"/>
  <c r="F483" i="1" a="1"/>
  <c r="F483" i="1"/>
  <c r="F484" i="1" a="1"/>
  <c r="F484" i="1"/>
  <c r="F485" i="1" a="1"/>
  <c r="F485" i="1"/>
  <c r="F486" i="1" a="1"/>
  <c r="F486" i="1"/>
  <c r="F487" i="1" a="1"/>
  <c r="F487" i="1"/>
  <c r="F488" i="1" a="1"/>
  <c r="F488" i="1"/>
  <c r="F489" i="1" a="1"/>
  <c r="F489" i="1"/>
  <c r="F490" i="1" a="1"/>
  <c r="F490" i="1"/>
  <c r="F491" i="1" a="1"/>
  <c r="F491" i="1"/>
  <c r="F492" i="1" a="1"/>
  <c r="F492" i="1"/>
  <c r="F493" i="1" a="1"/>
  <c r="F493" i="1"/>
  <c r="F494" i="1" a="1"/>
  <c r="F494" i="1"/>
  <c r="F495" i="1" a="1"/>
  <c r="F495" i="1"/>
  <c r="F496" i="1" a="1"/>
  <c r="F496" i="1"/>
  <c r="F497" i="1" a="1"/>
  <c r="F497" i="1"/>
  <c r="F498" i="1" a="1"/>
  <c r="F498" i="1"/>
  <c r="F499" i="1" a="1"/>
  <c r="F499" i="1"/>
  <c r="F500" i="1" a="1"/>
  <c r="F500" i="1"/>
  <c r="F501" i="1" a="1"/>
  <c r="F501" i="1"/>
  <c r="F502" i="1" a="1"/>
  <c r="F502" i="1"/>
  <c r="F503" i="1" a="1"/>
  <c r="F503" i="1"/>
  <c r="F504" i="1" a="1"/>
  <c r="F504" i="1"/>
  <c r="F505" i="1" a="1"/>
  <c r="F505" i="1"/>
  <c r="F506" i="1" a="1"/>
  <c r="F506" i="1"/>
  <c r="F507" i="1" a="1"/>
  <c r="F507" i="1"/>
  <c r="F508" i="1" a="1"/>
  <c r="F508" i="1"/>
  <c r="F509" i="1" a="1"/>
  <c r="F509" i="1"/>
  <c r="F510" i="1" a="1"/>
  <c r="F510" i="1"/>
  <c r="F511" i="1" a="1"/>
  <c r="F511" i="1"/>
  <c r="F512" i="1" a="1"/>
  <c r="F512" i="1"/>
  <c r="F513" i="1" a="1"/>
  <c r="F513" i="1"/>
  <c r="F514" i="1" a="1"/>
  <c r="F514" i="1"/>
  <c r="F515" i="1" a="1"/>
  <c r="F515" i="1"/>
  <c r="F516" i="1" a="1"/>
  <c r="F516" i="1"/>
  <c r="F517" i="1" a="1"/>
  <c r="F517" i="1"/>
  <c r="F518" i="1" a="1"/>
  <c r="F518" i="1"/>
  <c r="F519" i="1" a="1"/>
  <c r="F519" i="1"/>
  <c r="F520" i="1" a="1"/>
  <c r="F520" i="1"/>
  <c r="F521" i="1" a="1"/>
  <c r="F521" i="1"/>
  <c r="F522" i="1" a="1"/>
  <c r="F522" i="1"/>
  <c r="F523" i="1" a="1"/>
  <c r="F523" i="1"/>
  <c r="F524" i="1" a="1"/>
  <c r="F524" i="1"/>
  <c r="F525" i="1" a="1"/>
  <c r="F525" i="1"/>
  <c r="F526" i="1" a="1"/>
  <c r="F526" i="1"/>
  <c r="F527" i="1" a="1"/>
  <c r="F527" i="1"/>
  <c r="F528" i="1" a="1"/>
  <c r="F528" i="1"/>
  <c r="F529" i="1" a="1"/>
  <c r="F529" i="1"/>
  <c r="F530" i="1" a="1"/>
  <c r="F530" i="1"/>
  <c r="F531" i="1" a="1"/>
  <c r="F531" i="1"/>
  <c r="F532" i="1" a="1"/>
  <c r="F532" i="1"/>
  <c r="F533" i="1" a="1"/>
  <c r="F533" i="1"/>
  <c r="F534" i="1" a="1"/>
  <c r="F534" i="1"/>
  <c r="F535" i="1" a="1"/>
  <c r="F535" i="1"/>
  <c r="F536" i="1" a="1"/>
  <c r="F536" i="1"/>
  <c r="F537" i="1" a="1"/>
  <c r="F537" i="1"/>
  <c r="F538" i="1" a="1"/>
  <c r="F538" i="1"/>
  <c r="F539" i="1" a="1"/>
  <c r="F539" i="1"/>
  <c r="F540" i="1" a="1"/>
  <c r="F540" i="1"/>
  <c r="F541" i="1" a="1"/>
  <c r="F541" i="1"/>
  <c r="F542" i="1" a="1"/>
  <c r="F542" i="1"/>
  <c r="F543" i="1" a="1"/>
  <c r="F543" i="1"/>
  <c r="F544" i="1" a="1"/>
  <c r="F544" i="1"/>
  <c r="F545" i="1" a="1"/>
  <c r="F545" i="1"/>
  <c r="F546" i="1" a="1"/>
  <c r="F546" i="1"/>
  <c r="F547" i="1" a="1"/>
  <c r="F547" i="1"/>
  <c r="F548" i="1" a="1"/>
  <c r="F548" i="1"/>
  <c r="F549" i="1" a="1"/>
  <c r="F549" i="1"/>
  <c r="F550" i="1" a="1"/>
  <c r="F550" i="1"/>
  <c r="F551" i="1" a="1"/>
  <c r="F551" i="1"/>
  <c r="F552" i="1" a="1"/>
  <c r="F552" i="1"/>
  <c r="F553" i="1" a="1"/>
  <c r="F553" i="1"/>
  <c r="F554" i="1" a="1"/>
  <c r="F554" i="1"/>
  <c r="F555" i="1" a="1"/>
  <c r="F555" i="1"/>
  <c r="F556" i="1" a="1"/>
  <c r="F556" i="1"/>
  <c r="F557" i="1" a="1"/>
  <c r="F557" i="1"/>
  <c r="F558" i="1" a="1"/>
  <c r="F558" i="1"/>
  <c r="F559" i="1" a="1"/>
  <c r="F559" i="1"/>
  <c r="F560" i="1" a="1"/>
  <c r="F560" i="1"/>
  <c r="F561" i="1" a="1"/>
  <c r="F561" i="1"/>
  <c r="F562" i="1" a="1"/>
  <c r="F562" i="1"/>
  <c r="F563" i="1" a="1"/>
  <c r="F563" i="1"/>
  <c r="F564" i="1" a="1"/>
  <c r="F564" i="1"/>
  <c r="F565" i="1" a="1"/>
  <c r="F565" i="1"/>
  <c r="F566" i="1" a="1"/>
  <c r="F566" i="1"/>
  <c r="F567" i="1" a="1"/>
  <c r="F567" i="1"/>
  <c r="F568" i="1" a="1"/>
  <c r="F568" i="1"/>
  <c r="F569" i="1" a="1"/>
  <c r="F569" i="1"/>
  <c r="F570" i="1" a="1"/>
  <c r="F570" i="1"/>
  <c r="F571" i="1" a="1"/>
  <c r="F571" i="1"/>
  <c r="F572" i="1" a="1"/>
  <c r="F572" i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/>
  <c r="F609" i="1" a="1"/>
  <c r="F609" i="1"/>
  <c r="F610" i="1" a="1"/>
  <c r="F610" i="1"/>
  <c r="F611" i="1" a="1"/>
  <c r="F611" i="1"/>
  <c r="F612" i="1" a="1"/>
  <c r="F612" i="1"/>
  <c r="F613" i="1" a="1"/>
  <c r="F613" i="1"/>
  <c r="F614" i="1" a="1"/>
  <c r="F614" i="1"/>
  <c r="F615" i="1" a="1"/>
  <c r="F615" i="1"/>
  <c r="F616" i="1" a="1"/>
  <c r="F616" i="1"/>
  <c r="F617" i="1" a="1"/>
  <c r="F617" i="1"/>
  <c r="F618" i="1" a="1"/>
  <c r="F618" i="1"/>
  <c r="F619" i="1" a="1"/>
  <c r="F619" i="1"/>
  <c r="F620" i="1" a="1"/>
  <c r="F620" i="1"/>
  <c r="F621" i="1" a="1"/>
  <c r="F621" i="1"/>
  <c r="F622" i="1" a="1"/>
  <c r="F622" i="1"/>
  <c r="F623" i="1" a="1"/>
  <c r="F623" i="1"/>
  <c r="F624" i="1" a="1"/>
  <c r="F624" i="1"/>
  <c r="F625" i="1" a="1"/>
  <c r="F625" i="1"/>
  <c r="F626" i="1" a="1"/>
  <c r="F626" i="1"/>
  <c r="F627" i="1" a="1"/>
  <c r="F627" i="1"/>
  <c r="F628" i="1" a="1"/>
  <c r="F628" i="1"/>
  <c r="F629" i="1" a="1"/>
  <c r="F629" i="1"/>
  <c r="F630" i="1" a="1"/>
  <c r="F630" i="1"/>
  <c r="F631" i="1" a="1"/>
  <c r="F631" i="1"/>
  <c r="F632" i="1" a="1"/>
  <c r="F632" i="1"/>
  <c r="F633" i="1" a="1"/>
  <c r="F633" i="1"/>
  <c r="F634" i="1" a="1"/>
  <c r="F634" i="1"/>
  <c r="F635" i="1" a="1"/>
  <c r="F635" i="1"/>
  <c r="F636" i="1" a="1"/>
  <c r="F636" i="1"/>
  <c r="F637" i="1" a="1"/>
  <c r="F637" i="1"/>
  <c r="F638" i="1" a="1"/>
  <c r="F638" i="1"/>
  <c r="F639" i="1" a="1"/>
  <c r="F639" i="1"/>
  <c r="F640" i="1" a="1"/>
  <c r="F640" i="1"/>
  <c r="F641" i="1" a="1"/>
  <c r="F641" i="1"/>
  <c r="F642" i="1" a="1"/>
  <c r="F642" i="1"/>
  <c r="F643" i="1" a="1"/>
  <c r="F643" i="1"/>
  <c r="F644" i="1" a="1"/>
  <c r="F644" i="1"/>
  <c r="F645" i="1" a="1"/>
  <c r="F645" i="1"/>
  <c r="F646" i="1" a="1"/>
  <c r="F646" i="1"/>
  <c r="F647" i="1" a="1"/>
  <c r="F647" i="1"/>
  <c r="F648" i="1" a="1"/>
  <c r="F648" i="1"/>
  <c r="F649" i="1" a="1"/>
  <c r="F649" i="1"/>
  <c r="F650" i="1" a="1"/>
  <c r="F650" i="1"/>
  <c r="F651" i="1" a="1"/>
  <c r="F651" i="1"/>
  <c r="F652" i="1" a="1"/>
  <c r="F652" i="1"/>
  <c r="F653" i="1" a="1"/>
  <c r="F653" i="1"/>
  <c r="F654" i="1" a="1"/>
  <c r="F654" i="1"/>
  <c r="F655" i="1" a="1"/>
  <c r="F655" i="1"/>
  <c r="F656" i="1" a="1"/>
  <c r="F656" i="1"/>
  <c r="F657" i="1" a="1"/>
  <c r="F657" i="1"/>
  <c r="F658" i="1" a="1"/>
  <c r="F658" i="1"/>
  <c r="F659" i="1" a="1"/>
  <c r="F659" i="1"/>
  <c r="F660" i="1" a="1"/>
  <c r="F660" i="1"/>
  <c r="F661" i="1" a="1"/>
  <c r="F661" i="1"/>
  <c r="F662" i="1" a="1"/>
  <c r="F662" i="1"/>
  <c r="F663" i="1" a="1"/>
  <c r="F663" i="1"/>
  <c r="F664" i="1" a="1"/>
  <c r="F664" i="1"/>
  <c r="F665" i="1" a="1"/>
  <c r="F665" i="1"/>
  <c r="F666" i="1" a="1"/>
  <c r="F666" i="1"/>
  <c r="F667" i="1" a="1"/>
  <c r="F667" i="1"/>
  <c r="F668" i="1" a="1"/>
  <c r="F668" i="1"/>
  <c r="F669" i="1" a="1"/>
  <c r="F669" i="1"/>
  <c r="F670" i="1" a="1"/>
  <c r="F670" i="1"/>
  <c r="F671" i="1" a="1"/>
  <c r="F671" i="1"/>
  <c r="F672" i="1" a="1"/>
  <c r="F672" i="1"/>
  <c r="F673" i="1" a="1"/>
  <c r="F673" i="1"/>
  <c r="F674" i="1" a="1"/>
  <c r="F674" i="1"/>
  <c r="F675" i="1" a="1"/>
  <c r="F675" i="1"/>
  <c r="F676" i="1" a="1"/>
  <c r="F676" i="1"/>
  <c r="F677" i="1" a="1"/>
  <c r="F677" i="1"/>
  <c r="F678" i="1" a="1"/>
  <c r="F678" i="1"/>
  <c r="F679" i="1" a="1"/>
  <c r="F679" i="1"/>
  <c r="F680" i="1" a="1"/>
  <c r="F680" i="1"/>
  <c r="F681" i="1" a="1"/>
  <c r="F681" i="1"/>
  <c r="F682" i="1" a="1"/>
  <c r="F682" i="1"/>
  <c r="F683" i="1" a="1"/>
  <c r="F683" i="1"/>
  <c r="F684" i="1" a="1"/>
  <c r="F684" i="1"/>
  <c r="F685" i="1" a="1"/>
  <c r="F685" i="1"/>
  <c r="F686" i="1" a="1"/>
  <c r="F686" i="1"/>
  <c r="F687" i="1" a="1"/>
  <c r="F687" i="1"/>
  <c r="F688" i="1" a="1"/>
  <c r="F688" i="1"/>
  <c r="F689" i="1" a="1"/>
  <c r="F689" i="1"/>
  <c r="F690" i="1" a="1"/>
  <c r="F690" i="1"/>
  <c r="F691" i="1" a="1"/>
  <c r="F691" i="1"/>
  <c r="F692" i="1" a="1"/>
  <c r="F692" i="1"/>
  <c r="F693" i="1" a="1"/>
  <c r="F693" i="1"/>
  <c r="F694" i="1" a="1"/>
  <c r="F694" i="1"/>
  <c r="F695" i="1" a="1"/>
  <c r="F695" i="1"/>
  <c r="F696" i="1" a="1"/>
  <c r="F696" i="1"/>
  <c r="F697" i="1" a="1"/>
  <c r="F697" i="1"/>
  <c r="F698" i="1" a="1"/>
  <c r="F698" i="1"/>
  <c r="F699" i="1" a="1"/>
  <c r="F699" i="1"/>
  <c r="F700" i="1" a="1"/>
  <c r="F700" i="1"/>
  <c r="F701" i="1" a="1"/>
  <c r="F701" i="1"/>
  <c r="F702" i="1" a="1"/>
  <c r="F702" i="1"/>
  <c r="F703" i="1" a="1"/>
  <c r="F703" i="1"/>
  <c r="F704" i="1" a="1"/>
  <c r="F704" i="1"/>
  <c r="F705" i="1" a="1"/>
  <c r="F705" i="1"/>
  <c r="F706" i="1" a="1"/>
  <c r="F706" i="1"/>
  <c r="F707" i="1" a="1"/>
  <c r="F707" i="1"/>
  <c r="F708" i="1" a="1"/>
  <c r="F708" i="1"/>
  <c r="F709" i="1" a="1"/>
  <c r="F709" i="1"/>
  <c r="F710" i="1" a="1"/>
  <c r="F710" i="1"/>
  <c r="F711" i="1" a="1"/>
  <c r="F711" i="1"/>
  <c r="F712" i="1" a="1"/>
  <c r="F712" i="1"/>
  <c r="F713" i="1" a="1"/>
  <c r="F713" i="1"/>
  <c r="F714" i="1" a="1"/>
  <c r="F714" i="1"/>
  <c r="F715" i="1" a="1"/>
  <c r="F715" i="1"/>
  <c r="F716" i="1" a="1"/>
  <c r="F716" i="1"/>
  <c r="F717" i="1" a="1"/>
  <c r="F717" i="1"/>
  <c r="F718" i="1" a="1"/>
  <c r="F718" i="1"/>
  <c r="F719" i="1" a="1"/>
  <c r="F719" i="1"/>
  <c r="F720" i="1" a="1"/>
  <c r="F720" i="1"/>
  <c r="F721" i="1" a="1"/>
  <c r="F721" i="1"/>
  <c r="F722" i="1" a="1"/>
  <c r="F722" i="1"/>
  <c r="F723" i="1" a="1"/>
  <c r="F723" i="1"/>
  <c r="F724" i="1" a="1"/>
  <c r="F724" i="1"/>
  <c r="F725" i="1" a="1"/>
  <c r="F725" i="1"/>
  <c r="F726" i="1" a="1"/>
  <c r="F726" i="1"/>
  <c r="F727" i="1" a="1"/>
  <c r="F727" i="1"/>
  <c r="F728" i="1" a="1"/>
  <c r="F728" i="1"/>
  <c r="F729" i="1" a="1"/>
  <c r="F729" i="1"/>
  <c r="F730" i="1" a="1"/>
  <c r="F730" i="1"/>
  <c r="F731" i="1" a="1"/>
  <c r="F731" i="1"/>
  <c r="F732" i="1" a="1"/>
  <c r="F732" i="1"/>
  <c r="F733" i="1" a="1"/>
  <c r="F733" i="1"/>
  <c r="F734" i="1" a="1"/>
  <c r="F734" i="1"/>
  <c r="F735" i="1" a="1"/>
  <c r="F735" i="1"/>
  <c r="F736" i="1" a="1"/>
  <c r="F736" i="1"/>
  <c r="F737" i="1" a="1"/>
  <c r="F737" i="1"/>
  <c r="F738" i="1" a="1"/>
  <c r="F738" i="1"/>
  <c r="F739" i="1" a="1"/>
  <c r="F739" i="1"/>
  <c r="F740" i="1" a="1"/>
  <c r="F740" i="1"/>
  <c r="F741" i="1" a="1"/>
  <c r="F741" i="1"/>
  <c r="F742" i="1" a="1"/>
  <c r="F742" i="1"/>
  <c r="F743" i="1" a="1"/>
  <c r="F743" i="1"/>
  <c r="F744" i="1" a="1"/>
  <c r="F744" i="1"/>
  <c r="F745" i="1" a="1"/>
  <c r="F745" i="1"/>
  <c r="F746" i="1" a="1"/>
  <c r="F746" i="1"/>
  <c r="F747" i="1" a="1"/>
  <c r="F747" i="1"/>
  <c r="F748" i="1" a="1"/>
  <c r="F748" i="1"/>
  <c r="F749" i="1" a="1"/>
  <c r="F749" i="1"/>
  <c r="F750" i="1" a="1"/>
  <c r="F750" i="1"/>
  <c r="F751" i="1" a="1"/>
  <c r="F751" i="1"/>
  <c r="F752" i="1" a="1"/>
  <c r="F752" i="1"/>
  <c r="F753" i="1" a="1"/>
  <c r="F753" i="1"/>
  <c r="F754" i="1" a="1"/>
  <c r="F754" i="1"/>
  <c r="F755" i="1" a="1"/>
  <c r="F755" i="1"/>
  <c r="F756" i="1" a="1"/>
  <c r="F756" i="1"/>
  <c r="F757" i="1" a="1"/>
  <c r="F757" i="1"/>
  <c r="F758" i="1" a="1"/>
  <c r="F758" i="1"/>
  <c r="F759" i="1" a="1"/>
  <c r="F759" i="1"/>
  <c r="F760" i="1" a="1"/>
  <c r="F760" i="1"/>
  <c r="F761" i="1" a="1"/>
  <c r="F761" i="1"/>
  <c r="F762" i="1" a="1"/>
  <c r="F762" i="1"/>
  <c r="F763" i="1" a="1"/>
  <c r="F763" i="1"/>
  <c r="F764" i="1" a="1"/>
  <c r="F764" i="1"/>
  <c r="F765" i="1" a="1"/>
  <c r="F765" i="1"/>
  <c r="F766" i="1" a="1"/>
  <c r="F766" i="1"/>
  <c r="F767" i="1" a="1"/>
  <c r="F767" i="1"/>
  <c r="F768" i="1" a="1"/>
  <c r="F768" i="1"/>
  <c r="F769" i="1" a="1"/>
  <c r="F769" i="1"/>
  <c r="F770" i="1" a="1"/>
  <c r="F770" i="1"/>
  <c r="F771" i="1" a="1"/>
  <c r="F771" i="1"/>
  <c r="F772" i="1" a="1"/>
  <c r="F772" i="1"/>
  <c r="F773" i="1" a="1"/>
  <c r="F773" i="1"/>
  <c r="F774" i="1" a="1"/>
  <c r="F774" i="1"/>
  <c r="F775" i="1" a="1"/>
  <c r="F775" i="1"/>
  <c r="F776" i="1" a="1"/>
  <c r="F776" i="1"/>
  <c r="F777" i="1" a="1"/>
  <c r="F777" i="1"/>
  <c r="F778" i="1" a="1"/>
  <c r="F778" i="1"/>
  <c r="F779" i="1" a="1"/>
  <c r="F779" i="1"/>
  <c r="F780" i="1" a="1"/>
  <c r="F780" i="1"/>
  <c r="F781" i="1" a="1"/>
  <c r="F781" i="1"/>
  <c r="F782" i="1" a="1"/>
  <c r="F782" i="1"/>
  <c r="F783" i="1" a="1"/>
  <c r="F783" i="1"/>
  <c r="F784" i="1" a="1"/>
  <c r="F784" i="1"/>
  <c r="F785" i="1" a="1"/>
  <c r="F785" i="1"/>
  <c r="F786" i="1" a="1"/>
  <c r="F786" i="1"/>
  <c r="F787" i="1" a="1"/>
  <c r="F787" i="1"/>
  <c r="F788" i="1" a="1"/>
  <c r="F788" i="1"/>
  <c r="F789" i="1" a="1"/>
  <c r="F789" i="1"/>
  <c r="F790" i="1" a="1"/>
  <c r="F790" i="1"/>
  <c r="F791" i="1" a="1"/>
  <c r="F791" i="1"/>
  <c r="F792" i="1" a="1"/>
  <c r="F792" i="1"/>
  <c r="F793" i="1" a="1"/>
  <c r="F793" i="1"/>
  <c r="F794" i="1" a="1"/>
  <c r="F794" i="1"/>
  <c r="F795" i="1" a="1"/>
  <c r="F795" i="1"/>
  <c r="F796" i="1" a="1"/>
  <c r="F796" i="1"/>
  <c r="F797" i="1" a="1"/>
  <c r="F797" i="1"/>
  <c r="F798" i="1" a="1"/>
  <c r="F798" i="1"/>
  <c r="F799" i="1" a="1"/>
  <c r="F799" i="1"/>
  <c r="F800" i="1" a="1"/>
  <c r="F800" i="1"/>
  <c r="F801" i="1" a="1"/>
  <c r="F801" i="1"/>
  <c r="F802" i="1" a="1"/>
  <c r="F802" i="1"/>
  <c r="F803" i="1" a="1"/>
  <c r="F803" i="1"/>
  <c r="F804" i="1" a="1"/>
  <c r="F804" i="1"/>
  <c r="F805" i="1" a="1"/>
  <c r="F805" i="1"/>
  <c r="F806" i="1" a="1"/>
  <c r="F806" i="1"/>
  <c r="F807" i="1" a="1"/>
  <c r="F807" i="1"/>
  <c r="F808" i="1" a="1"/>
  <c r="F808" i="1"/>
  <c r="F809" i="1" a="1"/>
  <c r="F809" i="1"/>
  <c r="F810" i="1" a="1"/>
  <c r="F810" i="1"/>
  <c r="F811" i="1" a="1"/>
  <c r="F811" i="1"/>
  <c r="F812" i="1" a="1"/>
  <c r="F812" i="1"/>
  <c r="F813" i="1" a="1"/>
  <c r="F813" i="1"/>
  <c r="F814" i="1" a="1"/>
  <c r="F814" i="1"/>
  <c r="F815" i="1" a="1"/>
  <c r="F815" i="1"/>
  <c r="F816" i="1" a="1"/>
  <c r="F816" i="1"/>
  <c r="F817" i="1" a="1"/>
  <c r="F817" i="1"/>
  <c r="F818" i="1" a="1"/>
  <c r="F818" i="1"/>
  <c r="F819" i="1" a="1"/>
  <c r="F819" i="1"/>
  <c r="F820" i="1" a="1"/>
  <c r="F820" i="1"/>
  <c r="F821" i="1" a="1"/>
  <c r="F821" i="1"/>
  <c r="F822" i="1" a="1"/>
  <c r="F822" i="1"/>
  <c r="F823" i="1" a="1"/>
  <c r="F823" i="1"/>
  <c r="F824" i="1" a="1"/>
  <c r="F824" i="1"/>
  <c r="F825" i="1" a="1"/>
  <c r="F825" i="1"/>
  <c r="F826" i="1" a="1"/>
  <c r="F826" i="1"/>
  <c r="F827" i="1" a="1"/>
  <c r="F827" i="1"/>
  <c r="F828" i="1" a="1"/>
  <c r="F828" i="1"/>
  <c r="F829" i="1" a="1"/>
  <c r="F829" i="1"/>
  <c r="F830" i="1" a="1"/>
  <c r="F830" i="1"/>
  <c r="F831" i="1" a="1"/>
  <c r="F831" i="1"/>
  <c r="F832" i="1" a="1"/>
  <c r="F832" i="1"/>
  <c r="F833" i="1" a="1"/>
  <c r="F833" i="1"/>
  <c r="F834" i="1" a="1"/>
  <c r="F834" i="1"/>
  <c r="F835" i="1" a="1"/>
  <c r="F835" i="1"/>
  <c r="F836" i="1" a="1"/>
  <c r="F836" i="1"/>
  <c r="F837" i="1" a="1"/>
  <c r="F837" i="1"/>
  <c r="F838" i="1" a="1"/>
  <c r="F838" i="1"/>
  <c r="F839" i="1" a="1"/>
  <c r="F839" i="1"/>
  <c r="F840" i="1" a="1"/>
  <c r="F840" i="1"/>
  <c r="F841" i="1" a="1"/>
  <c r="F841" i="1"/>
  <c r="F842" i="1" a="1"/>
  <c r="F842" i="1"/>
  <c r="F843" i="1" a="1"/>
  <c r="F843" i="1"/>
  <c r="F844" i="1" a="1"/>
  <c r="F844" i="1"/>
  <c r="F845" i="1" a="1"/>
  <c r="F845" i="1"/>
  <c r="F846" i="1" a="1"/>
  <c r="F846" i="1"/>
  <c r="F847" i="1" a="1"/>
  <c r="F847" i="1"/>
  <c r="F848" i="1" a="1"/>
  <c r="F848" i="1"/>
  <c r="F849" i="1" a="1"/>
  <c r="F849" i="1"/>
  <c r="F850" i="1" a="1"/>
  <c r="F850" i="1"/>
  <c r="F851" i="1" a="1"/>
  <c r="F851" i="1"/>
  <c r="F852" i="1" a="1"/>
  <c r="F852" i="1"/>
  <c r="F853" i="1" a="1"/>
  <c r="F853" i="1"/>
  <c r="F854" i="1" a="1"/>
  <c r="F854" i="1"/>
  <c r="F855" i="1" a="1"/>
  <c r="F855" i="1"/>
  <c r="F856" i="1" a="1"/>
  <c r="F856" i="1"/>
  <c r="F857" i="1" a="1"/>
  <c r="F857" i="1"/>
  <c r="F858" i="1" a="1"/>
  <c r="F858" i="1"/>
  <c r="F859" i="1" a="1"/>
  <c r="F859" i="1"/>
  <c r="F860" i="1" a="1"/>
  <c r="F860" i="1"/>
  <c r="F861" i="1" a="1"/>
  <c r="F861" i="1"/>
  <c r="F862" i="1" a="1"/>
  <c r="F862" i="1"/>
  <c r="F863" i="1" a="1"/>
  <c r="F863" i="1"/>
  <c r="F864" i="1" a="1"/>
  <c r="F864" i="1"/>
  <c r="F865" i="1" a="1"/>
  <c r="F865" i="1"/>
  <c r="F866" i="1" a="1"/>
  <c r="F866" i="1"/>
  <c r="F867" i="1" a="1"/>
  <c r="F867" i="1"/>
  <c r="F868" i="1" a="1"/>
  <c r="F868" i="1"/>
  <c r="F869" i="1" a="1"/>
  <c r="F869" i="1"/>
  <c r="F870" i="1" a="1"/>
  <c r="F870" i="1"/>
  <c r="F871" i="1" a="1"/>
  <c r="F871" i="1"/>
  <c r="F872" i="1" a="1"/>
  <c r="F872" i="1"/>
  <c r="F873" i="1" a="1"/>
  <c r="F873" i="1"/>
  <c r="F874" i="1" a="1"/>
  <c r="F874" i="1"/>
  <c r="F875" i="1" a="1"/>
  <c r="F875" i="1"/>
  <c r="F876" i="1" a="1"/>
  <c r="F876" i="1"/>
  <c r="F877" i="1" a="1"/>
  <c r="F877" i="1"/>
  <c r="F878" i="1" a="1"/>
  <c r="F878" i="1"/>
  <c r="F879" i="1" a="1"/>
  <c r="F879" i="1"/>
  <c r="F880" i="1" a="1"/>
  <c r="F880" i="1"/>
  <c r="F881" i="1" a="1"/>
  <c r="F881" i="1"/>
  <c r="F882" i="1" a="1"/>
  <c r="F882" i="1"/>
  <c r="F883" i="1" a="1"/>
  <c r="F883" i="1"/>
  <c r="F884" i="1" a="1"/>
  <c r="F884" i="1"/>
  <c r="F885" i="1" a="1"/>
  <c r="F885" i="1"/>
  <c r="F886" i="1" a="1"/>
  <c r="F886" i="1"/>
  <c r="F887" i="1" a="1"/>
  <c r="F887" i="1"/>
  <c r="F888" i="1" a="1"/>
  <c r="F888" i="1"/>
  <c r="F889" i="1" a="1"/>
  <c r="F889" i="1"/>
  <c r="F890" i="1" a="1"/>
  <c r="F890" i="1"/>
  <c r="F891" i="1" a="1"/>
  <c r="F891" i="1"/>
  <c r="F892" i="1" a="1"/>
  <c r="F892" i="1"/>
  <c r="F893" i="1" a="1"/>
  <c r="F893" i="1"/>
  <c r="F894" i="1" a="1"/>
  <c r="F894" i="1"/>
  <c r="F895" i="1" a="1"/>
  <c r="F895" i="1"/>
  <c r="F896" i="1" a="1"/>
  <c r="F896" i="1"/>
  <c r="F897" i="1" a="1"/>
  <c r="F897" i="1"/>
  <c r="F898" i="1" a="1"/>
  <c r="F898" i="1"/>
  <c r="F899" i="1" a="1"/>
  <c r="F899" i="1"/>
  <c r="F900" i="1" a="1"/>
  <c r="F900" i="1"/>
  <c r="F901" i="1" a="1"/>
  <c r="F901" i="1"/>
  <c r="F902" i="1" a="1"/>
  <c r="F902" i="1"/>
  <c r="F903" i="1" a="1"/>
  <c r="F903" i="1"/>
  <c r="F904" i="1" a="1"/>
  <c r="F904" i="1"/>
  <c r="F905" i="1" a="1"/>
  <c r="F905" i="1"/>
  <c r="F906" i="1" a="1"/>
  <c r="F906" i="1"/>
  <c r="F907" i="1" a="1"/>
  <c r="F907" i="1"/>
  <c r="F908" i="1" a="1"/>
  <c r="F908" i="1"/>
  <c r="F909" i="1" a="1"/>
  <c r="F909" i="1"/>
  <c r="F910" i="1" a="1"/>
  <c r="F910" i="1"/>
  <c r="F911" i="1" a="1"/>
  <c r="F911" i="1"/>
  <c r="F912" i="1" a="1"/>
  <c r="F912" i="1"/>
  <c r="F913" i="1" a="1"/>
  <c r="F913" i="1"/>
  <c r="F914" i="1" a="1"/>
  <c r="F914" i="1"/>
  <c r="F915" i="1" a="1"/>
  <c r="F915" i="1"/>
  <c r="F916" i="1" a="1"/>
  <c r="F916" i="1"/>
  <c r="F917" i="1" a="1"/>
  <c r="F917" i="1"/>
  <c r="F918" i="1" a="1"/>
  <c r="F918" i="1"/>
  <c r="F919" i="1" a="1"/>
  <c r="F919" i="1"/>
  <c r="F920" i="1" a="1"/>
  <c r="F920" i="1"/>
  <c r="F921" i="1" a="1"/>
  <c r="F921" i="1"/>
  <c r="F922" i="1" a="1"/>
  <c r="F922" i="1"/>
  <c r="F923" i="1" a="1"/>
  <c r="F923" i="1"/>
  <c r="F924" i="1" a="1"/>
  <c r="F924" i="1"/>
  <c r="F925" i="1" a="1"/>
  <c r="F925" i="1"/>
  <c r="F926" i="1" a="1"/>
  <c r="F926" i="1"/>
  <c r="F927" i="1" a="1"/>
  <c r="F927" i="1"/>
  <c r="F928" i="1" a="1"/>
  <c r="F928" i="1"/>
  <c r="F929" i="1" a="1"/>
  <c r="F929" i="1"/>
  <c r="F930" i="1" a="1"/>
  <c r="F930" i="1"/>
  <c r="F931" i="1" a="1"/>
  <c r="F931" i="1"/>
  <c r="F932" i="1" a="1"/>
  <c r="F932" i="1"/>
  <c r="F933" i="1" a="1"/>
  <c r="F933" i="1"/>
  <c r="F934" i="1" a="1"/>
  <c r="F934" i="1"/>
  <c r="F935" i="1" a="1"/>
  <c r="F935" i="1"/>
  <c r="F936" i="1" a="1"/>
  <c r="F936" i="1"/>
  <c r="F937" i="1" a="1"/>
  <c r="F937" i="1"/>
  <c r="F938" i="1" a="1"/>
  <c r="F938" i="1"/>
  <c r="F939" i="1" a="1"/>
  <c r="F939" i="1"/>
  <c r="F940" i="1" a="1"/>
  <c r="F940" i="1"/>
  <c r="F941" i="1" a="1"/>
  <c r="F941" i="1"/>
  <c r="F942" i="1" a="1"/>
  <c r="F942" i="1"/>
  <c r="F943" i="1" a="1"/>
  <c r="F943" i="1"/>
  <c r="F944" i="1" a="1"/>
  <c r="F944" i="1"/>
  <c r="F945" i="1" a="1"/>
  <c r="F945" i="1"/>
  <c r="F946" i="1" a="1"/>
  <c r="F946" i="1"/>
  <c r="F947" i="1" a="1"/>
  <c r="F947" i="1"/>
  <c r="F948" i="1" a="1"/>
  <c r="F948" i="1"/>
  <c r="F949" i="1" a="1"/>
  <c r="F949" i="1"/>
  <c r="F950" i="1" a="1"/>
  <c r="F950" i="1"/>
  <c r="F951" i="1" a="1"/>
  <c r="F951" i="1"/>
  <c r="F952" i="1" a="1"/>
  <c r="F952" i="1"/>
  <c r="F953" i="1" a="1"/>
  <c r="F953" i="1"/>
  <c r="F954" i="1" a="1"/>
  <c r="F954" i="1"/>
  <c r="F955" i="1" a="1"/>
  <c r="F955" i="1"/>
  <c r="F956" i="1" a="1"/>
  <c r="F956" i="1"/>
  <c r="F957" i="1" a="1"/>
  <c r="F957" i="1"/>
  <c r="F958" i="1" a="1"/>
  <c r="F958" i="1"/>
  <c r="F959" i="1" a="1"/>
  <c r="F959" i="1"/>
  <c r="F960" i="1" a="1"/>
  <c r="F960" i="1"/>
  <c r="F961" i="1" a="1"/>
  <c r="F961" i="1"/>
  <c r="F962" i="1" a="1"/>
  <c r="F962" i="1"/>
  <c r="F963" i="1" a="1"/>
  <c r="F963" i="1"/>
  <c r="F964" i="1" a="1"/>
  <c r="F964" i="1"/>
  <c r="F965" i="1" a="1"/>
  <c r="F965" i="1"/>
  <c r="F966" i="1" a="1"/>
  <c r="F966" i="1"/>
  <c r="F967" i="1" a="1"/>
  <c r="F967" i="1"/>
  <c r="F968" i="1" a="1"/>
  <c r="F968" i="1"/>
  <c r="F969" i="1" a="1"/>
  <c r="F969" i="1"/>
  <c r="F970" i="1" a="1"/>
  <c r="F970" i="1"/>
  <c r="F971" i="1" a="1"/>
  <c r="F971" i="1"/>
  <c r="F972" i="1" a="1"/>
  <c r="F972" i="1"/>
  <c r="F973" i="1" a="1"/>
  <c r="F973" i="1"/>
  <c r="F974" i="1" a="1"/>
  <c r="F974" i="1"/>
  <c r="F975" i="1" a="1"/>
  <c r="F975" i="1"/>
  <c r="F976" i="1" a="1"/>
  <c r="F976" i="1"/>
  <c r="F977" i="1" a="1"/>
  <c r="F977" i="1"/>
  <c r="F978" i="1" a="1"/>
  <c r="F978" i="1"/>
  <c r="F979" i="1" a="1"/>
  <c r="F979" i="1"/>
  <c r="F980" i="1" a="1"/>
  <c r="F980" i="1"/>
  <c r="F981" i="1" a="1"/>
  <c r="F981" i="1"/>
  <c r="F982" i="1" a="1"/>
  <c r="F982" i="1"/>
  <c r="F983" i="1" a="1"/>
  <c r="F983" i="1"/>
  <c r="F984" i="1" a="1"/>
  <c r="F984" i="1"/>
  <c r="F985" i="1" a="1"/>
  <c r="F985" i="1"/>
  <c r="F986" i="1" a="1"/>
  <c r="F986" i="1"/>
  <c r="F987" i="1" a="1"/>
  <c r="F987" i="1"/>
  <c r="F988" i="1" a="1"/>
  <c r="F988" i="1"/>
  <c r="F989" i="1" a="1"/>
  <c r="F989" i="1"/>
  <c r="F990" i="1" a="1"/>
  <c r="F990" i="1"/>
  <c r="F991" i="1" a="1"/>
  <c r="F991" i="1"/>
  <c r="F992" i="1" a="1"/>
  <c r="F992" i="1"/>
  <c r="F993" i="1" a="1"/>
  <c r="F993" i="1"/>
  <c r="F994" i="1" a="1"/>
  <c r="F994" i="1"/>
  <c r="F995" i="1" a="1"/>
  <c r="F995" i="1"/>
  <c r="F996" i="1" a="1"/>
  <c r="F996" i="1"/>
  <c r="F997" i="1" a="1"/>
  <c r="F997" i="1"/>
  <c r="F998" i="1" a="1"/>
  <c r="F998" i="1"/>
  <c r="F999" i="1" a="1"/>
  <c r="F999" i="1"/>
  <c r="F1000" i="1" a="1"/>
  <c r="F1000" i="1"/>
  <c r="F1001" i="1" a="1"/>
  <c r="F1001" i="1"/>
  <c r="F1002" i="1" a="1"/>
  <c r="F1002" i="1"/>
  <c r="F1003" i="1" a="1"/>
  <c r="F1003" i="1"/>
  <c r="F1004" i="1" a="1"/>
  <c r="F1004" i="1"/>
  <c r="F1005" i="1" a="1"/>
  <c r="F1005" i="1"/>
  <c r="F1006" i="1" a="1"/>
  <c r="F1006" i="1"/>
  <c r="F1007" i="1" a="1"/>
  <c r="F1007" i="1"/>
  <c r="F1008" i="1" a="1"/>
  <c r="F1008" i="1"/>
  <c r="F1009" i="1" a="1"/>
  <c r="F1009" i="1"/>
  <c r="F1010" i="1" a="1"/>
  <c r="F1010" i="1"/>
  <c r="F1011" i="1" a="1"/>
  <c r="F1011" i="1"/>
  <c r="F1012" i="1" a="1"/>
  <c r="F1012" i="1"/>
  <c r="F1013" i="1" a="1"/>
  <c r="F1013" i="1"/>
  <c r="F1014" i="1" a="1"/>
  <c r="F1014" i="1"/>
  <c r="F1015" i="1" a="1"/>
  <c r="F1015" i="1"/>
  <c r="F1016" i="1" a="1"/>
  <c r="F1016" i="1"/>
  <c r="F1017" i="1" a="1"/>
  <c r="F1017" i="1"/>
  <c r="F1018" i="1" a="1"/>
  <c r="F1018" i="1"/>
  <c r="F1019" i="1" a="1"/>
  <c r="F1019" i="1"/>
  <c r="F1020" i="1" a="1"/>
  <c r="F1020" i="1"/>
  <c r="F1021" i="1" a="1"/>
  <c r="F1021" i="1"/>
  <c r="F1022" i="1" a="1"/>
  <c r="F1022" i="1"/>
  <c r="F1023" i="1" a="1"/>
  <c r="F1023" i="1"/>
  <c r="F1024" i="1" a="1"/>
  <c r="F1024" i="1"/>
  <c r="F1025" i="1" a="1"/>
  <c r="F1025" i="1"/>
  <c r="F1026" i="1" a="1"/>
  <c r="F1026" i="1"/>
  <c r="F1027" i="1" a="1"/>
  <c r="F1027" i="1"/>
  <c r="F1028" i="1" a="1"/>
  <c r="F1028" i="1"/>
  <c r="F1029" i="1" a="1"/>
  <c r="F1029" i="1"/>
  <c r="F1030" i="1" a="1"/>
  <c r="F1030" i="1"/>
  <c r="F1031" i="1" a="1"/>
  <c r="F1031" i="1"/>
  <c r="F1032" i="1" a="1"/>
  <c r="F1032" i="1"/>
  <c r="F1033" i="1" a="1"/>
  <c r="F1033" i="1"/>
  <c r="F1034" i="1" a="1"/>
  <c r="F1034" i="1"/>
  <c r="F1035" i="1" a="1"/>
  <c r="F1035" i="1"/>
  <c r="F1036" i="1" a="1"/>
  <c r="F1036" i="1"/>
  <c r="F1037" i="1" a="1"/>
  <c r="F1037" i="1"/>
  <c r="F1038" i="1" a="1"/>
  <c r="F1038" i="1"/>
  <c r="F1039" i="1" a="1"/>
  <c r="F1039" i="1"/>
  <c r="F1040" i="1" a="1"/>
  <c r="F1040" i="1"/>
  <c r="F1041" i="1" a="1"/>
  <c r="F1041" i="1"/>
  <c r="F1042" i="1" a="1"/>
  <c r="F1042" i="1"/>
  <c r="F1043" i="1" a="1"/>
  <c r="F1043" i="1"/>
  <c r="F1044" i="1" a="1"/>
  <c r="F1044" i="1"/>
  <c r="F1045" i="1" a="1"/>
  <c r="F1045" i="1"/>
  <c r="F1046" i="1" a="1"/>
  <c r="F1046" i="1"/>
  <c r="F1047" i="1" a="1"/>
  <c r="F1047" i="1"/>
  <c r="F1048" i="1" a="1"/>
  <c r="F1048" i="1"/>
  <c r="F1049" i="1" a="1"/>
  <c r="F1049" i="1"/>
  <c r="F1050" i="1" a="1"/>
  <c r="F1050" i="1"/>
  <c r="F1051" i="1" a="1"/>
  <c r="F1051" i="1"/>
  <c r="F1052" i="1" a="1"/>
  <c r="F1052" i="1"/>
  <c r="F1053" i="1" a="1"/>
  <c r="F1053" i="1"/>
  <c r="F1054" i="1" a="1"/>
  <c r="F1054" i="1"/>
  <c r="F1055" i="1" a="1"/>
  <c r="F1055" i="1"/>
  <c r="F1056" i="1" a="1"/>
  <c r="F1056" i="1"/>
  <c r="F1057" i="1" a="1"/>
  <c r="F1057" i="1"/>
  <c r="F1058" i="1" a="1"/>
  <c r="F1058" i="1"/>
  <c r="F1059" i="1" a="1"/>
  <c r="F1059" i="1"/>
  <c r="F1060" i="1" a="1"/>
  <c r="F1060" i="1"/>
  <c r="F1061" i="1" a="1"/>
  <c r="F1061" i="1"/>
  <c r="F1062" i="1" a="1"/>
  <c r="F1062" i="1"/>
  <c r="F1063" i="1" a="1"/>
  <c r="F1063" i="1"/>
  <c r="F1064" i="1" a="1"/>
  <c r="F1064" i="1"/>
  <c r="F1065" i="1" a="1"/>
  <c r="F1065" i="1"/>
  <c r="F1066" i="1" a="1"/>
  <c r="F1066" i="1"/>
  <c r="F1067" i="1" a="1"/>
  <c r="F1067" i="1"/>
  <c r="F1068" i="1" a="1"/>
  <c r="F1068" i="1"/>
  <c r="F1069" i="1" a="1"/>
  <c r="F1069" i="1"/>
  <c r="F1070" i="1" a="1"/>
  <c r="F1070" i="1"/>
  <c r="F1071" i="1" a="1"/>
  <c r="F1071" i="1"/>
  <c r="F1072" i="1" a="1"/>
  <c r="F1072" i="1"/>
  <c r="F1073" i="1" a="1"/>
  <c r="F1073" i="1"/>
  <c r="F1074" i="1" a="1"/>
  <c r="F1074" i="1"/>
  <c r="F1075" i="1" a="1"/>
  <c r="F1075" i="1"/>
  <c r="F1076" i="1" a="1"/>
  <c r="F1076" i="1"/>
  <c r="F1077" i="1" a="1"/>
  <c r="F1077" i="1"/>
  <c r="F1078" i="1" a="1"/>
  <c r="F1078" i="1"/>
  <c r="F1079" i="1" a="1"/>
  <c r="F1079" i="1"/>
  <c r="F1080" i="1" a="1"/>
  <c r="F1080" i="1"/>
  <c r="F1081" i="1" a="1"/>
  <c r="F1081" i="1"/>
  <c r="F1082" i="1" a="1"/>
  <c r="F1082" i="1"/>
  <c r="F1083" i="1" a="1"/>
  <c r="F1083" i="1"/>
  <c r="F1084" i="1" a="1"/>
  <c r="F1084" i="1"/>
  <c r="F1085" i="1" a="1"/>
  <c r="F1085" i="1"/>
  <c r="F1086" i="1" a="1"/>
  <c r="F1086" i="1"/>
  <c r="F1087" i="1" a="1"/>
  <c r="F1087" i="1"/>
  <c r="F1088" i="1" a="1"/>
  <c r="F1088" i="1"/>
  <c r="F1089" i="1" a="1"/>
  <c r="F1089" i="1"/>
  <c r="F1090" i="1" a="1"/>
  <c r="F1090" i="1"/>
  <c r="F1091" i="1" a="1"/>
  <c r="F1091" i="1"/>
  <c r="F1092" i="1" a="1"/>
  <c r="F1092" i="1"/>
  <c r="F1093" i="1" a="1"/>
  <c r="F1093" i="1"/>
  <c r="F1094" i="1" a="1"/>
  <c r="F1094" i="1"/>
  <c r="F1095" i="1" a="1"/>
  <c r="F1095" i="1"/>
  <c r="F1096" i="1" a="1"/>
  <c r="F1096" i="1"/>
  <c r="F1097" i="1" a="1"/>
  <c r="F1097" i="1"/>
  <c r="F1098" i="1" a="1"/>
  <c r="F1098" i="1"/>
  <c r="F1099" i="1" a="1"/>
  <c r="F1099" i="1"/>
  <c r="F1100" i="1" a="1"/>
  <c r="F1100" i="1"/>
  <c r="F1101" i="1" a="1"/>
  <c r="F1101" i="1"/>
  <c r="F1102" i="1" a="1"/>
  <c r="F1102" i="1"/>
  <c r="F1103" i="1" a="1"/>
  <c r="F1103" i="1"/>
  <c r="F1104" i="1" a="1"/>
  <c r="F1104" i="1"/>
  <c r="F1105" i="1" a="1"/>
  <c r="F1105" i="1"/>
  <c r="F1106" i="1" a="1"/>
  <c r="F1106" i="1"/>
  <c r="F1107" i="1" a="1"/>
  <c r="F1107" i="1"/>
  <c r="F1108" i="1" a="1"/>
  <c r="F1108" i="1"/>
  <c r="F1109" i="1" a="1"/>
  <c r="F1109" i="1"/>
  <c r="F1110" i="1" a="1"/>
  <c r="F1110" i="1"/>
  <c r="F1111" i="1" a="1"/>
  <c r="F1111" i="1"/>
  <c r="F1112" i="1" a="1"/>
  <c r="F1112" i="1"/>
  <c r="F1113" i="1" a="1"/>
  <c r="F1113" i="1"/>
  <c r="F1114" i="1" a="1"/>
  <c r="F1114" i="1"/>
  <c r="F1115" i="1" a="1"/>
  <c r="F1115" i="1"/>
  <c r="F1116" i="1" a="1"/>
  <c r="F1116" i="1"/>
  <c r="F1117" i="1" a="1"/>
  <c r="F1117" i="1"/>
  <c r="F1118" i="1" a="1"/>
  <c r="F1118" i="1"/>
  <c r="F1119" i="1" a="1"/>
  <c r="F1119" i="1"/>
  <c r="F1120" i="1" a="1"/>
  <c r="F1120" i="1"/>
  <c r="F1121" i="1" a="1"/>
  <c r="F1121" i="1"/>
  <c r="F1122" i="1" a="1"/>
  <c r="F1122" i="1"/>
  <c r="F1123" i="1" a="1"/>
  <c r="F1123" i="1"/>
  <c r="F1124" i="1" a="1"/>
  <c r="F1124" i="1"/>
  <c r="F1125" i="1" a="1"/>
  <c r="F1125" i="1"/>
  <c r="F1126" i="1" a="1"/>
  <c r="F1126" i="1"/>
  <c r="F1127" i="1" a="1"/>
  <c r="F1127" i="1"/>
  <c r="F1128" i="1" a="1"/>
  <c r="F1128" i="1"/>
  <c r="F1129" i="1" a="1"/>
  <c r="F1129" i="1"/>
  <c r="F1130" i="1" a="1"/>
  <c r="F1130" i="1"/>
  <c r="F1131" i="1" a="1"/>
  <c r="F1131" i="1"/>
  <c r="F1132" i="1" a="1"/>
  <c r="F1132" i="1"/>
  <c r="F1133" i="1" a="1"/>
  <c r="F1133" i="1"/>
  <c r="F1134" i="1" a="1"/>
  <c r="F1134" i="1"/>
  <c r="F1135" i="1" a="1"/>
  <c r="F1135" i="1"/>
  <c r="F1136" i="1" a="1"/>
  <c r="F1136" i="1"/>
  <c r="F1137" i="1" a="1"/>
  <c r="F1137" i="1"/>
  <c r="F1138" i="1" a="1"/>
  <c r="F1138" i="1"/>
  <c r="F1139" i="1" a="1"/>
  <c r="F1139" i="1"/>
  <c r="F1140" i="1" a="1"/>
  <c r="F1140" i="1"/>
  <c r="F1141" i="1" a="1"/>
  <c r="F1141" i="1"/>
  <c r="F1142" i="1" a="1"/>
  <c r="F1142" i="1"/>
  <c r="F1143" i="1" a="1"/>
  <c r="F1143" i="1"/>
  <c r="F1144" i="1" a="1"/>
  <c r="F1144" i="1"/>
  <c r="F1145" i="1" a="1"/>
  <c r="F1145" i="1"/>
  <c r="F1146" i="1" a="1"/>
  <c r="F1146" i="1"/>
  <c r="F1147" i="1" a="1"/>
  <c r="F1147" i="1"/>
  <c r="F1148" i="1" a="1"/>
  <c r="F1148" i="1"/>
  <c r="F1149" i="1" a="1"/>
  <c r="F1149" i="1"/>
  <c r="F1150" i="1" a="1"/>
  <c r="F1150" i="1"/>
  <c r="F1151" i="1" a="1"/>
  <c r="F1151" i="1"/>
  <c r="F1152" i="1" a="1"/>
  <c r="F1152" i="1"/>
  <c r="F1153" i="1" a="1"/>
  <c r="F1153" i="1"/>
  <c r="F1154" i="1" a="1"/>
  <c r="F1154" i="1"/>
  <c r="F1155" i="1" a="1"/>
  <c r="F1155" i="1"/>
  <c r="F1156" i="1" a="1"/>
  <c r="F1156" i="1"/>
  <c r="F1157" i="1" a="1"/>
  <c r="F1157" i="1"/>
  <c r="F1158" i="1" a="1"/>
  <c r="F1158" i="1"/>
  <c r="F1159" i="1" a="1"/>
  <c r="F1159" i="1"/>
  <c r="F1160" i="1" a="1"/>
  <c r="F1160" i="1"/>
  <c r="F1161" i="1" a="1"/>
  <c r="F1161" i="1"/>
  <c r="F1162" i="1" a="1"/>
  <c r="F1162" i="1"/>
  <c r="F1163" i="1" a="1"/>
  <c r="F1163" i="1"/>
  <c r="F1164" i="1" a="1"/>
  <c r="F1164" i="1"/>
  <c r="F1165" i="1" a="1"/>
  <c r="F1165" i="1"/>
  <c r="F1166" i="1" a="1"/>
  <c r="F1166" i="1"/>
  <c r="F1167" i="1" a="1"/>
  <c r="F1167" i="1"/>
  <c r="F1168" i="1" a="1"/>
  <c r="F1168" i="1"/>
  <c r="F1169" i="1" a="1"/>
  <c r="F1169" i="1"/>
  <c r="F1170" i="1" a="1"/>
  <c r="F1170" i="1"/>
  <c r="F1171" i="1" a="1"/>
  <c r="F1171" i="1"/>
  <c r="F1172" i="1" a="1"/>
  <c r="F1172" i="1"/>
  <c r="F1173" i="1" a="1"/>
  <c r="F1173" i="1"/>
  <c r="F1174" i="1" a="1"/>
  <c r="F1174" i="1"/>
  <c r="F1175" i="1" a="1"/>
  <c r="F1175" i="1"/>
  <c r="F1176" i="1" a="1"/>
  <c r="F1176" i="1"/>
  <c r="F1177" i="1" a="1"/>
  <c r="F1177" i="1"/>
  <c r="F1178" i="1" a="1"/>
  <c r="F1178" i="1"/>
  <c r="F1179" i="1" a="1"/>
  <c r="F1179" i="1"/>
  <c r="F1180" i="1" a="1"/>
  <c r="F1180" i="1"/>
  <c r="F1181" i="1" a="1"/>
  <c r="F1181" i="1"/>
  <c r="F1182" i="1" a="1"/>
  <c r="F1182" i="1"/>
  <c r="F1183" i="1" a="1"/>
  <c r="F1183" i="1"/>
  <c r="F1184" i="1" a="1"/>
  <c r="F1184" i="1"/>
  <c r="F1185" i="1" a="1"/>
  <c r="F1185" i="1"/>
  <c r="F1186" i="1" a="1"/>
  <c r="F1186" i="1"/>
  <c r="F1187" i="1" a="1"/>
  <c r="F1187" i="1"/>
  <c r="F1188" i="1" a="1"/>
  <c r="F1188" i="1"/>
  <c r="F1189" i="1" a="1"/>
  <c r="F1189" i="1"/>
  <c r="F1190" i="1" a="1"/>
  <c r="F1190" i="1"/>
  <c r="F1191" i="1" a="1"/>
  <c r="F1191" i="1"/>
  <c r="F1192" i="1" a="1"/>
  <c r="F1192" i="1"/>
  <c r="F1193" i="1" a="1"/>
  <c r="F1193" i="1"/>
  <c r="F1194" i="1" a="1"/>
  <c r="F1194" i="1"/>
  <c r="F1195" i="1" a="1"/>
  <c r="F1195" i="1"/>
  <c r="F1196" i="1" a="1"/>
  <c r="F1196" i="1"/>
  <c r="F1197" i="1" a="1"/>
  <c r="F1197" i="1"/>
  <c r="F1198" i="1" a="1"/>
  <c r="F1198" i="1"/>
  <c r="F1199" i="1" a="1"/>
  <c r="F1199" i="1"/>
  <c r="F1200" i="1" a="1"/>
  <c r="F1200" i="1"/>
  <c r="F1201" i="1" a="1"/>
  <c r="F1201" i="1"/>
  <c r="F1202" i="1" a="1"/>
  <c r="F1202" i="1"/>
  <c r="F1203" i="1" a="1"/>
  <c r="F1203" i="1"/>
  <c r="F1204" i="1" a="1"/>
  <c r="F1204" i="1"/>
  <c r="F1205" i="1" a="1"/>
  <c r="F1205" i="1"/>
  <c r="F1206" i="1" a="1"/>
  <c r="F1206" i="1"/>
  <c r="F1207" i="1" a="1"/>
  <c r="F1207" i="1"/>
  <c r="F1208" i="1" a="1"/>
  <c r="F1208" i="1"/>
  <c r="F1209" i="1" a="1"/>
  <c r="F1209" i="1"/>
  <c r="F1210" i="1" a="1"/>
  <c r="F1210" i="1"/>
  <c r="F1211" i="1" a="1"/>
  <c r="F1211" i="1"/>
  <c r="F1212" i="1" a="1"/>
  <c r="F1212" i="1"/>
  <c r="F1213" i="1" a="1"/>
  <c r="F1213" i="1"/>
  <c r="F1214" i="1" a="1"/>
  <c r="F1214" i="1"/>
  <c r="F1215" i="1" a="1"/>
  <c r="F1215" i="1"/>
  <c r="F1216" i="1" a="1"/>
  <c r="F1216" i="1"/>
  <c r="F1217" i="1" a="1"/>
  <c r="F1217" i="1"/>
  <c r="F1218" i="1" a="1"/>
  <c r="F1218" i="1"/>
  <c r="F1219" i="1" a="1"/>
  <c r="F1219" i="1"/>
  <c r="F1220" i="1" a="1"/>
  <c r="F1220" i="1"/>
  <c r="F1221" i="1" a="1"/>
  <c r="F1221" i="1"/>
  <c r="F1222" i="1" a="1"/>
  <c r="F1222" i="1"/>
  <c r="F1223" i="1" a="1"/>
  <c r="F1223" i="1"/>
  <c r="F1224" i="1" a="1"/>
  <c r="F1224" i="1"/>
  <c r="F1225" i="1" a="1"/>
  <c r="F1225" i="1"/>
  <c r="F1226" i="1" a="1"/>
  <c r="F1226" i="1"/>
  <c r="F1227" i="1" a="1"/>
  <c r="F1227" i="1"/>
  <c r="F1228" i="1" a="1"/>
  <c r="F1228" i="1"/>
  <c r="F1229" i="1" a="1"/>
  <c r="F1229" i="1"/>
  <c r="F1230" i="1" a="1"/>
  <c r="F1230" i="1"/>
  <c r="F1231" i="1" a="1"/>
  <c r="F1231" i="1"/>
  <c r="F1232" i="1" a="1"/>
  <c r="F1232" i="1"/>
  <c r="F1233" i="1" a="1"/>
  <c r="F1233" i="1"/>
  <c r="F1234" i="1" a="1"/>
  <c r="F1234" i="1"/>
  <c r="F1235" i="1" a="1"/>
  <c r="F1235" i="1"/>
  <c r="F1236" i="1" a="1"/>
  <c r="F1236" i="1"/>
  <c r="F1237" i="1" a="1"/>
  <c r="F1237" i="1"/>
  <c r="F1238" i="1" a="1"/>
  <c r="F1238" i="1"/>
  <c r="F1239" i="1" a="1"/>
  <c r="F1239" i="1"/>
  <c r="F1240" i="1" a="1"/>
  <c r="F1240" i="1"/>
  <c r="F1241" i="1" a="1"/>
  <c r="F1241" i="1"/>
  <c r="F1242" i="1" a="1"/>
  <c r="F1242" i="1"/>
  <c r="F1243" i="1" a="1"/>
  <c r="F1243" i="1"/>
  <c r="F1244" i="1" a="1"/>
  <c r="F1244" i="1"/>
  <c r="F1245" i="1" a="1"/>
  <c r="F1245" i="1"/>
  <c r="F1246" i="1" a="1"/>
  <c r="F1246" i="1"/>
  <c r="F1247" i="1" a="1"/>
  <c r="F1247" i="1"/>
  <c r="F1248" i="1" a="1"/>
  <c r="F1248" i="1"/>
  <c r="F1249" i="1" a="1"/>
  <c r="F1249" i="1"/>
  <c r="F1250" i="1" a="1"/>
  <c r="F1250" i="1"/>
  <c r="F1251" i="1" a="1"/>
  <c r="F1251" i="1"/>
  <c r="F1252" i="1" a="1"/>
  <c r="F1252" i="1"/>
  <c r="F1253" i="1" a="1"/>
  <c r="F1253" i="1"/>
  <c r="F1254" i="1" a="1"/>
  <c r="F1254" i="1"/>
  <c r="F1255" i="1" a="1"/>
  <c r="F1255" i="1"/>
  <c r="F1256" i="1" a="1"/>
  <c r="F1256" i="1"/>
  <c r="F1257" i="1" a="1"/>
  <c r="F1257" i="1"/>
  <c r="F1258" i="1" a="1"/>
  <c r="F1258" i="1"/>
  <c r="F1259" i="1" a="1"/>
  <c r="F1259" i="1"/>
  <c r="F1260" i="1" a="1"/>
  <c r="F1260" i="1"/>
  <c r="F1261" i="1" a="1"/>
  <c r="F1261" i="1"/>
  <c r="F1262" i="1" a="1"/>
  <c r="F1262" i="1"/>
  <c r="F1263" i="1" a="1"/>
  <c r="F1263" i="1"/>
  <c r="F1264" i="1" a="1"/>
  <c r="F1264" i="1"/>
  <c r="F1265" i="1" a="1"/>
  <c r="F1265" i="1"/>
  <c r="F1266" i="1" a="1"/>
  <c r="F1266" i="1"/>
  <c r="F1267" i="1" a="1"/>
  <c r="F1267" i="1"/>
  <c r="F1268" i="1" a="1"/>
  <c r="F1268" i="1"/>
  <c r="F1269" i="1" a="1"/>
  <c r="F1269" i="1"/>
  <c r="F1270" i="1" a="1"/>
  <c r="F1270" i="1"/>
  <c r="F1271" i="1" a="1"/>
  <c r="F1271" i="1"/>
  <c r="F1272" i="1" a="1"/>
  <c r="F1272" i="1"/>
  <c r="F1273" i="1" a="1"/>
  <c r="F1273" i="1"/>
  <c r="F1274" i="1" a="1"/>
  <c r="F1274" i="1"/>
  <c r="F1275" i="1" a="1"/>
  <c r="F1275" i="1"/>
  <c r="F1276" i="1" a="1"/>
  <c r="F1276" i="1"/>
  <c r="F1277" i="1" a="1"/>
  <c r="F1277" i="1"/>
  <c r="F1278" i="1" a="1"/>
  <c r="F1278" i="1"/>
  <c r="F1279" i="1" a="1"/>
  <c r="F1279" i="1"/>
  <c r="F1280" i="1" a="1"/>
  <c r="F1280" i="1"/>
  <c r="F1281" i="1" a="1"/>
  <c r="F1281" i="1"/>
  <c r="F1282" i="1" a="1"/>
  <c r="F1282" i="1"/>
  <c r="F1283" i="1" a="1"/>
  <c r="F1283" i="1"/>
  <c r="F1284" i="1" a="1"/>
  <c r="F1284" i="1"/>
  <c r="F1285" i="1" a="1"/>
  <c r="F1285" i="1"/>
  <c r="F1286" i="1" a="1"/>
  <c r="F1286" i="1"/>
  <c r="F1287" i="1" a="1"/>
  <c r="F1287" i="1"/>
  <c r="F1288" i="1" a="1"/>
  <c r="F1288" i="1"/>
  <c r="F1289" i="1" a="1"/>
  <c r="F1289" i="1"/>
  <c r="F1290" i="1" a="1"/>
  <c r="F1290" i="1"/>
  <c r="F1291" i="1" a="1"/>
  <c r="F1291" i="1"/>
  <c r="F1292" i="1" a="1"/>
  <c r="F1292" i="1"/>
  <c r="F1293" i="1" a="1"/>
  <c r="F1293" i="1"/>
  <c r="F1294" i="1" a="1"/>
  <c r="F1294" i="1"/>
  <c r="F1295" i="1" a="1"/>
  <c r="F1295" i="1"/>
  <c r="F1296" i="1" a="1"/>
  <c r="F1296" i="1"/>
  <c r="F1297" i="1" a="1"/>
  <c r="F1297" i="1"/>
  <c r="F1298" i="1" a="1"/>
  <c r="F1298" i="1"/>
  <c r="F1299" i="1" a="1"/>
  <c r="F1299" i="1"/>
  <c r="F1300" i="1" a="1"/>
  <c r="F1300" i="1"/>
  <c r="F1301" i="1" a="1"/>
  <c r="F1301" i="1"/>
  <c r="F1302" i="1" a="1"/>
  <c r="F1302" i="1"/>
  <c r="F1303" i="1" a="1"/>
  <c r="F1303" i="1"/>
  <c r="F1304" i="1" a="1"/>
  <c r="F1304" i="1"/>
  <c r="F1305" i="1" a="1"/>
  <c r="F1305" i="1"/>
  <c r="F1306" i="1" a="1"/>
  <c r="F1306" i="1"/>
  <c r="F1307" i="1" a="1"/>
  <c r="F1307" i="1"/>
  <c r="F1308" i="1" a="1"/>
  <c r="F1308" i="1"/>
  <c r="F1309" i="1" a="1"/>
  <c r="F1309" i="1"/>
  <c r="F1310" i="1" a="1"/>
  <c r="F1310" i="1"/>
  <c r="F1311" i="1" a="1"/>
  <c r="F1311" i="1"/>
  <c r="F1312" i="1" a="1"/>
  <c r="F1312" i="1"/>
  <c r="F1313" i="1" a="1"/>
  <c r="F1313" i="1"/>
  <c r="F1314" i="1" a="1"/>
  <c r="F1314" i="1"/>
  <c r="F1315" i="1" a="1"/>
  <c r="F1315" i="1"/>
  <c r="F1316" i="1" a="1"/>
  <c r="F1316" i="1"/>
  <c r="F1317" i="1" a="1"/>
  <c r="F1317" i="1"/>
  <c r="F1318" i="1" a="1"/>
  <c r="F1318" i="1"/>
  <c r="F1319" i="1" a="1"/>
  <c r="F1319" i="1"/>
  <c r="F1320" i="1" a="1"/>
  <c r="F1320" i="1"/>
  <c r="F1321" i="1" a="1"/>
  <c r="F1321" i="1"/>
  <c r="F1322" i="1" a="1"/>
  <c r="F1322" i="1"/>
  <c r="F1323" i="1" a="1"/>
  <c r="F1323" i="1"/>
  <c r="F1324" i="1" a="1"/>
  <c r="F1324" i="1"/>
  <c r="F1325" i="1" a="1"/>
  <c r="F1325" i="1"/>
  <c r="F1326" i="1" a="1"/>
  <c r="F1326" i="1"/>
  <c r="F1327" i="1" a="1"/>
  <c r="F1327" i="1"/>
  <c r="F1328" i="1" a="1"/>
  <c r="F1328" i="1"/>
  <c r="F1329" i="1" a="1"/>
  <c r="F1329" i="1"/>
  <c r="F1330" i="1" a="1"/>
  <c r="F1330" i="1"/>
  <c r="F1331" i="1" a="1"/>
  <c r="F1331" i="1"/>
  <c r="F1332" i="1" a="1"/>
  <c r="F1332" i="1"/>
  <c r="F1333" i="1" a="1"/>
  <c r="F1333" i="1"/>
  <c r="F1334" i="1" a="1"/>
  <c r="F1334" i="1"/>
  <c r="F1335" i="1" a="1"/>
  <c r="F1335" i="1"/>
  <c r="F1336" i="1" a="1"/>
  <c r="F1336" i="1"/>
  <c r="F1337" i="1" a="1"/>
  <c r="F1337" i="1"/>
  <c r="F1338" i="1" a="1"/>
  <c r="F1338" i="1"/>
  <c r="F1339" i="1" a="1"/>
  <c r="F1339" i="1"/>
  <c r="F1340" i="1" a="1"/>
  <c r="F1340" i="1"/>
  <c r="F1341" i="1" a="1"/>
  <c r="F1341" i="1"/>
  <c r="F1342" i="1" a="1"/>
  <c r="F1342" i="1"/>
  <c r="F1343" i="1" a="1"/>
  <c r="F1343" i="1"/>
  <c r="F1344" i="1" a="1"/>
  <c r="F1344" i="1"/>
  <c r="F1345" i="1" a="1"/>
  <c r="F1345" i="1"/>
  <c r="F1346" i="1" a="1"/>
  <c r="F1346" i="1"/>
  <c r="F1347" i="1" a="1"/>
  <c r="F1347" i="1"/>
  <c r="F1348" i="1" a="1"/>
  <c r="F1348" i="1"/>
  <c r="F1349" i="1" a="1"/>
  <c r="F1349" i="1"/>
  <c r="F1350" i="1" a="1"/>
  <c r="F1350" i="1"/>
  <c r="F1351" i="1" a="1"/>
  <c r="F1351" i="1"/>
  <c r="F1352" i="1" a="1"/>
  <c r="F1352" i="1"/>
  <c r="F1353" i="1" a="1"/>
  <c r="F1353" i="1"/>
  <c r="F1354" i="1" a="1"/>
  <c r="F1354" i="1"/>
  <c r="F1355" i="1" a="1"/>
  <c r="F1355" i="1"/>
  <c r="F1356" i="1" a="1"/>
  <c r="F1356" i="1"/>
  <c r="F1357" i="1" a="1"/>
  <c r="F1357" i="1"/>
  <c r="F1358" i="1" a="1"/>
  <c r="F1358" i="1"/>
  <c r="F1359" i="1" a="1"/>
  <c r="F1359" i="1"/>
  <c r="F1360" i="1" a="1"/>
  <c r="F1360" i="1"/>
  <c r="F1361" i="1" a="1"/>
  <c r="F1361" i="1"/>
  <c r="F1362" i="1" a="1"/>
  <c r="F1362" i="1"/>
  <c r="F1363" i="1" a="1"/>
  <c r="F1363" i="1"/>
  <c r="F1364" i="1" a="1"/>
  <c r="F1364" i="1"/>
  <c r="F1365" i="1" a="1"/>
  <c r="F1365" i="1"/>
  <c r="F1366" i="1" a="1"/>
  <c r="F1366" i="1"/>
  <c r="F1367" i="1" a="1"/>
  <c r="F1367" i="1"/>
  <c r="F1368" i="1" a="1"/>
  <c r="F1368" i="1"/>
  <c r="F1369" i="1" a="1"/>
  <c r="F1369" i="1"/>
  <c r="F1370" i="1" a="1"/>
  <c r="F1370" i="1"/>
  <c r="F1371" i="1" a="1"/>
  <c r="F1371" i="1"/>
  <c r="F1372" i="1" a="1"/>
  <c r="F1372" i="1"/>
  <c r="F1373" i="1" a="1"/>
  <c r="F1373" i="1"/>
  <c r="F1374" i="1" a="1"/>
  <c r="F1374" i="1"/>
  <c r="F1375" i="1" a="1"/>
  <c r="F1375" i="1"/>
  <c r="F1376" i="1" a="1"/>
  <c r="F1376" i="1"/>
  <c r="F1377" i="1" a="1"/>
  <c r="F1377" i="1"/>
  <c r="F1378" i="1" a="1"/>
  <c r="F1378" i="1"/>
  <c r="F1379" i="1" a="1"/>
  <c r="F1379" i="1"/>
  <c r="F1380" i="1" a="1"/>
  <c r="F1380" i="1"/>
  <c r="F1381" i="1" a="1"/>
  <c r="F1381" i="1"/>
  <c r="F1382" i="1" a="1"/>
  <c r="F1382" i="1"/>
  <c r="F1383" i="1" a="1"/>
  <c r="F1383" i="1"/>
  <c r="F1384" i="1" a="1"/>
  <c r="F1384" i="1"/>
  <c r="F1385" i="1" a="1"/>
  <c r="F1385" i="1"/>
  <c r="F1386" i="1" a="1"/>
  <c r="F1386" i="1"/>
  <c r="F1387" i="1" a="1"/>
  <c r="F1387" i="1"/>
  <c r="F1388" i="1" a="1"/>
  <c r="F1388" i="1"/>
  <c r="F1389" i="1" a="1"/>
  <c r="F1389" i="1"/>
  <c r="F1390" i="1" a="1"/>
  <c r="F1390" i="1"/>
  <c r="F1391" i="1" a="1"/>
  <c r="F1391" i="1"/>
  <c r="F1392" i="1" a="1"/>
  <c r="F1392" i="1"/>
  <c r="F1393" i="1" a="1"/>
  <c r="F1393" i="1"/>
  <c r="F1394" i="1" a="1"/>
  <c r="F1394" i="1"/>
  <c r="F1395" i="1" a="1"/>
  <c r="F1395" i="1"/>
  <c r="F1396" i="1" a="1"/>
  <c r="F1396" i="1"/>
  <c r="F1397" i="1" a="1"/>
  <c r="F1397" i="1"/>
  <c r="F1398" i="1" a="1"/>
  <c r="F1398" i="1"/>
  <c r="F1399" i="1" a="1"/>
  <c r="F1399" i="1"/>
  <c r="F1400" i="1" a="1"/>
  <c r="F1400" i="1"/>
  <c r="F1401" i="1" a="1"/>
  <c r="F1401" i="1"/>
  <c r="F1402" i="1" a="1"/>
  <c r="F1402" i="1"/>
  <c r="F1403" i="1" a="1"/>
  <c r="F1403" i="1"/>
  <c r="F1404" i="1" a="1"/>
  <c r="F1404" i="1"/>
  <c r="F1405" i="1" a="1"/>
  <c r="F1405" i="1"/>
  <c r="F1406" i="1" a="1"/>
  <c r="F1406" i="1"/>
  <c r="F1407" i="1" a="1"/>
  <c r="F1407" i="1"/>
  <c r="F1408" i="1" a="1"/>
  <c r="F1408" i="1"/>
  <c r="F1409" i="1" a="1"/>
  <c r="F1409" i="1"/>
  <c r="F1410" i="1" a="1"/>
  <c r="F1410" i="1"/>
  <c r="F1411" i="1" a="1"/>
  <c r="F1411" i="1"/>
  <c r="F1412" i="1" a="1"/>
  <c r="F1412" i="1"/>
  <c r="F1413" i="1" a="1"/>
  <c r="F1413" i="1"/>
  <c r="F1414" i="1" a="1"/>
  <c r="F1414" i="1"/>
  <c r="F1415" i="1" a="1"/>
  <c r="F1415" i="1"/>
  <c r="F1416" i="1" a="1"/>
  <c r="F1416" i="1"/>
  <c r="F1417" i="1" a="1"/>
  <c r="F1417" i="1"/>
  <c r="F1418" i="1" a="1"/>
  <c r="F1418" i="1"/>
  <c r="F1419" i="1" a="1"/>
  <c r="F1419" i="1"/>
  <c r="F1420" i="1" a="1"/>
  <c r="F1420" i="1"/>
  <c r="F1421" i="1" a="1"/>
  <c r="F1421" i="1"/>
  <c r="F1422" i="1" a="1"/>
  <c r="F1422" i="1"/>
  <c r="F1423" i="1" a="1"/>
  <c r="F1423" i="1"/>
  <c r="F1424" i="1" a="1"/>
  <c r="F1424" i="1"/>
  <c r="F1425" i="1" a="1"/>
  <c r="F1425" i="1"/>
  <c r="F1426" i="1" a="1"/>
  <c r="F1426" i="1"/>
  <c r="F1427" i="1" a="1"/>
  <c r="F1427" i="1"/>
  <c r="F1428" i="1" a="1"/>
  <c r="F1428" i="1"/>
  <c r="F1429" i="1" a="1"/>
  <c r="F1429" i="1"/>
  <c r="F1430" i="1" a="1"/>
  <c r="F1430" i="1"/>
  <c r="F1431" i="1" a="1"/>
  <c r="F1431" i="1"/>
  <c r="F1432" i="1" a="1"/>
  <c r="F1432" i="1"/>
  <c r="F1433" i="1" a="1"/>
  <c r="F1433" i="1"/>
  <c r="F1434" i="1" a="1"/>
  <c r="F1434" i="1"/>
  <c r="F1435" i="1" a="1"/>
  <c r="F1435" i="1"/>
  <c r="F1436" i="1" a="1"/>
  <c r="F1436" i="1"/>
  <c r="F1437" i="1" a="1"/>
  <c r="F1437" i="1"/>
  <c r="F1438" i="1" a="1"/>
  <c r="F1438" i="1"/>
  <c r="F1439" i="1" a="1"/>
  <c r="F1439" i="1"/>
  <c r="F1440" i="1" a="1"/>
  <c r="F1440" i="1"/>
  <c r="F1441" i="1" a="1"/>
  <c r="F1441" i="1"/>
  <c r="F1442" i="1" a="1"/>
  <c r="F1442" i="1"/>
  <c r="F1443" i="1" a="1"/>
  <c r="F1443" i="1"/>
  <c r="F1444" i="1" a="1"/>
  <c r="F1444" i="1"/>
  <c r="F1445" i="1" a="1"/>
  <c r="F1445" i="1"/>
  <c r="F1446" i="1" a="1"/>
  <c r="F1446" i="1"/>
  <c r="F1447" i="1" a="1"/>
  <c r="F1447" i="1"/>
  <c r="F1448" i="1" a="1"/>
  <c r="F1448" i="1"/>
  <c r="F1449" i="1" a="1"/>
  <c r="F1449" i="1"/>
  <c r="F1450" i="1" a="1"/>
  <c r="F1450" i="1"/>
  <c r="F1451" i="1" a="1"/>
  <c r="F1451" i="1"/>
  <c r="F1452" i="1" a="1"/>
  <c r="F1452" i="1"/>
  <c r="F1453" i="1" a="1"/>
  <c r="F1453" i="1"/>
  <c r="F1454" i="1" a="1"/>
  <c r="F1454" i="1"/>
  <c r="F1455" i="1" a="1"/>
  <c r="F1455" i="1"/>
  <c r="F1456" i="1" a="1"/>
  <c r="F1456" i="1"/>
  <c r="F1457" i="1" a="1"/>
  <c r="F1457" i="1"/>
  <c r="F1458" i="1" a="1"/>
  <c r="F1458" i="1"/>
  <c r="F1459" i="1" a="1"/>
  <c r="F1459" i="1"/>
  <c r="F1460" i="1" a="1"/>
  <c r="F1460" i="1"/>
  <c r="F1461" i="1" a="1"/>
  <c r="F1461" i="1"/>
  <c r="F1462" i="1" a="1"/>
  <c r="F1462" i="1"/>
  <c r="F1463" i="1" a="1"/>
  <c r="F1463" i="1"/>
  <c r="F1464" i="1" a="1"/>
  <c r="F1464" i="1"/>
  <c r="F1465" i="1" a="1"/>
  <c r="F1465" i="1"/>
  <c r="F1466" i="1" a="1"/>
  <c r="F1466" i="1"/>
  <c r="F1467" i="1" a="1"/>
  <c r="F1467" i="1"/>
  <c r="F1468" i="1" a="1"/>
  <c r="F1468" i="1"/>
  <c r="F1469" i="1" a="1"/>
  <c r="F1469" i="1"/>
  <c r="F1470" i="1" a="1"/>
  <c r="F1470" i="1"/>
  <c r="F1471" i="1" a="1"/>
  <c r="F1471" i="1"/>
  <c r="F1472" i="1" a="1"/>
  <c r="F1472" i="1"/>
  <c r="F1473" i="1" a="1"/>
  <c r="F1473" i="1"/>
  <c r="F1474" i="1" a="1"/>
  <c r="F1474" i="1"/>
  <c r="F1475" i="1" a="1"/>
  <c r="F1475" i="1"/>
  <c r="F1476" i="1" a="1"/>
  <c r="F1476" i="1"/>
  <c r="F1477" i="1" a="1"/>
  <c r="F1477" i="1"/>
  <c r="F1478" i="1" a="1"/>
  <c r="F1478" i="1"/>
  <c r="F1479" i="1" a="1"/>
  <c r="F1479" i="1"/>
  <c r="F1480" i="1" a="1"/>
  <c r="F1480" i="1"/>
  <c r="F1481" i="1" a="1"/>
  <c r="F1481" i="1"/>
  <c r="F1482" i="1" a="1"/>
  <c r="F1482" i="1"/>
  <c r="F1483" i="1" a="1"/>
  <c r="F1483" i="1"/>
  <c r="F1484" i="1" a="1"/>
  <c r="F1484" i="1"/>
  <c r="F1485" i="1" a="1"/>
  <c r="F1485" i="1"/>
  <c r="F1486" i="1" a="1"/>
  <c r="F1486" i="1"/>
  <c r="F1487" i="1" a="1"/>
  <c r="F1487" i="1"/>
  <c r="F1488" i="1" a="1"/>
  <c r="F1488" i="1"/>
  <c r="F1489" i="1" a="1"/>
  <c r="F1489" i="1"/>
  <c r="F1490" i="1" a="1"/>
  <c r="F1490" i="1"/>
  <c r="F1491" i="1" a="1"/>
  <c r="F1491" i="1"/>
  <c r="F1492" i="1" a="1"/>
  <c r="F1492" i="1"/>
  <c r="F1493" i="1" a="1"/>
  <c r="F1493" i="1"/>
  <c r="F1494" i="1" a="1"/>
  <c r="F1494" i="1"/>
  <c r="F1495" i="1" a="1"/>
  <c r="F1495" i="1"/>
  <c r="F1496" i="1" a="1"/>
  <c r="F1496" i="1"/>
  <c r="F1497" i="1" a="1"/>
  <c r="F1497" i="1"/>
  <c r="F1498" i="1" a="1"/>
  <c r="F1498" i="1"/>
  <c r="F1499" i="1" a="1"/>
  <c r="F1499" i="1"/>
  <c r="F1500" i="1" a="1"/>
  <c r="F1500" i="1"/>
  <c r="F1501" i="1" a="1"/>
  <c r="F1501" i="1"/>
  <c r="F1502" i="1" a="1"/>
  <c r="F1502" i="1"/>
  <c r="F1503" i="1" a="1"/>
  <c r="F1503" i="1"/>
  <c r="F1504" i="1" a="1"/>
  <c r="F1504" i="1"/>
  <c r="F1505" i="1" a="1"/>
  <c r="F1505" i="1"/>
  <c r="F1506" i="1" a="1"/>
  <c r="F1506" i="1"/>
  <c r="F1507" i="1" a="1"/>
  <c r="F1507" i="1"/>
  <c r="F1508" i="1" a="1"/>
  <c r="F1508" i="1"/>
  <c r="F1509" i="1" a="1"/>
  <c r="F1509" i="1"/>
  <c r="F1510" i="1" a="1"/>
  <c r="F1510" i="1"/>
  <c r="F1511" i="1" a="1"/>
  <c r="F1511" i="1"/>
  <c r="F1512" i="1" a="1"/>
  <c r="F1512" i="1"/>
  <c r="F1513" i="1" a="1"/>
  <c r="F1513" i="1"/>
  <c r="F1514" i="1" a="1"/>
  <c r="F1514" i="1"/>
  <c r="F1515" i="1" a="1"/>
  <c r="F1515" i="1"/>
  <c r="F1516" i="1" a="1"/>
  <c r="F1516" i="1"/>
  <c r="F1517" i="1" a="1"/>
  <c r="F1517" i="1"/>
  <c r="F1518" i="1" a="1"/>
  <c r="F1518" i="1"/>
  <c r="F1519" i="1" a="1"/>
  <c r="F1519" i="1"/>
  <c r="F1520" i="1" a="1"/>
  <c r="F1520" i="1"/>
  <c r="F1521" i="1" a="1"/>
  <c r="F1521" i="1"/>
  <c r="F1522" i="1" a="1"/>
  <c r="F1522" i="1"/>
  <c r="F1523" i="1" a="1"/>
  <c r="F1523" i="1"/>
  <c r="F1524" i="1" a="1"/>
  <c r="F1524" i="1"/>
  <c r="F1525" i="1" a="1"/>
  <c r="F1525" i="1"/>
  <c r="F1526" i="1" a="1"/>
  <c r="F1526" i="1"/>
  <c r="F1527" i="1" a="1"/>
  <c r="F1527" i="1"/>
  <c r="F1528" i="1" a="1"/>
  <c r="F1528" i="1"/>
  <c r="F1529" i="1" a="1"/>
  <c r="F1529" i="1"/>
  <c r="F1530" i="1" a="1"/>
  <c r="F1530" i="1"/>
  <c r="F1531" i="1" a="1"/>
  <c r="F1531" i="1"/>
  <c r="F1532" i="1" a="1"/>
  <c r="F1532" i="1"/>
  <c r="F1533" i="1" a="1"/>
  <c r="F1533" i="1"/>
  <c r="F1534" i="1" a="1"/>
  <c r="F1534" i="1"/>
  <c r="F1535" i="1" a="1"/>
  <c r="F1535" i="1"/>
  <c r="F1536" i="1" a="1"/>
  <c r="F1536" i="1"/>
  <c r="F1537" i="1" a="1"/>
  <c r="F1537" i="1"/>
  <c r="F1538" i="1" a="1"/>
  <c r="F1538" i="1"/>
  <c r="F1539" i="1" a="1"/>
  <c r="F1539" i="1"/>
  <c r="F1540" i="1" a="1"/>
  <c r="F1540" i="1"/>
  <c r="F1541" i="1" a="1"/>
  <c r="F1541" i="1"/>
  <c r="F1542" i="1" a="1"/>
  <c r="F1542" i="1"/>
  <c r="F1543" i="1" a="1"/>
  <c r="F1543" i="1"/>
  <c r="F1544" i="1" a="1"/>
  <c r="F1544" i="1"/>
  <c r="F1545" i="1" a="1"/>
  <c r="F1545" i="1"/>
  <c r="F1546" i="1" a="1"/>
  <c r="F1546" i="1"/>
  <c r="F1547" i="1" a="1"/>
  <c r="F1547" i="1"/>
  <c r="F1548" i="1" a="1"/>
  <c r="F1548" i="1"/>
  <c r="F1549" i="1" a="1"/>
  <c r="F1549" i="1"/>
  <c r="F1550" i="1" a="1"/>
  <c r="F1550" i="1"/>
  <c r="F1551" i="1" a="1"/>
  <c r="F1551" i="1"/>
  <c r="F1552" i="1" a="1"/>
  <c r="F1552" i="1"/>
  <c r="F1553" i="1" a="1"/>
  <c r="F1553" i="1"/>
  <c r="F1554" i="1" a="1"/>
  <c r="F1554" i="1"/>
  <c r="F1555" i="1" a="1"/>
  <c r="F1555" i="1"/>
  <c r="F1556" i="1" a="1"/>
  <c r="F1556" i="1"/>
  <c r="F1557" i="1" a="1"/>
  <c r="F1557" i="1"/>
  <c r="F1558" i="1" a="1"/>
  <c r="F1558" i="1"/>
  <c r="F1559" i="1" a="1"/>
  <c r="F1559" i="1"/>
  <c r="F1560" i="1" a="1"/>
  <c r="F1560" i="1"/>
  <c r="F1561" i="1" a="1"/>
  <c r="F1561" i="1"/>
  <c r="F1562" i="1" a="1"/>
  <c r="F1562" i="1"/>
  <c r="F1563" i="1" a="1"/>
  <c r="F1563" i="1"/>
  <c r="F1564" i="1" a="1"/>
  <c r="F1564" i="1"/>
  <c r="F1565" i="1" a="1"/>
  <c r="F1565" i="1"/>
  <c r="F1566" i="1" a="1"/>
  <c r="F1566" i="1"/>
  <c r="F1567" i="1" a="1"/>
  <c r="F1567" i="1"/>
  <c r="F1568" i="1" a="1"/>
  <c r="F1568" i="1"/>
  <c r="F1569" i="1" a="1"/>
  <c r="F1569" i="1"/>
  <c r="F1570" i="1" a="1"/>
  <c r="F1570" i="1"/>
  <c r="F1571" i="1" a="1"/>
  <c r="F1571" i="1"/>
  <c r="F1572" i="1" a="1"/>
  <c r="F1572" i="1"/>
  <c r="F1573" i="1" a="1"/>
  <c r="F1573" i="1"/>
  <c r="F1574" i="1" a="1"/>
  <c r="F1574" i="1"/>
  <c r="F1575" i="1" a="1"/>
  <c r="F1575" i="1"/>
  <c r="F1576" i="1" a="1"/>
  <c r="F1576" i="1"/>
  <c r="F1577" i="1" a="1"/>
  <c r="F1577" i="1"/>
  <c r="F1578" i="1" a="1"/>
  <c r="F1578" i="1"/>
  <c r="F1579" i="1" a="1"/>
  <c r="F1579" i="1"/>
  <c r="F1580" i="1" a="1"/>
  <c r="F1580" i="1"/>
  <c r="F1581" i="1" a="1"/>
  <c r="F1581" i="1"/>
  <c r="F1582" i="1" a="1"/>
  <c r="F1582" i="1"/>
  <c r="F1583" i="1" a="1"/>
  <c r="F1583" i="1"/>
  <c r="F1584" i="1" a="1"/>
  <c r="F1584" i="1"/>
  <c r="F1585" i="1" a="1"/>
  <c r="F1585" i="1"/>
  <c r="F1586" i="1" a="1"/>
  <c r="F1586" i="1"/>
  <c r="F1587" i="1" a="1"/>
  <c r="F1587" i="1"/>
  <c r="F1588" i="1" a="1"/>
  <c r="F1588" i="1"/>
  <c r="F1589" i="1" a="1"/>
  <c r="F1589" i="1"/>
  <c r="F1590" i="1" a="1"/>
  <c r="F1590" i="1"/>
  <c r="F1591" i="1" a="1"/>
  <c r="F1591" i="1"/>
  <c r="F1592" i="1" a="1"/>
  <c r="F1592" i="1"/>
  <c r="F1593" i="1" a="1"/>
  <c r="F1593" i="1"/>
  <c r="F1594" i="1" a="1"/>
  <c r="F1594" i="1"/>
  <c r="F1595" i="1" a="1"/>
  <c r="F1595" i="1"/>
  <c r="F1596" i="1" a="1"/>
  <c r="F1596" i="1"/>
  <c r="F1597" i="1" a="1"/>
  <c r="F1597" i="1"/>
  <c r="F1598" i="1" a="1"/>
  <c r="F1598" i="1"/>
  <c r="F1599" i="1" a="1"/>
  <c r="F1599" i="1"/>
  <c r="F1600" i="1" a="1"/>
  <c r="F1600" i="1"/>
  <c r="F1601" i="1" a="1"/>
  <c r="F1601" i="1"/>
  <c r="F1602" i="1" a="1"/>
  <c r="F1602" i="1"/>
  <c r="F1603" i="1" a="1"/>
  <c r="F1603" i="1"/>
  <c r="F1604" i="1" a="1"/>
  <c r="F1604" i="1"/>
  <c r="F1605" i="1" a="1"/>
  <c r="F1605" i="1"/>
  <c r="F1606" i="1" a="1"/>
  <c r="F1606" i="1"/>
  <c r="F1607" i="1" a="1"/>
  <c r="F1607" i="1"/>
  <c r="F1608" i="1" a="1"/>
  <c r="F1608" i="1"/>
  <c r="F1609" i="1" a="1"/>
  <c r="F1609" i="1"/>
  <c r="F1610" i="1" a="1"/>
  <c r="F1610" i="1"/>
  <c r="F1611" i="1" a="1"/>
  <c r="F1611" i="1"/>
  <c r="F1612" i="1" a="1"/>
  <c r="F1612" i="1"/>
  <c r="F1613" i="1" a="1"/>
  <c r="F1613" i="1"/>
  <c r="F1614" i="1" a="1"/>
  <c r="F1614" i="1"/>
  <c r="F1615" i="1" a="1"/>
  <c r="F1615" i="1"/>
  <c r="F1616" i="1" a="1"/>
  <c r="F1616" i="1"/>
  <c r="F1617" i="1" a="1"/>
  <c r="F1617" i="1"/>
  <c r="F1618" i="1" a="1"/>
  <c r="F1618" i="1"/>
  <c r="F1619" i="1" a="1"/>
  <c r="F1619" i="1"/>
  <c r="F1620" i="1" a="1"/>
  <c r="F1620" i="1"/>
  <c r="F1621" i="1" a="1"/>
  <c r="F1621" i="1"/>
  <c r="F1622" i="1" a="1"/>
  <c r="F1622" i="1"/>
  <c r="F1623" i="1" a="1"/>
  <c r="F1623" i="1"/>
  <c r="F1624" i="1" a="1"/>
  <c r="F1624" i="1"/>
  <c r="F1625" i="1" a="1"/>
  <c r="F1625" i="1"/>
  <c r="F1626" i="1" a="1"/>
  <c r="F1626" i="1"/>
  <c r="F1627" i="1" a="1"/>
  <c r="F1627" i="1"/>
  <c r="F1628" i="1" a="1"/>
  <c r="F1628" i="1"/>
  <c r="F1629" i="1" a="1"/>
  <c r="F1629" i="1"/>
  <c r="F1630" i="1" a="1"/>
  <c r="F1630" i="1"/>
  <c r="F1631" i="1" a="1"/>
  <c r="F1631" i="1"/>
  <c r="F1632" i="1" a="1"/>
  <c r="F1632" i="1"/>
  <c r="F1633" i="1" a="1"/>
  <c r="F1633" i="1"/>
  <c r="F1634" i="1" a="1"/>
  <c r="F1634" i="1"/>
  <c r="F1635" i="1" a="1"/>
  <c r="F1635" i="1"/>
  <c r="F1636" i="1" a="1"/>
  <c r="F1636" i="1"/>
  <c r="F1637" i="1" a="1"/>
  <c r="F1637" i="1"/>
  <c r="F1638" i="1" a="1"/>
  <c r="F1638" i="1"/>
  <c r="F1639" i="1" a="1"/>
  <c r="F1639" i="1"/>
  <c r="F1640" i="1" a="1"/>
  <c r="F1640" i="1"/>
  <c r="F1641" i="1" a="1"/>
  <c r="F1641" i="1"/>
  <c r="F1642" i="1" a="1"/>
  <c r="F1642" i="1"/>
  <c r="F1643" i="1" a="1"/>
  <c r="F1643" i="1"/>
  <c r="F1644" i="1" a="1"/>
  <c r="F1644" i="1"/>
  <c r="F1645" i="1" a="1"/>
  <c r="F1645" i="1"/>
  <c r="F1646" i="1" a="1"/>
  <c r="F1646" i="1"/>
  <c r="F1647" i="1" a="1"/>
  <c r="F1647" i="1"/>
  <c r="F1648" i="1" a="1"/>
  <c r="F1648" i="1"/>
  <c r="F1649" i="1" a="1"/>
  <c r="F1649" i="1"/>
  <c r="F1650" i="1" a="1"/>
  <c r="F1650" i="1"/>
  <c r="F1651" i="1" a="1"/>
  <c r="F1651" i="1"/>
  <c r="F1652" i="1" a="1"/>
  <c r="F1652" i="1"/>
  <c r="F1653" i="1" a="1"/>
  <c r="F1653" i="1"/>
  <c r="F1654" i="1" a="1"/>
  <c r="F1654" i="1"/>
  <c r="F1655" i="1" a="1"/>
  <c r="F1655" i="1"/>
  <c r="F1656" i="1" a="1"/>
  <c r="F1656" i="1"/>
  <c r="F1657" i="1" a="1"/>
  <c r="F1657" i="1"/>
  <c r="F1658" i="1" a="1"/>
  <c r="F1658" i="1"/>
  <c r="F1659" i="1" a="1"/>
  <c r="F1659" i="1"/>
  <c r="F1660" i="1" a="1"/>
  <c r="F1660" i="1"/>
  <c r="F1661" i="1" a="1"/>
  <c r="F1661" i="1"/>
  <c r="F1662" i="1" a="1"/>
  <c r="F1662" i="1"/>
  <c r="F1663" i="1" a="1"/>
  <c r="F1663" i="1"/>
  <c r="F1664" i="1" a="1"/>
  <c r="F1664" i="1"/>
  <c r="F1665" i="1" a="1"/>
  <c r="F1665" i="1"/>
  <c r="F1666" i="1" a="1"/>
  <c r="F1666" i="1"/>
  <c r="F1667" i="1" a="1"/>
  <c r="F1667" i="1"/>
  <c r="F1668" i="1" a="1"/>
  <c r="F1668" i="1"/>
  <c r="F1669" i="1" a="1"/>
  <c r="F1669" i="1"/>
  <c r="F1670" i="1" a="1"/>
  <c r="F1670" i="1"/>
  <c r="F1671" i="1" a="1"/>
  <c r="F1671" i="1"/>
  <c r="F1672" i="1" a="1"/>
  <c r="F1672" i="1"/>
  <c r="F1673" i="1" a="1"/>
  <c r="F1673" i="1"/>
  <c r="F1674" i="1" a="1"/>
  <c r="F1674" i="1"/>
  <c r="F1675" i="1" a="1"/>
  <c r="F1675" i="1"/>
  <c r="F1676" i="1" a="1"/>
  <c r="F1676" i="1"/>
  <c r="F1677" i="1" a="1"/>
  <c r="F1677" i="1"/>
  <c r="F1678" i="1" a="1"/>
  <c r="F1678" i="1"/>
  <c r="F1679" i="1" a="1"/>
  <c r="F1679" i="1"/>
  <c r="F1680" i="1" a="1"/>
  <c r="F1680" i="1"/>
  <c r="F1681" i="1" a="1"/>
  <c r="F1681" i="1"/>
  <c r="F2" i="1" a="1"/>
  <c r="F2" i="1"/>
  <c r="A1369" i="1"/>
  <c r="A690" i="1"/>
  <c r="A484" i="1"/>
  <c r="A146" i="1"/>
  <c r="A236" i="1"/>
  <c r="A1370" i="1"/>
  <c r="A1371" i="1"/>
  <c r="A691" i="1"/>
  <c r="A692" i="1"/>
  <c r="A693" i="1"/>
  <c r="A1126" i="1"/>
  <c r="A1290" i="1"/>
  <c r="A694" i="1"/>
  <c r="A695" i="1"/>
  <c r="A696" i="1"/>
  <c r="A697" i="1"/>
  <c r="A698" i="1"/>
  <c r="A699" i="1"/>
  <c r="A950" i="1"/>
  <c r="A1559" i="1"/>
  <c r="A1291" i="1"/>
  <c r="A1127" i="1"/>
  <c r="A1128" i="1"/>
  <c r="A1129" i="1"/>
  <c r="A1130" i="1"/>
  <c r="A951" i="1"/>
  <c r="A952" i="1"/>
  <c r="A953" i="1"/>
  <c r="A147" i="1"/>
  <c r="A485" i="1"/>
  <c r="A486" i="1"/>
  <c r="A487" i="1"/>
  <c r="A488" i="1"/>
  <c r="A954" i="1"/>
  <c r="A955" i="1"/>
  <c r="A489" i="1"/>
  <c r="A490" i="1"/>
  <c r="A491" i="1"/>
  <c r="A492" i="1"/>
  <c r="A493" i="1"/>
  <c r="A1131" i="1"/>
  <c r="A956" i="1"/>
  <c r="A700" i="1"/>
  <c r="A701" i="1"/>
  <c r="A1132" i="1"/>
  <c r="A957" i="1"/>
  <c r="A958" i="1"/>
  <c r="A959" i="1"/>
  <c r="A1292" i="1"/>
  <c r="A702" i="1"/>
  <c r="A703" i="1"/>
  <c r="A704" i="1"/>
  <c r="A705" i="1"/>
  <c r="A960" i="1"/>
  <c r="A186" i="1"/>
  <c r="A706" i="1"/>
  <c r="A707" i="1"/>
  <c r="A708" i="1"/>
  <c r="A1293" i="1"/>
  <c r="A494" i="1"/>
  <c r="A237" i="1"/>
  <c r="A961" i="1"/>
  <c r="A709" i="1"/>
  <c r="A710" i="1"/>
  <c r="A1133" i="1"/>
  <c r="A711" i="1"/>
  <c r="A495" i="1"/>
  <c r="A187" i="1"/>
  <c r="A1134" i="1"/>
  <c r="A1135" i="1"/>
  <c r="A1136" i="1"/>
  <c r="A335" i="1"/>
  <c r="A336" i="1"/>
  <c r="A962" i="1"/>
  <c r="A1137" i="1"/>
  <c r="A963" i="1"/>
  <c r="A964" i="1"/>
  <c r="A238" i="1"/>
  <c r="A1138" i="1"/>
  <c r="A1294" i="1"/>
  <c r="A965" i="1"/>
  <c r="A966" i="1"/>
  <c r="A1295" i="1"/>
  <c r="A1139" i="1"/>
  <c r="A1296" i="1"/>
  <c r="A239" i="1"/>
  <c r="A337" i="1"/>
  <c r="A338" i="1"/>
  <c r="A339" i="1"/>
  <c r="A340" i="1"/>
  <c r="A496" i="1"/>
  <c r="A240" i="1"/>
  <c r="A188" i="1"/>
  <c r="A189" i="1"/>
  <c r="A190" i="1"/>
  <c r="A191" i="1"/>
  <c r="A192" i="1"/>
  <c r="A193" i="1"/>
  <c r="A194" i="1"/>
  <c r="A195" i="1"/>
  <c r="A196" i="1"/>
  <c r="A197" i="1"/>
  <c r="A1297" i="1"/>
  <c r="A967" i="1"/>
  <c r="A712" i="1"/>
  <c r="A497" i="1"/>
  <c r="A713" i="1"/>
  <c r="A1140" i="1"/>
  <c r="A714" i="1"/>
  <c r="A715" i="1"/>
  <c r="A241" i="1"/>
  <c r="A1372" i="1"/>
  <c r="A1141" i="1"/>
  <c r="A498" i="1"/>
  <c r="A499" i="1"/>
  <c r="A500" i="1"/>
  <c r="A1298" i="1"/>
  <c r="A968" i="1"/>
  <c r="A969" i="1"/>
  <c r="A716" i="1"/>
  <c r="A970" i="1"/>
  <c r="A501" i="1"/>
  <c r="A502" i="1"/>
  <c r="A717" i="1"/>
  <c r="A121" i="1"/>
  <c r="A1299" i="1"/>
  <c r="A1142" i="1"/>
  <c r="A1373" i="1"/>
  <c r="A503" i="1"/>
  <c r="A1143" i="1"/>
  <c r="A971" i="1"/>
  <c r="A504" i="1"/>
  <c r="A718" i="1"/>
  <c r="A505" i="1"/>
  <c r="A972" i="1"/>
  <c r="A719" i="1"/>
  <c r="A1144" i="1"/>
  <c r="A720" i="1"/>
  <c r="A1300" i="1"/>
  <c r="A1374" i="1"/>
  <c r="A1301" i="1"/>
  <c r="A973" i="1"/>
  <c r="A1302" i="1"/>
  <c r="A341" i="1"/>
  <c r="A1375" i="1"/>
  <c r="A342" i="1"/>
  <c r="A1145" i="1"/>
  <c r="A198" i="1"/>
  <c r="A1303" i="1"/>
  <c r="A506" i="1"/>
  <c r="A507" i="1"/>
  <c r="A1376" i="1"/>
  <c r="A1528" i="1"/>
  <c r="A508" i="1"/>
  <c r="A509" i="1"/>
  <c r="A1146" i="1"/>
  <c r="A1147" i="1"/>
  <c r="A974" i="1"/>
  <c r="A975" i="1"/>
  <c r="A1148" i="1"/>
  <c r="A976" i="1"/>
  <c r="A1149" i="1"/>
  <c r="A242" i="1"/>
  <c r="A1150" i="1"/>
  <c r="A148" i="1"/>
  <c r="A1529" i="1"/>
  <c r="A1530" i="1"/>
  <c r="A1531" i="1"/>
  <c r="A343" i="1"/>
  <c r="A1377" i="1"/>
  <c r="A1304" i="1"/>
  <c r="A1436" i="1"/>
  <c r="A149" i="1"/>
  <c r="A150" i="1"/>
  <c r="A151" i="1"/>
  <c r="A1437" i="1"/>
  <c r="A344" i="1"/>
  <c r="A977" i="1"/>
  <c r="A152" i="1"/>
  <c r="A243" i="1"/>
  <c r="A244" i="1"/>
  <c r="A1378" i="1"/>
  <c r="A721" i="1"/>
  <c r="A722" i="1"/>
  <c r="A510" i="1"/>
  <c r="A978" i="1"/>
  <c r="A1151" i="1"/>
  <c r="A1152" i="1"/>
  <c r="A1153" i="1"/>
  <c r="A1653" i="1"/>
  <c r="A511" i="1"/>
  <c r="A345" i="1"/>
  <c r="A512" i="1"/>
  <c r="A1379" i="1"/>
  <c r="A1532" i="1"/>
  <c r="A723" i="1"/>
  <c r="A513" i="1"/>
  <c r="A1380" i="1"/>
  <c r="A1502" i="1"/>
  <c r="A514" i="1"/>
  <c r="A346" i="1"/>
  <c r="A347" i="1"/>
  <c r="A199" i="1"/>
  <c r="A200" i="1"/>
  <c r="A1503" i="1"/>
  <c r="A122" i="1"/>
  <c r="A1381" i="1"/>
  <c r="A979" i="1"/>
  <c r="A724" i="1"/>
  <c r="A245" i="1"/>
  <c r="A1154" i="1"/>
  <c r="A725" i="1"/>
  <c r="A246" i="1"/>
  <c r="A247" i="1"/>
  <c r="A248" i="1"/>
  <c r="A249" i="1"/>
  <c r="A250" i="1"/>
  <c r="A251" i="1"/>
  <c r="A348" i="1"/>
  <c r="A201" i="1"/>
  <c r="A202" i="1"/>
  <c r="A980" i="1"/>
  <c r="A726" i="1"/>
  <c r="A349" i="1"/>
  <c r="A350" i="1"/>
  <c r="A252" i="1"/>
  <c r="A981" i="1"/>
  <c r="A1560" i="1"/>
  <c r="A515" i="1"/>
  <c r="A253" i="1"/>
  <c r="A516" i="1"/>
  <c r="A517" i="1"/>
  <c r="A982" i="1"/>
  <c r="A254" i="1"/>
  <c r="A255" i="1"/>
  <c r="A153" i="1"/>
  <c r="A123" i="1"/>
  <c r="A1155" i="1"/>
  <c r="A727" i="1"/>
  <c r="A728" i="1"/>
  <c r="A1156" i="1"/>
  <c r="A351" i="1"/>
  <c r="A1596" i="1"/>
  <c r="A124" i="1"/>
  <c r="A1594" i="1"/>
  <c r="A983" i="1"/>
  <c r="A256" i="1"/>
  <c r="A257" i="1"/>
  <c r="A984" i="1"/>
  <c r="A352" i="1"/>
  <c r="A1382" i="1"/>
  <c r="A729" i="1"/>
  <c r="A1438" i="1"/>
  <c r="A353" i="1"/>
  <c r="A518" i="1"/>
  <c r="A730" i="1"/>
  <c r="A1157" i="1"/>
  <c r="A1383" i="1"/>
  <c r="A519" i="1"/>
  <c r="A258" i="1"/>
  <c r="A354" i="1"/>
  <c r="A203" i="1"/>
  <c r="A520" i="1"/>
  <c r="A1305" i="1"/>
  <c r="A521" i="1"/>
  <c r="A2" i="1"/>
  <c r="A731" i="1"/>
  <c r="A259" i="1"/>
  <c r="A355" i="1"/>
  <c r="A522" i="1"/>
  <c r="A1504" i="1"/>
  <c r="A985" i="1"/>
  <c r="A1628" i="1"/>
  <c r="A1629" i="1"/>
  <c r="A356" i="1"/>
  <c r="A357" i="1"/>
  <c r="A1533" i="1"/>
  <c r="A732" i="1"/>
  <c r="A3" i="1"/>
  <c r="A125" i="1"/>
  <c r="A358" i="1"/>
  <c r="A1534" i="1"/>
  <c r="A359" i="1"/>
  <c r="A360" i="1"/>
  <c r="A1384" i="1"/>
  <c r="A733" i="1"/>
  <c r="A126" i="1"/>
  <c r="A361" i="1"/>
  <c r="A986" i="1"/>
  <c r="A523" i="1"/>
  <c r="A204" i="1"/>
  <c r="A987" i="1"/>
  <c r="A1597" i="1"/>
  <c r="A524" i="1"/>
  <c r="A734" i="1"/>
  <c r="A735" i="1"/>
  <c r="A205" i="1"/>
  <c r="A260" i="1"/>
  <c r="A1385" i="1"/>
  <c r="A362" i="1"/>
  <c r="A363" i="1"/>
  <c r="A1306" i="1"/>
  <c r="A206" i="1"/>
  <c r="A1439" i="1"/>
  <c r="A1576" i="1"/>
  <c r="A1440" i="1"/>
  <c r="A4" i="1"/>
  <c r="A261" i="1"/>
  <c r="A1588" i="1"/>
  <c r="A112" i="1"/>
  <c r="A154" i="1"/>
  <c r="A5" i="1"/>
  <c r="A736" i="1"/>
  <c r="A6" i="1"/>
  <c r="A1307" i="1"/>
  <c r="A364" i="1"/>
  <c r="A737" i="1"/>
  <c r="A1308" i="1"/>
  <c r="A738" i="1"/>
  <c r="A262" i="1"/>
  <c r="A365" i="1"/>
  <c r="A155" i="1"/>
  <c r="A988" i="1"/>
  <c r="A1158" i="1"/>
  <c r="A1159" i="1"/>
  <c r="A263" i="1"/>
  <c r="A1160" i="1"/>
  <c r="A264" i="1"/>
  <c r="A1598" i="1"/>
  <c r="A739" i="1"/>
  <c r="A1599" i="1"/>
  <c r="A1646" i="1"/>
  <c r="A1386" i="1"/>
  <c r="A1600" i="1"/>
  <c r="A366" i="1"/>
  <c r="A740" i="1"/>
  <c r="A1601" i="1"/>
  <c r="A7" i="1"/>
  <c r="A8" i="1"/>
  <c r="A741" i="1"/>
  <c r="A1634" i="1"/>
  <c r="A1309" i="1"/>
  <c r="A742" i="1"/>
  <c r="A1310" i="1"/>
  <c r="A1311" i="1"/>
  <c r="A1441" i="1"/>
  <c r="A989" i="1"/>
  <c r="A9" i="1"/>
  <c r="A743" i="1"/>
  <c r="A1535" i="1"/>
  <c r="A1387" i="1"/>
  <c r="A990" i="1"/>
  <c r="A265" i="1"/>
  <c r="A991" i="1"/>
  <c r="A525" i="1"/>
  <c r="A207" i="1"/>
  <c r="A208" i="1"/>
  <c r="A1161" i="1"/>
  <c r="A209" i="1"/>
  <c r="A992" i="1"/>
  <c r="A1442" i="1"/>
  <c r="A1443" i="1"/>
  <c r="A744" i="1"/>
  <c r="A266" i="1"/>
  <c r="A1162" i="1"/>
  <c r="A10" i="1"/>
  <c r="A11" i="1"/>
  <c r="A1505" i="1"/>
  <c r="A745" i="1"/>
  <c r="A1388" i="1"/>
  <c r="A12" i="1"/>
  <c r="A156" i="1"/>
  <c r="A526" i="1"/>
  <c r="A13" i="1"/>
  <c r="A527" i="1"/>
  <c r="A1163" i="1"/>
  <c r="A127" i="1"/>
  <c r="A993" i="1"/>
  <c r="A994" i="1"/>
  <c r="A128" i="1"/>
  <c r="A1444" i="1"/>
  <c r="A995" i="1"/>
  <c r="A746" i="1"/>
  <c r="A528" i="1"/>
  <c r="A747" i="1"/>
  <c r="A748" i="1"/>
  <c r="A14" i="1"/>
  <c r="A529" i="1"/>
  <c r="A15" i="1"/>
  <c r="A367" i="1"/>
  <c r="A1312" i="1"/>
  <c r="A368" i="1"/>
  <c r="A1561" i="1"/>
  <c r="A996" i="1"/>
  <c r="A530" i="1"/>
  <c r="A1164" i="1"/>
  <c r="A997" i="1"/>
  <c r="A531" i="1"/>
  <c r="A267" i="1"/>
  <c r="A749" i="1"/>
  <c r="A750" i="1"/>
  <c r="A268" i="1"/>
  <c r="A369" i="1"/>
  <c r="A532" i="1"/>
  <c r="A370" i="1"/>
  <c r="A533" i="1"/>
  <c r="A534" i="1"/>
  <c r="A269" i="1"/>
  <c r="A1313" i="1"/>
  <c r="A371" i="1"/>
  <c r="A372" i="1"/>
  <c r="A1389" i="1"/>
  <c r="A1562" i="1"/>
  <c r="A1165" i="1"/>
  <c r="A1390" i="1"/>
  <c r="A998" i="1"/>
  <c r="A999" i="1"/>
  <c r="A1000" i="1"/>
  <c r="A1001" i="1"/>
  <c r="A373" i="1"/>
  <c r="A1166" i="1"/>
  <c r="A1002" i="1"/>
  <c r="A535" i="1"/>
  <c r="A16" i="1"/>
  <c r="A1654" i="1"/>
  <c r="A1167" i="1"/>
  <c r="A1168" i="1"/>
  <c r="A1645" i="1"/>
  <c r="A17" i="1"/>
  <c r="A1647" i="1"/>
  <c r="A1602" i="1"/>
  <c r="A1169" i="1"/>
  <c r="A1603" i="1"/>
  <c r="A1655" i="1"/>
  <c r="A18" i="1"/>
  <c r="A1604" i="1"/>
  <c r="A210" i="1"/>
  <c r="A536" i="1"/>
  <c r="A19" i="1"/>
  <c r="A1170" i="1"/>
  <c r="A1656" i="1"/>
  <c r="A751" i="1"/>
  <c r="A211" i="1"/>
  <c r="A270" i="1"/>
  <c r="A1003" i="1"/>
  <c r="A20" i="1"/>
  <c r="A21" i="1"/>
  <c r="A22" i="1"/>
  <c r="A23" i="1"/>
  <c r="A1445" i="1"/>
  <c r="A1577" i="1"/>
  <c r="A24" i="1"/>
  <c r="A1171" i="1"/>
  <c r="A537" i="1"/>
  <c r="A374" i="1"/>
  <c r="A1172" i="1"/>
  <c r="A25" i="1"/>
  <c r="A538" i="1"/>
  <c r="A1173" i="1"/>
  <c r="A1391" i="1"/>
  <c r="A129" i="1"/>
  <c r="A375" i="1"/>
  <c r="A376" i="1"/>
  <c r="A212" i="1"/>
  <c r="A752" i="1"/>
  <c r="A753" i="1"/>
  <c r="A377" i="1"/>
  <c r="A754" i="1"/>
  <c r="A1174" i="1"/>
  <c r="A1630" i="1"/>
  <c r="A1648" i="1"/>
  <c r="A1605" i="1"/>
  <c r="A755" i="1"/>
  <c r="A26" i="1"/>
  <c r="A756" i="1"/>
  <c r="A1446" i="1"/>
  <c r="A27" i="1"/>
  <c r="A28" i="1"/>
  <c r="A539" i="1"/>
  <c r="A213" i="1"/>
  <c r="A1447" i="1"/>
  <c r="A1563" i="1"/>
  <c r="A1004" i="1"/>
  <c r="A1175" i="1"/>
  <c r="A271" i="1"/>
  <c r="A272" i="1"/>
  <c r="A1005" i="1"/>
  <c r="A273" i="1"/>
  <c r="A540" i="1"/>
  <c r="A378" i="1"/>
  <c r="A379" i="1"/>
  <c r="A1606" i="1"/>
  <c r="A380" i="1"/>
  <c r="A541" i="1"/>
  <c r="A542" i="1"/>
  <c r="A1536" i="1"/>
  <c r="A1006" i="1"/>
  <c r="A274" i="1"/>
  <c r="A1448" i="1"/>
  <c r="A1007" i="1"/>
  <c r="A157" i="1"/>
  <c r="A214" i="1"/>
  <c r="A130" i="1"/>
  <c r="A215" i="1"/>
  <c r="A757" i="1"/>
  <c r="A1392" i="1"/>
  <c r="A1314" i="1"/>
  <c r="A1008" i="1"/>
  <c r="A1506" i="1"/>
  <c r="A1507" i="1"/>
  <c r="A1009" i="1"/>
  <c r="A381" i="1"/>
  <c r="A1176" i="1"/>
  <c r="A758" i="1"/>
  <c r="A29" i="1"/>
  <c r="A30" i="1"/>
  <c r="A275" i="1"/>
  <c r="A31" i="1"/>
  <c r="A1449" i="1"/>
  <c r="A1177" i="1"/>
  <c r="A32" i="1"/>
  <c r="A1607" i="1"/>
  <c r="A1178" i="1"/>
  <c r="A33" i="1"/>
  <c r="A34" i="1"/>
  <c r="A216" i="1"/>
  <c r="A35" i="1"/>
  <c r="A36" i="1"/>
  <c r="A37" i="1"/>
  <c r="A38" i="1"/>
  <c r="A39" i="1"/>
  <c r="A1179" i="1"/>
  <c r="A1537" i="1"/>
  <c r="A1538" i="1"/>
  <c r="A40" i="1"/>
  <c r="A1608" i="1"/>
  <c r="A1578" i="1"/>
  <c r="A1315" i="1"/>
  <c r="A1649" i="1"/>
  <c r="A1180" i="1"/>
  <c r="A1657" i="1"/>
  <c r="A1181" i="1"/>
  <c r="A1010" i="1"/>
  <c r="A1609" i="1"/>
  <c r="A41" i="1"/>
  <c r="A42" i="1"/>
  <c r="A1011" i="1"/>
  <c r="A1182" i="1"/>
  <c r="A1658" i="1"/>
  <c r="A43" i="1"/>
  <c r="A276" i="1"/>
  <c r="A44" i="1"/>
  <c r="A45" i="1"/>
  <c r="A46" i="1"/>
  <c r="A543" i="1"/>
  <c r="A277" i="1"/>
  <c r="A544" i="1"/>
  <c r="A47" i="1"/>
  <c r="A1539" i="1"/>
  <c r="A759" i="1"/>
  <c r="A1012" i="1"/>
  <c r="A1393" i="1"/>
  <c r="A545" i="1"/>
  <c r="A1013" i="1"/>
  <c r="A1394" i="1"/>
  <c r="A1659" i="1"/>
  <c r="A1540" i="1"/>
  <c r="A48" i="1"/>
  <c r="A1316" i="1"/>
  <c r="A1014" i="1"/>
  <c r="A1541" i="1"/>
  <c r="A546" i="1"/>
  <c r="A1660" i="1"/>
  <c r="A1015" i="1"/>
  <c r="A1183" i="1"/>
  <c r="A1184" i="1"/>
  <c r="A1395" i="1"/>
  <c r="A382" i="1"/>
  <c r="A760" i="1"/>
  <c r="A761" i="1"/>
  <c r="A1396" i="1"/>
  <c r="A1397" i="1"/>
  <c r="A1398" i="1"/>
  <c r="A383" i="1"/>
  <c r="A547" i="1"/>
  <c r="A762" i="1"/>
  <c r="A1016" i="1"/>
  <c r="A763" i="1"/>
  <c r="A1185" i="1"/>
  <c r="A764" i="1"/>
  <c r="A548" i="1"/>
  <c r="A49" i="1"/>
  <c r="A50" i="1"/>
  <c r="A1186" i="1"/>
  <c r="A1187" i="1"/>
  <c r="A1450" i="1"/>
  <c r="A1564" i="1"/>
  <c r="A765" i="1"/>
  <c r="A549" i="1"/>
  <c r="A1451" i="1"/>
  <c r="A51" i="1"/>
  <c r="A1452" i="1"/>
  <c r="A1610" i="1"/>
  <c r="A1453" i="1"/>
  <c r="A278" i="1"/>
  <c r="A52" i="1"/>
  <c r="A1508" i="1"/>
  <c r="A1454" i="1"/>
  <c r="A1399" i="1"/>
  <c r="A1317" i="1"/>
  <c r="A1589" i="1"/>
  <c r="A1188" i="1"/>
  <c r="A53" i="1"/>
  <c r="A1590" i="1"/>
  <c r="A54" i="1"/>
  <c r="A1455" i="1"/>
  <c r="A550" i="1"/>
  <c r="A551" i="1"/>
  <c r="A217" i="1"/>
  <c r="A384" i="1"/>
  <c r="A385" i="1"/>
  <c r="A766" i="1"/>
  <c r="A552" i="1"/>
  <c r="A1189" i="1"/>
  <c r="A767" i="1"/>
  <c r="A218" i="1"/>
  <c r="A1190" i="1"/>
  <c r="A1318" i="1"/>
  <c r="A768" i="1"/>
  <c r="A769" i="1"/>
  <c r="A386" i="1"/>
  <c r="A1191" i="1"/>
  <c r="A770" i="1"/>
  <c r="A387" i="1"/>
  <c r="A1017" i="1"/>
  <c r="A1565" i="1"/>
  <c r="A1018" i="1"/>
  <c r="A771" i="1"/>
  <c r="A158" i="1"/>
  <c r="A279" i="1"/>
  <c r="A280" i="1"/>
  <c r="A1019" i="1"/>
  <c r="A1020" i="1"/>
  <c r="A1400" i="1"/>
  <c r="A159" i="1"/>
  <c r="A160" i="1"/>
  <c r="A161" i="1"/>
  <c r="A162" i="1"/>
  <c r="A219" i="1"/>
  <c r="A163" i="1"/>
  <c r="A164" i="1"/>
  <c r="A165" i="1"/>
  <c r="A166" i="1"/>
  <c r="A167" i="1"/>
  <c r="A168" i="1"/>
  <c r="A169" i="1"/>
  <c r="A170" i="1"/>
  <c r="A171" i="1"/>
  <c r="A172" i="1"/>
  <c r="A1542" i="1"/>
  <c r="A55" i="1"/>
  <c r="A1456" i="1"/>
  <c r="A1021" i="1"/>
  <c r="A1543" i="1"/>
  <c r="A772" i="1"/>
  <c r="A1192" i="1"/>
  <c r="A388" i="1"/>
  <c r="A773" i="1"/>
  <c r="A774" i="1"/>
  <c r="A1319" i="1"/>
  <c r="A131" i="1"/>
  <c r="A56" i="1"/>
  <c r="A1635" i="1"/>
  <c r="A57" i="1"/>
  <c r="A58" i="1"/>
  <c r="A59" i="1"/>
  <c r="A775" i="1"/>
  <c r="A553" i="1"/>
  <c r="A1566" i="1"/>
  <c r="A554" i="1"/>
  <c r="A1193" i="1"/>
  <c r="A776" i="1"/>
  <c r="A777" i="1"/>
  <c r="A555" i="1"/>
  <c r="A556" i="1"/>
  <c r="A1457" i="1"/>
  <c r="A1591" i="1"/>
  <c r="A60" i="1"/>
  <c r="A1320" i="1"/>
  <c r="A61" i="1"/>
  <c r="A62" i="1"/>
  <c r="A389" i="1"/>
  <c r="A1321" i="1"/>
  <c r="A1509" i="1"/>
  <c r="A63" i="1"/>
  <c r="A1194" i="1"/>
  <c r="A1022" i="1"/>
  <c r="A1195" i="1"/>
  <c r="A1023" i="1"/>
  <c r="A1322" i="1"/>
  <c r="A1024" i="1"/>
  <c r="A1323" i="1"/>
  <c r="A1196" i="1"/>
  <c r="A390" i="1"/>
  <c r="A557" i="1"/>
  <c r="A64" i="1"/>
  <c r="A1401" i="1"/>
  <c r="A558" i="1"/>
  <c r="A559" i="1"/>
  <c r="A778" i="1"/>
  <c r="A779" i="1"/>
  <c r="A780" i="1"/>
  <c r="A281" i="1"/>
  <c r="A1324" i="1"/>
  <c r="A1197" i="1"/>
  <c r="A781" i="1"/>
  <c r="A782" i="1"/>
  <c r="A391" i="1"/>
  <c r="A560" i="1"/>
  <c r="A1198" i="1"/>
  <c r="A65" i="1"/>
  <c r="A1510" i="1"/>
  <c r="A1025" i="1"/>
  <c r="A1199" i="1"/>
  <c r="A1592" i="1"/>
  <c r="A1200" i="1"/>
  <c r="A783" i="1"/>
  <c r="A561" i="1"/>
  <c r="A1511" i="1"/>
  <c r="A173" i="1"/>
  <c r="A220" i="1"/>
  <c r="A66" i="1"/>
  <c r="A67" i="1"/>
  <c r="A113" i="1"/>
  <c r="A282" i="1"/>
  <c r="A68" i="1"/>
  <c r="A283" i="1"/>
  <c r="A69" i="1"/>
  <c r="A784" i="1"/>
  <c r="A785" i="1"/>
  <c r="A1661" i="1"/>
  <c r="A392" i="1"/>
  <c r="A786" i="1"/>
  <c r="A1201" i="1"/>
  <c r="A1611" i="1"/>
  <c r="A393" i="1"/>
  <c r="A787" i="1"/>
  <c r="A1202" i="1"/>
  <c r="A1026" i="1"/>
  <c r="A1027" i="1"/>
  <c r="A1203" i="1"/>
  <c r="A70" i="1"/>
  <c r="A1544" i="1"/>
  <c r="A284" i="1"/>
  <c r="A394" i="1"/>
  <c r="A1028" i="1"/>
  <c r="A1204" i="1"/>
  <c r="A1325" i="1"/>
  <c r="A1029" i="1"/>
  <c r="A1612" i="1"/>
  <c r="A562" i="1"/>
  <c r="A1205" i="1"/>
  <c r="A1326" i="1"/>
  <c r="A1512" i="1"/>
  <c r="A1327" i="1"/>
  <c r="A285" i="1"/>
  <c r="A1402" i="1"/>
  <c r="A1458" i="1"/>
  <c r="A1030" i="1"/>
  <c r="A132" i="1"/>
  <c r="A395" i="1"/>
  <c r="A396" i="1"/>
  <c r="A788" i="1"/>
  <c r="A1513" i="1"/>
  <c r="A174" i="1"/>
  <c r="A789" i="1"/>
  <c r="A563" i="1"/>
  <c r="A564" i="1"/>
  <c r="A133" i="1"/>
  <c r="A790" i="1"/>
  <c r="A1031" i="1"/>
  <c r="A1032" i="1"/>
  <c r="A1033" i="1"/>
  <c r="A1034" i="1"/>
  <c r="A1035" i="1"/>
  <c r="A791" i="1"/>
  <c r="A1206" i="1"/>
  <c r="A792" i="1"/>
  <c r="A1514" i="1"/>
  <c r="A793" i="1"/>
  <c r="A1036" i="1"/>
  <c r="A1403" i="1"/>
  <c r="A397" i="1"/>
  <c r="A1037" i="1"/>
  <c r="A398" i="1"/>
  <c r="A794" i="1"/>
  <c r="A286" i="1"/>
  <c r="A795" i="1"/>
  <c r="A71" i="1"/>
  <c r="A1515" i="1"/>
  <c r="A399" i="1"/>
  <c r="A287" i="1"/>
  <c r="A1038" i="1"/>
  <c r="A565" i="1"/>
  <c r="A1207" i="1"/>
  <c r="A175" i="1"/>
  <c r="A1516" i="1"/>
  <c r="A1208" i="1"/>
  <c r="A400" i="1"/>
  <c r="A1039" i="1"/>
  <c r="A1328" i="1"/>
  <c r="A1209" i="1"/>
  <c r="A401" i="1"/>
  <c r="A796" i="1"/>
  <c r="A1040" i="1"/>
  <c r="A797" i="1"/>
  <c r="A566" i="1"/>
  <c r="A402" i="1"/>
  <c r="A567" i="1"/>
  <c r="A1459" i="1"/>
  <c r="A798" i="1"/>
  <c r="A568" i="1"/>
  <c r="A799" i="1"/>
  <c r="A800" i="1"/>
  <c r="A1210" i="1"/>
  <c r="A288" i="1"/>
  <c r="A72" i="1"/>
  <c r="A801" i="1"/>
  <c r="A1041" i="1"/>
  <c r="A1567" i="1"/>
  <c r="A1042" i="1"/>
  <c r="A802" i="1"/>
  <c r="A1043" i="1"/>
  <c r="A403" i="1"/>
  <c r="A221" i="1"/>
  <c r="A1404" i="1"/>
  <c r="A1460" i="1"/>
  <c r="A1461" i="1"/>
  <c r="A1636" i="1"/>
  <c r="A1642" i="1"/>
  <c r="A1211" i="1"/>
  <c r="A569" i="1"/>
  <c r="A1044" i="1"/>
  <c r="A404" i="1"/>
  <c r="A803" i="1"/>
  <c r="A804" i="1"/>
  <c r="A405" i="1"/>
  <c r="A570" i="1"/>
  <c r="A289" i="1"/>
  <c r="A571" i="1"/>
  <c r="A1045" i="1"/>
  <c r="A572" i="1"/>
  <c r="A573" i="1"/>
  <c r="A574" i="1"/>
  <c r="A1405" i="1"/>
  <c r="A1462" i="1"/>
  <c r="A406" i="1"/>
  <c r="A1212" i="1"/>
  <c r="A1046" i="1"/>
  <c r="A1213" i="1"/>
  <c r="A1517" i="1"/>
  <c r="A1406" i="1"/>
  <c r="A114" i="1"/>
  <c r="A1047" i="1"/>
  <c r="A1048" i="1"/>
  <c r="A575" i="1"/>
  <c r="A576" i="1"/>
  <c r="A805" i="1"/>
  <c r="A73" i="1"/>
  <c r="A806" i="1"/>
  <c r="A807" i="1"/>
  <c r="A577" i="1"/>
  <c r="A578" i="1"/>
  <c r="A808" i="1"/>
  <c r="A407" i="1"/>
  <c r="A579" i="1"/>
  <c r="A580" i="1"/>
  <c r="A1329" i="1"/>
  <c r="A290" i="1"/>
  <c r="A176" i="1"/>
  <c r="A1330" i="1"/>
  <c r="A1214" i="1"/>
  <c r="A1463" i="1"/>
  <c r="A134" i="1"/>
  <c r="A581" i="1"/>
  <c r="A408" i="1"/>
  <c r="A1049" i="1"/>
  <c r="A177" i="1"/>
  <c r="A1613" i="1"/>
  <c r="A291" i="1"/>
  <c r="A292" i="1"/>
  <c r="A809" i="1"/>
  <c r="A293" i="1"/>
  <c r="A409" i="1"/>
  <c r="A1050" i="1"/>
  <c r="A410" i="1"/>
  <c r="A294" i="1"/>
  <c r="A582" i="1"/>
  <c r="A810" i="1"/>
  <c r="A583" i="1"/>
  <c r="A1331" i="1"/>
  <c r="A1332" i="1"/>
  <c r="A811" i="1"/>
  <c r="A1051" i="1"/>
  <c r="A1215" i="1"/>
  <c r="A411" i="1"/>
  <c r="A412" i="1"/>
  <c r="A295" i="1"/>
  <c r="A1407" i="1"/>
  <c r="A1637" i="1"/>
  <c r="A115" i="1"/>
  <c r="A74" i="1"/>
  <c r="A812" i="1"/>
  <c r="A1408" i="1"/>
  <c r="A413" i="1"/>
  <c r="A1216" i="1"/>
  <c r="A1217" i="1"/>
  <c r="A75" i="1"/>
  <c r="A1218" i="1"/>
  <c r="A1662" i="1"/>
  <c r="A296" i="1"/>
  <c r="A584" i="1"/>
  <c r="A813" i="1"/>
  <c r="A585" i="1"/>
  <c r="A1052" i="1"/>
  <c r="A1219" i="1"/>
  <c r="A414" i="1"/>
  <c r="A1053" i="1"/>
  <c r="A1054" i="1"/>
  <c r="A814" i="1"/>
  <c r="A1055" i="1"/>
  <c r="A1220" i="1"/>
  <c r="A1409" i="1"/>
  <c r="A297" i="1"/>
  <c r="A1410" i="1"/>
  <c r="A586" i="1"/>
  <c r="A815" i="1"/>
  <c r="A1221" i="1"/>
  <c r="A298" i="1"/>
  <c r="A1518" i="1"/>
  <c r="A1222" i="1"/>
  <c r="A299" i="1"/>
  <c r="A587" i="1"/>
  <c r="A588" i="1"/>
  <c r="A300" i="1"/>
  <c r="A76" i="1"/>
  <c r="A1223" i="1"/>
  <c r="A1224" i="1"/>
  <c r="A1056" i="1"/>
  <c r="A1057" i="1"/>
  <c r="A816" i="1"/>
  <c r="A1058" i="1"/>
  <c r="A1333" i="1"/>
  <c r="A817" i="1"/>
  <c r="A1225" i="1"/>
  <c r="A818" i="1"/>
  <c r="A1663" i="1"/>
  <c r="A1593" i="1"/>
  <c r="A1226" i="1"/>
  <c r="A1059" i="1"/>
  <c r="A589" i="1"/>
  <c r="A819" i="1"/>
  <c r="A1464" i="1"/>
  <c r="A77" i="1"/>
  <c r="A1638" i="1"/>
  <c r="A1227" i="1"/>
  <c r="A415" i="1"/>
  <c r="A590" i="1"/>
  <c r="A1334" i="1"/>
  <c r="A1335" i="1"/>
  <c r="A1060" i="1"/>
  <c r="A1336" i="1"/>
  <c r="A591" i="1"/>
  <c r="A416" i="1"/>
  <c r="A820" i="1"/>
  <c r="A592" i="1"/>
  <c r="A593" i="1"/>
  <c r="A417" i="1"/>
  <c r="A222" i="1"/>
  <c r="A223" i="1"/>
  <c r="A135" i="1"/>
  <c r="A821" i="1"/>
  <c r="A822" i="1"/>
  <c r="A1061" i="1"/>
  <c r="A1062" i="1"/>
  <c r="A1063" i="1"/>
  <c r="A823" i="1"/>
  <c r="A824" i="1"/>
  <c r="A1228" i="1"/>
  <c r="A594" i="1"/>
  <c r="A825" i="1"/>
  <c r="A826" i="1"/>
  <c r="A1229" i="1"/>
  <c r="A1064" i="1"/>
  <c r="A418" i="1"/>
  <c r="A1465" i="1"/>
  <c r="A419" i="1"/>
  <c r="A1614" i="1"/>
  <c r="A420" i="1"/>
  <c r="A595" i="1"/>
  <c r="A827" i="1"/>
  <c r="A596" i="1"/>
  <c r="A421" i="1"/>
  <c r="A301" i="1"/>
  <c r="A828" i="1"/>
  <c r="A302" i="1"/>
  <c r="A1631" i="1"/>
  <c r="A829" i="1"/>
  <c r="A422" i="1"/>
  <c r="A1411" i="1"/>
  <c r="A830" i="1"/>
  <c r="A116" i="1"/>
  <c r="A303" i="1"/>
  <c r="A831" i="1"/>
  <c r="A423" i="1"/>
  <c r="A1230" i="1"/>
  <c r="A597" i="1"/>
  <c r="A832" i="1"/>
  <c r="A833" i="1"/>
  <c r="A1231" i="1"/>
  <c r="A598" i="1"/>
  <c r="A599" i="1"/>
  <c r="A1337" i="1"/>
  <c r="A1232" i="1"/>
  <c r="A424" i="1"/>
  <c r="A1338" i="1"/>
  <c r="A224" i="1"/>
  <c r="A1339" i="1"/>
  <c r="A600" i="1"/>
  <c r="A304" i="1"/>
  <c r="A834" i="1"/>
  <c r="A1340" i="1"/>
  <c r="A601" i="1"/>
  <c r="A305" i="1"/>
  <c r="A1233" i="1"/>
  <c r="A1234" i="1"/>
  <c r="A1664" i="1"/>
  <c r="A425" i="1"/>
  <c r="A1665" i="1"/>
  <c r="A835" i="1"/>
  <c r="A836" i="1"/>
  <c r="A426" i="1"/>
  <c r="A837" i="1"/>
  <c r="A1235" i="1"/>
  <c r="A838" i="1"/>
  <c r="A602" i="1"/>
  <c r="A1236" i="1"/>
  <c r="A1237" i="1"/>
  <c r="A1238" i="1"/>
  <c r="A78" i="1"/>
  <c r="A79" i="1"/>
  <c r="A1239" i="1"/>
  <c r="A80" i="1"/>
  <c r="A81" i="1"/>
  <c r="A839" i="1"/>
  <c r="A603" i="1"/>
  <c r="A840" i="1"/>
  <c r="A604" i="1"/>
  <c r="A605" i="1"/>
  <c r="A606" i="1"/>
  <c r="A306" i="1"/>
  <c r="A607" i="1"/>
  <c r="A225" i="1"/>
  <c r="A1519" i="1"/>
  <c r="A608" i="1"/>
  <c r="A1545" i="1"/>
  <c r="A1615" i="1"/>
  <c r="A1065" i="1"/>
  <c r="A82" i="1"/>
  <c r="A841" i="1"/>
  <c r="A842" i="1"/>
  <c r="A843" i="1"/>
  <c r="A1240" i="1"/>
  <c r="A1241" i="1"/>
  <c r="A427" i="1"/>
  <c r="A609" i="1"/>
  <c r="A1066" i="1"/>
  <c r="A844" i="1"/>
  <c r="A610" i="1"/>
  <c r="A845" i="1"/>
  <c r="A611" i="1"/>
  <c r="A612" i="1"/>
  <c r="A846" i="1"/>
  <c r="A1067" i="1"/>
  <c r="A1242" i="1"/>
  <c r="A847" i="1"/>
  <c r="A848" i="1"/>
  <c r="A428" i="1"/>
  <c r="A429" i="1"/>
  <c r="A849" i="1"/>
  <c r="A850" i="1"/>
  <c r="A430" i="1"/>
  <c r="A613" i="1"/>
  <c r="A851" i="1"/>
  <c r="A1243" i="1"/>
  <c r="A1466" i="1"/>
  <c r="A614" i="1"/>
  <c r="A1068" i="1"/>
  <c r="A852" i="1"/>
  <c r="A853" i="1"/>
  <c r="A615" i="1"/>
  <c r="A1244" i="1"/>
  <c r="A854" i="1"/>
  <c r="A431" i="1"/>
  <c r="A1245" i="1"/>
  <c r="A855" i="1"/>
  <c r="A856" i="1"/>
  <c r="A136" i="1"/>
  <c r="A857" i="1"/>
  <c r="A1069" i="1"/>
  <c r="A137" i="1"/>
  <c r="A1246" i="1"/>
  <c r="A83" i="1"/>
  <c r="A1520" i="1"/>
  <c r="A1412" i="1"/>
  <c r="A1247" i="1"/>
  <c r="A616" i="1"/>
  <c r="A138" i="1"/>
  <c r="A617" i="1"/>
  <c r="A1248" i="1"/>
  <c r="A858" i="1"/>
  <c r="A1579" i="1"/>
  <c r="A859" i="1"/>
  <c r="A618" i="1"/>
  <c r="A1070" i="1"/>
  <c r="A860" i="1"/>
  <c r="A861" i="1"/>
  <c r="A619" i="1"/>
  <c r="A862" i="1"/>
  <c r="A863" i="1"/>
  <c r="A84" i="1"/>
  <c r="A85" i="1"/>
  <c r="A864" i="1"/>
  <c r="A1071" i="1"/>
  <c r="A865" i="1"/>
  <c r="A432" i="1"/>
  <c r="A866" i="1"/>
  <c r="A867" i="1"/>
  <c r="A1341" i="1"/>
  <c r="A433" i="1"/>
  <c r="A434" i="1"/>
  <c r="A307" i="1"/>
  <c r="A868" i="1"/>
  <c r="A86" i="1"/>
  <c r="A1249" i="1"/>
  <c r="A226" i="1"/>
  <c r="A435" i="1"/>
  <c r="A1250" i="1"/>
  <c r="A620" i="1"/>
  <c r="A178" i="1"/>
  <c r="A436" i="1"/>
  <c r="A308" i="1"/>
  <c r="A1342" i="1"/>
  <c r="A621" i="1"/>
  <c r="A622" i="1"/>
  <c r="A869" i="1"/>
  <c r="A870" i="1"/>
  <c r="A623" i="1"/>
  <c r="A1072" i="1"/>
  <c r="A437" i="1"/>
  <c r="A1251" i="1"/>
  <c r="A1073" i="1"/>
  <c r="A1252" i="1"/>
  <c r="A1253" i="1"/>
  <c r="A1254" i="1"/>
  <c r="A624" i="1"/>
  <c r="A1343" i="1"/>
  <c r="A871" i="1"/>
  <c r="A872" i="1"/>
  <c r="A873" i="1"/>
  <c r="A625" i="1"/>
  <c r="A1255" i="1"/>
  <c r="A1546" i="1"/>
  <c r="A1413" i="1"/>
  <c r="A438" i="1"/>
  <c r="A626" i="1"/>
  <c r="A439" i="1"/>
  <c r="A440" i="1"/>
  <c r="A1074" i="1"/>
  <c r="A441" i="1"/>
  <c r="A874" i="1"/>
  <c r="A875" i="1"/>
  <c r="A627" i="1"/>
  <c r="A628" i="1"/>
  <c r="A1256" i="1"/>
  <c r="A1075" i="1"/>
  <c r="A1076" i="1"/>
  <c r="A1077" i="1"/>
  <c r="A876" i="1"/>
  <c r="A442" i="1"/>
  <c r="A1078" i="1"/>
  <c r="A1079" i="1"/>
  <c r="A1257" i="1"/>
  <c r="A1080" i="1"/>
  <c r="A629" i="1"/>
  <c r="A443" i="1"/>
  <c r="A444" i="1"/>
  <c r="A877" i="1"/>
  <c r="A630" i="1"/>
  <c r="A87" i="1"/>
  <c r="A878" i="1"/>
  <c r="A1666" i="1"/>
  <c r="A631" i="1"/>
  <c r="A879" i="1"/>
  <c r="A632" i="1"/>
  <c r="A880" i="1"/>
  <c r="A445" i="1"/>
  <c r="A1467" i="1"/>
  <c r="A1414" i="1"/>
  <c r="A179" i="1"/>
  <c r="A1468" i="1"/>
  <c r="A1469" i="1"/>
  <c r="A633" i="1"/>
  <c r="A1632" i="1"/>
  <c r="A1470" i="1"/>
  <c r="A446" i="1"/>
  <c r="A1081" i="1"/>
  <c r="A634" i="1"/>
  <c r="A1258" i="1"/>
  <c r="A1547" i="1"/>
  <c r="A309" i="1"/>
  <c r="A447" i="1"/>
  <c r="A1259" i="1"/>
  <c r="A635" i="1"/>
  <c r="A1082" i="1"/>
  <c r="A1616" i="1"/>
  <c r="A881" i="1"/>
  <c r="A448" i="1"/>
  <c r="A180" i="1"/>
  <c r="A636" i="1"/>
  <c r="A310" i="1"/>
  <c r="A882" i="1"/>
  <c r="A1344" i="1"/>
  <c r="A883" i="1"/>
  <c r="A884" i="1"/>
  <c r="A1568" i="1"/>
  <c r="A885" i="1"/>
  <c r="A1471" i="1"/>
  <c r="A1472" i="1"/>
  <c r="A1473" i="1"/>
  <c r="A1474" i="1"/>
  <c r="A1475" i="1"/>
  <c r="A1476" i="1"/>
  <c r="A1477" i="1"/>
  <c r="A1478" i="1"/>
  <c r="A886" i="1"/>
  <c r="A1479" i="1"/>
  <c r="A1480" i="1"/>
  <c r="A1481" i="1"/>
  <c r="A1083" i="1"/>
  <c r="A887" i="1"/>
  <c r="A888" i="1"/>
  <c r="A181" i="1"/>
  <c r="A1482" i="1"/>
  <c r="A889" i="1"/>
  <c r="A1084" i="1"/>
  <c r="A1260" i="1"/>
  <c r="A1667" i="1"/>
  <c r="A1261" i="1"/>
  <c r="A1668" i="1"/>
  <c r="A1669" i="1"/>
  <c r="A1415" i="1"/>
  <c r="A182" i="1"/>
  <c r="A637" i="1"/>
  <c r="A1345" i="1"/>
  <c r="A311" i="1"/>
  <c r="A890" i="1"/>
  <c r="A1262" i="1"/>
  <c r="A139" i="1"/>
  <c r="A1416" i="1"/>
  <c r="A891" i="1"/>
  <c r="A227" i="1"/>
  <c r="A1346" i="1"/>
  <c r="A1548" i="1"/>
  <c r="A638" i="1"/>
  <c r="A1569" i="1"/>
  <c r="A1417" i="1"/>
  <c r="A639" i="1"/>
  <c r="A640" i="1"/>
  <c r="A1085" i="1"/>
  <c r="A892" i="1"/>
  <c r="A641" i="1"/>
  <c r="A1086" i="1"/>
  <c r="A1418" i="1"/>
  <c r="A1347" i="1"/>
  <c r="A1419" i="1"/>
  <c r="A312" i="1"/>
  <c r="A313" i="1"/>
  <c r="A642" i="1"/>
  <c r="A643" i="1"/>
  <c r="A1087" i="1"/>
  <c r="A1088" i="1"/>
  <c r="A1263" i="1"/>
  <c r="A893" i="1"/>
  <c r="A140" i="1"/>
  <c r="A1089" i="1"/>
  <c r="A1670" i="1"/>
  <c r="A1264" i="1"/>
  <c r="A1348" i="1"/>
  <c r="A894" i="1"/>
  <c r="A1595" i="1"/>
  <c r="A1349" i="1"/>
  <c r="A1580" i="1"/>
  <c r="A1581" i="1"/>
  <c r="A1549" i="1"/>
  <c r="A1090" i="1"/>
  <c r="A895" i="1"/>
  <c r="A896" i="1"/>
  <c r="A1350" i="1"/>
  <c r="A88" i="1"/>
  <c r="A183" i="1"/>
  <c r="A644" i="1"/>
  <c r="A645" i="1"/>
  <c r="A897" i="1"/>
  <c r="A1351" i="1"/>
  <c r="A898" i="1"/>
  <c r="A1091" i="1"/>
  <c r="A1483" i="1"/>
  <c r="A899" i="1"/>
  <c r="A1484" i="1"/>
  <c r="A900" i="1"/>
  <c r="A1420" i="1"/>
  <c r="A1521" i="1"/>
  <c r="A1582" i="1"/>
  <c r="A1352" i="1"/>
  <c r="A1550" i="1"/>
  <c r="A89" i="1"/>
  <c r="A1522" i="1"/>
  <c r="A314" i="1"/>
  <c r="A901" i="1"/>
  <c r="A90" i="1"/>
  <c r="A1650" i="1"/>
  <c r="A1523" i="1"/>
  <c r="A1421" i="1"/>
  <c r="A1353" i="1"/>
  <c r="A449" i="1"/>
  <c r="A646" i="1"/>
  <c r="A647" i="1"/>
  <c r="A1354" i="1"/>
  <c r="A450" i="1"/>
  <c r="A141" i="1"/>
  <c r="A228" i="1"/>
  <c r="A1265" i="1"/>
  <c r="A451" i="1"/>
  <c r="A648" i="1"/>
  <c r="A1355" i="1"/>
  <c r="A1485" i="1"/>
  <c r="A1266" i="1"/>
  <c r="A1583" i="1"/>
  <c r="A1267" i="1"/>
  <c r="A315" i="1"/>
  <c r="A649" i="1"/>
  <c r="A452" i="1"/>
  <c r="A91" i="1"/>
  <c r="A1092" i="1"/>
  <c r="A902" i="1"/>
  <c r="A1551" i="1"/>
  <c r="A453" i="1"/>
  <c r="A454" i="1"/>
  <c r="A1570" i="1"/>
  <c r="A229" i="1"/>
  <c r="A1524" i="1"/>
  <c r="A230" i="1"/>
  <c r="A316" i="1"/>
  <c r="A650" i="1"/>
  <c r="A1640" i="1"/>
  <c r="A317" i="1"/>
  <c r="A1552" i="1"/>
  <c r="A1093" i="1"/>
  <c r="A92" i="1"/>
  <c r="A93" i="1"/>
  <c r="A94" i="1"/>
  <c r="A1643" i="1"/>
  <c r="A1671" i="1"/>
  <c r="A1672" i="1"/>
  <c r="A1553" i="1"/>
  <c r="A318" i="1"/>
  <c r="A903" i="1"/>
  <c r="A1486" i="1"/>
  <c r="A142" i="1"/>
  <c r="A1356" i="1"/>
  <c r="A1094" i="1"/>
  <c r="A455" i="1"/>
  <c r="A904" i="1"/>
  <c r="A1357" i="1"/>
  <c r="A95" i="1"/>
  <c r="A1095" i="1"/>
  <c r="A1422" i="1"/>
  <c r="A1617" i="1"/>
  <c r="A1358" i="1"/>
  <c r="A1268" i="1"/>
  <c r="A456" i="1"/>
  <c r="A1571" i="1"/>
  <c r="A1423" i="1"/>
  <c r="A905" i="1"/>
  <c r="A906" i="1"/>
  <c r="A1269" i="1"/>
  <c r="A1270" i="1"/>
  <c r="A907" i="1"/>
  <c r="A1096" i="1"/>
  <c r="A651" i="1"/>
  <c r="A908" i="1"/>
  <c r="A1097" i="1"/>
  <c r="A1098" i="1"/>
  <c r="A1271" i="1"/>
  <c r="A457" i="1"/>
  <c r="A1359" i="1"/>
  <c r="A1424" i="1"/>
  <c r="A909" i="1"/>
  <c r="A319" i="1"/>
  <c r="A1673" i="1"/>
  <c r="A1618" i="1"/>
  <c r="A1674" i="1"/>
  <c r="A1360" i="1"/>
  <c r="A117" i="1"/>
  <c r="A1675" i="1"/>
  <c r="A910" i="1"/>
  <c r="A458" i="1"/>
  <c r="A1099" i="1"/>
  <c r="A652" i="1"/>
  <c r="A459" i="1"/>
  <c r="A653" i="1"/>
  <c r="A654" i="1"/>
  <c r="A911" i="1"/>
  <c r="A912" i="1"/>
  <c r="A1487" i="1"/>
  <c r="A1488" i="1"/>
  <c r="A96" i="1"/>
  <c r="A655" i="1"/>
  <c r="A460" i="1"/>
  <c r="A320" i="1"/>
  <c r="A118" i="1"/>
  <c r="A143" i="1"/>
  <c r="A1676" i="1"/>
  <c r="A461" i="1"/>
  <c r="A321" i="1"/>
  <c r="A462" i="1"/>
  <c r="A913" i="1"/>
  <c r="A1489" i="1"/>
  <c r="A1644" i="1"/>
  <c r="A914" i="1"/>
  <c r="A1554" i="1"/>
  <c r="A915" i="1"/>
  <c r="A1361" i="1"/>
  <c r="A656" i="1"/>
  <c r="A916" i="1"/>
  <c r="A1525" i="1"/>
  <c r="A463" i="1"/>
  <c r="A917" i="1"/>
  <c r="A657" i="1"/>
  <c r="A918" i="1"/>
  <c r="A144" i="1"/>
  <c r="A658" i="1"/>
  <c r="A1362" i="1"/>
  <c r="A464" i="1"/>
  <c r="A659" i="1"/>
  <c r="A1651" i="1"/>
  <c r="A660" i="1"/>
  <c r="A1425" i="1"/>
  <c r="A322" i="1"/>
  <c r="A323" i="1"/>
  <c r="A1526" i="1"/>
  <c r="A1641" i="1"/>
  <c r="A1619" i="1"/>
  <c r="A97" i="1"/>
  <c r="A98" i="1"/>
  <c r="A99" i="1"/>
  <c r="A1100" i="1"/>
  <c r="A465" i="1"/>
  <c r="A100" i="1"/>
  <c r="A101" i="1"/>
  <c r="A1620" i="1"/>
  <c r="A102" i="1"/>
  <c r="A1272" i="1"/>
  <c r="A919" i="1"/>
  <c r="A324" i="1"/>
  <c r="A920" i="1"/>
  <c r="A1652" i="1"/>
  <c r="A661" i="1"/>
  <c r="A1101" i="1"/>
  <c r="A1102" i="1"/>
  <c r="A1633" i="1"/>
  <c r="A1426" i="1"/>
  <c r="A466" i="1"/>
  <c r="A1273" i="1"/>
  <c r="A325" i="1"/>
  <c r="A467" i="1"/>
  <c r="A231" i="1"/>
  <c r="A326" i="1"/>
  <c r="A1103" i="1"/>
  <c r="A662" i="1"/>
  <c r="A468" i="1"/>
  <c r="A469" i="1"/>
  <c r="A1677" i="1"/>
  <c r="A663" i="1"/>
  <c r="A103" i="1"/>
  <c r="A664" i="1"/>
  <c r="A665" i="1"/>
  <c r="A470" i="1"/>
  <c r="A666" i="1"/>
  <c r="A232" i="1"/>
  <c r="A921" i="1"/>
  <c r="A1490" i="1"/>
  <c r="A471" i="1"/>
  <c r="A667" i="1"/>
  <c r="A1274" i="1"/>
  <c r="A327" i="1"/>
  <c r="A184" i="1"/>
  <c r="A1104" i="1"/>
  <c r="A104" i="1"/>
  <c r="A668" i="1"/>
  <c r="A1621" i="1"/>
  <c r="A1622" i="1"/>
  <c r="A1105" i="1"/>
  <c r="A922" i="1"/>
  <c r="A1555" i="1"/>
  <c r="A1491" i="1"/>
  <c r="A923" i="1"/>
  <c r="A924" i="1"/>
  <c r="A472" i="1"/>
  <c r="A1275" i="1"/>
  <c r="A925" i="1"/>
  <c r="A473" i="1"/>
  <c r="A1427" i="1"/>
  <c r="A1627" i="1"/>
  <c r="A669" i="1"/>
  <c r="A105" i="1"/>
  <c r="A670" i="1"/>
  <c r="A1106" i="1"/>
  <c r="A328" i="1"/>
  <c r="A1492" i="1"/>
  <c r="A1276" i="1"/>
  <c r="A1277" i="1"/>
  <c r="A671" i="1"/>
  <c r="A926" i="1"/>
  <c r="A1428" i="1"/>
  <c r="A1107" i="1"/>
  <c r="A1493" i="1"/>
  <c r="A329" i="1"/>
  <c r="A1678" i="1"/>
  <c r="A927" i="1"/>
  <c r="A1363" i="1"/>
  <c r="A1429" i="1"/>
  <c r="A672" i="1"/>
  <c r="A1623" i="1"/>
  <c r="A1364" i="1"/>
  <c r="A1572" i="1"/>
  <c r="A1494" i="1"/>
  <c r="A1679" i="1"/>
  <c r="A1430" i="1"/>
  <c r="A928" i="1"/>
  <c r="A1108" i="1"/>
  <c r="A1109" i="1"/>
  <c r="A106" i="1"/>
  <c r="A929" i="1"/>
  <c r="A930" i="1"/>
  <c r="A1584" i="1"/>
  <c r="A474" i="1"/>
  <c r="A1573" i="1"/>
  <c r="A330" i="1"/>
  <c r="A1585" i="1"/>
  <c r="A107" i="1"/>
  <c r="A1639" i="1"/>
  <c r="A673" i="1"/>
  <c r="A1278" i="1"/>
  <c r="A1431" i="1"/>
  <c r="A1586" i="1"/>
  <c r="A1556" i="1"/>
  <c r="A1680" i="1"/>
  <c r="A1624" i="1"/>
  <c r="A1495" i="1"/>
  <c r="A119" i="1"/>
  <c r="A475" i="1"/>
  <c r="A674" i="1"/>
  <c r="A675" i="1"/>
  <c r="A1110" i="1"/>
  <c r="A1111" i="1"/>
  <c r="A1112" i="1"/>
  <c r="A1365" i="1"/>
  <c r="A931" i="1"/>
  <c r="A1432" i="1"/>
  <c r="A1574" i="1"/>
  <c r="A476" i="1"/>
  <c r="A108" i="1"/>
  <c r="A932" i="1"/>
  <c r="A933" i="1"/>
  <c r="A676" i="1"/>
  <c r="A1279" i="1"/>
  <c r="A1625" i="1"/>
  <c r="A331" i="1"/>
  <c r="A677" i="1"/>
  <c r="A477" i="1"/>
  <c r="A678" i="1"/>
  <c r="A934" i="1"/>
  <c r="A1280" i="1"/>
  <c r="A1281" i="1"/>
  <c r="A1282" i="1"/>
  <c r="A1366" i="1"/>
  <c r="A233" i="1"/>
  <c r="A478" i="1"/>
  <c r="A234" i="1"/>
  <c r="A332" i="1"/>
  <c r="A679" i="1"/>
  <c r="A680" i="1"/>
  <c r="A1557" i="1"/>
  <c r="A1496" i="1"/>
  <c r="A1575" i="1"/>
  <c r="A681" i="1"/>
  <c r="A1113" i="1"/>
  <c r="A935" i="1"/>
  <c r="A1283" i="1"/>
  <c r="A936" i="1"/>
  <c r="A682" i="1"/>
  <c r="A683" i="1"/>
  <c r="A1114" i="1"/>
  <c r="A1115" i="1"/>
  <c r="A479" i="1"/>
  <c r="A1116" i="1"/>
  <c r="A937" i="1"/>
  <c r="A333" i="1"/>
  <c r="A1497" i="1"/>
  <c r="A1117" i="1"/>
  <c r="A1118" i="1"/>
  <c r="A938" i="1"/>
  <c r="A939" i="1"/>
  <c r="A334" i="1"/>
  <c r="A1367" i="1"/>
  <c r="A940" i="1"/>
  <c r="A684" i="1"/>
  <c r="A1284" i="1"/>
  <c r="A1433" i="1"/>
  <c r="A109" i="1"/>
  <c r="A1119" i="1"/>
  <c r="A1434" i="1"/>
  <c r="A1626" i="1"/>
  <c r="A685" i="1"/>
  <c r="A941" i="1"/>
  <c r="A1368" i="1"/>
  <c r="A1285" i="1"/>
  <c r="A1286" i="1"/>
  <c r="A1498" i="1"/>
  <c r="A1120" i="1"/>
  <c r="A1287" i="1"/>
  <c r="A1681" i="1"/>
  <c r="A686" i="1"/>
  <c r="A942" i="1"/>
  <c r="A943" i="1"/>
  <c r="A1499" i="1"/>
  <c r="A1500" i="1"/>
  <c r="A480" i="1"/>
  <c r="A481" i="1"/>
  <c r="A1121" i="1"/>
  <c r="A1122" i="1"/>
  <c r="A110" i="1"/>
  <c r="A235" i="1"/>
  <c r="A944" i="1"/>
  <c r="A945" i="1"/>
  <c r="A1501" i="1"/>
  <c r="A946" i="1"/>
  <c r="A687" i="1"/>
  <c r="A1558" i="1"/>
  <c r="A1587" i="1"/>
  <c r="A482" i="1"/>
  <c r="A111" i="1"/>
  <c r="A145" i="1"/>
  <c r="A1123" i="1"/>
  <c r="A120" i="1"/>
  <c r="A1288" i="1"/>
  <c r="A947" i="1"/>
  <c r="A948" i="1"/>
  <c r="A1124" i="1"/>
  <c r="A1289" i="1"/>
  <c r="A1125" i="1"/>
  <c r="A185" i="1"/>
  <c r="A1435" i="1"/>
  <c r="A688" i="1"/>
  <c r="A1527" i="1"/>
  <c r="A483" i="1"/>
  <c r="A949" i="1"/>
  <c r="A689" i="1"/>
  <c r="Q1033" i="1"/>
  <c r="Q1034" i="1"/>
  <c r="Q1035" i="1"/>
  <c r="Q1032" i="1"/>
  <c r="Q1328" i="1"/>
  <c r="Q1327" i="1"/>
  <c r="Q1512" i="1"/>
  <c r="Q1326" i="1"/>
  <c r="Q947" i="1"/>
  <c r="Q1288" i="1"/>
  <c r="Q680" i="1"/>
  <c r="Q679" i="1"/>
  <c r="Q332" i="1"/>
  <c r="Q234" i="1"/>
  <c r="Q331" i="1"/>
  <c r="Q675" i="1"/>
  <c r="Q471" i="1"/>
  <c r="Q468" i="1"/>
  <c r="Q914" i="1"/>
  <c r="Q1489" i="1"/>
  <c r="Q913" i="1"/>
  <c r="Q462" i="1"/>
  <c r="Q321" i="1"/>
  <c r="Q461" i="1"/>
  <c r="Q320" i="1"/>
  <c r="Q460" i="1"/>
  <c r="Q1487" i="1"/>
  <c r="Q230" i="1"/>
  <c r="Q454" i="1"/>
  <c r="Q453" i="1"/>
  <c r="Q449" i="1"/>
  <c r="Q1348" i="1"/>
  <c r="Q1264" i="1"/>
  <c r="Q227" i="1"/>
  <c r="Q310" i="1"/>
  <c r="Q636" i="1"/>
  <c r="Q180" i="1"/>
  <c r="Q881" i="1"/>
  <c r="Q1616" i="1"/>
  <c r="Q1082" i="1"/>
  <c r="Q309" i="1"/>
  <c r="Q446" i="1"/>
  <c r="Q1470" i="1"/>
  <c r="Q1469" i="1"/>
  <c r="Q1468" i="1"/>
  <c r="Q179" i="1"/>
  <c r="Q1414" i="1"/>
  <c r="Q1467" i="1"/>
  <c r="Q1080" i="1"/>
  <c r="Q1257" i="1"/>
  <c r="Q1079" i="1"/>
  <c r="Q1078" i="1"/>
  <c r="Q628" i="1"/>
  <c r="Q624" i="1"/>
  <c r="Q1253" i="1"/>
  <c r="Q1252" i="1"/>
  <c r="Q1073" i="1"/>
  <c r="Q1251" i="1"/>
  <c r="Q1072" i="1"/>
  <c r="Q623" i="1"/>
  <c r="Q870" i="1"/>
  <c r="Q869" i="1"/>
  <c r="Q622" i="1"/>
  <c r="Q178" i="1"/>
  <c r="Q430" i="1"/>
  <c r="Q850" i="1"/>
  <c r="Q849" i="1"/>
  <c r="Q429" i="1"/>
  <c r="Q428" i="1"/>
  <c r="Q848" i="1"/>
  <c r="Q847" i="1"/>
  <c r="Q1242" i="1"/>
  <c r="Q1067" i="1"/>
  <c r="Q846" i="1"/>
  <c r="Q612" i="1"/>
  <c r="Q611" i="1"/>
  <c r="Q610" i="1"/>
  <c r="Q844" i="1"/>
  <c r="Q609" i="1"/>
  <c r="Q427" i="1"/>
  <c r="Q225" i="1"/>
  <c r="Q607" i="1"/>
  <c r="Q306" i="1"/>
  <c r="Q604" i="1"/>
  <c r="Q603" i="1"/>
  <c r="Q426" i="1"/>
  <c r="Q832" i="1"/>
  <c r="Q597" i="1"/>
  <c r="Q1230" i="1"/>
  <c r="Q831" i="1"/>
  <c r="Q303" i="1"/>
  <c r="Q116" i="1"/>
  <c r="Q302" i="1"/>
  <c r="Q593" i="1"/>
  <c r="Q820" i="1"/>
  <c r="Q416" i="1"/>
  <c r="Q591" i="1"/>
  <c r="Q1225" i="1"/>
  <c r="Q1333" i="1"/>
  <c r="Q1058" i="1"/>
  <c r="Q1662" i="1"/>
  <c r="Q1218" i="1"/>
  <c r="Q295" i="1"/>
  <c r="Q292" i="1"/>
  <c r="Q291" i="1"/>
  <c r="Q1613" i="1"/>
  <c r="Q177" i="1"/>
  <c r="Q408" i="1"/>
  <c r="Q134" i="1"/>
  <c r="Q579" i="1"/>
  <c r="Q807" i="1"/>
  <c r="Q796" i="1"/>
  <c r="Q400" i="1"/>
  <c r="Q133" i="1"/>
  <c r="Q564" i="1"/>
  <c r="Q789" i="1"/>
  <c r="Q285" i="1"/>
  <c r="Q553" i="1"/>
  <c r="Q1400" i="1"/>
  <c r="Q1020" i="1"/>
  <c r="Q770" i="1"/>
  <c r="Q552" i="1"/>
  <c r="Q53" i="1"/>
  <c r="Q1188" i="1"/>
  <c r="Q382" i="1"/>
  <c r="Q545" i="1"/>
  <c r="Q1539" i="1"/>
  <c r="Q47" i="1"/>
  <c r="Q1181" i="1"/>
  <c r="Q1657" i="1"/>
  <c r="Q1608" i="1"/>
  <c r="Q34" i="1"/>
  <c r="Q33" i="1"/>
  <c r="Q31" i="1"/>
  <c r="Q130" i="1"/>
  <c r="Q1446" i="1"/>
  <c r="Q1605" i="1"/>
  <c r="Q376" i="1"/>
  <c r="Q128" i="1"/>
  <c r="Q742" i="1"/>
  <c r="Q8" i="1"/>
  <c r="Q524" i="1"/>
  <c r="Q126" i="1"/>
  <c r="Q359" i="1"/>
  <c r="Q1534" i="1"/>
  <c r="Q203" i="1"/>
  <c r="Q256" i="1"/>
  <c r="Q255" i="1"/>
  <c r="Q252" i="1"/>
  <c r="Q346" i="1"/>
  <c r="Q344" i="1"/>
  <c r="Q509" i="1"/>
  <c r="Q508" i="1"/>
  <c r="Q198" i="1"/>
  <c r="Q718" i="1"/>
  <c r="Q716" i="1"/>
  <c r="Q715" i="1"/>
  <c r="Q340" i="1"/>
  <c r="Q339" i="1"/>
  <c r="Q338" i="1"/>
  <c r="Q337" i="1"/>
  <c r="Q336" i="1"/>
  <c r="Q335" i="1"/>
  <c r="Q1650" i="1"/>
  <c r="Q90" i="1"/>
  <c r="Q314" i="1"/>
  <c r="Q1522" i="1"/>
  <c r="Q89" i="1"/>
  <c r="Q1550" i="1"/>
  <c r="Q1352" i="1"/>
  <c r="Q1521" i="1"/>
  <c r="Q183" i="1"/>
  <c r="Q88" i="1"/>
  <c r="Q70" i="1"/>
  <c r="Q1200" i="1"/>
  <c r="Q46" i="1"/>
  <c r="Q45" i="1"/>
  <c r="Q44" i="1"/>
  <c r="Q276" i="1"/>
  <c r="Q43" i="1"/>
  <c r="Q1658" i="1"/>
  <c r="Q1182" i="1"/>
  <c r="Q1609" i="1"/>
  <c r="Q26" i="1"/>
  <c r="Q367" i="1"/>
  <c r="Q15" i="1"/>
  <c r="Q9" i="1"/>
  <c r="Q946" i="1"/>
  <c r="Q235" i="1"/>
  <c r="Q110" i="1"/>
  <c r="Q1122" i="1"/>
  <c r="Q1287" i="1"/>
  <c r="Q684" i="1"/>
  <c r="Q1118" i="1"/>
  <c r="Q1116" i="1"/>
  <c r="Q682" i="1"/>
  <c r="Q681" i="1"/>
  <c r="Q1557" i="1"/>
  <c r="Q233" i="1"/>
  <c r="Q1281" i="1"/>
  <c r="Q678" i="1"/>
  <c r="Q1112" i="1"/>
  <c r="Q1585" i="1"/>
  <c r="Q330" i="1"/>
  <c r="Q1584" i="1"/>
  <c r="Q930" i="1"/>
  <c r="Q929" i="1"/>
  <c r="Q106" i="1"/>
  <c r="Q1109" i="1"/>
  <c r="Q1108" i="1"/>
  <c r="Q928" i="1"/>
  <c r="Q1430" i="1"/>
  <c r="Q1679" i="1"/>
  <c r="Q1494" i="1"/>
  <c r="Q1572" i="1"/>
  <c r="Q1364" i="1"/>
  <c r="Q1623" i="1"/>
  <c r="Q672" i="1"/>
  <c r="Q1429" i="1"/>
  <c r="Q1363" i="1"/>
  <c r="Q671" i="1"/>
  <c r="Q1105" i="1"/>
  <c r="Q1274" i="1"/>
  <c r="Q663" i="1"/>
  <c r="Q1103" i="1"/>
  <c r="Q467" i="1"/>
  <c r="Q919" i="1"/>
  <c r="Q1100" i="1"/>
  <c r="Q1641" i="1"/>
  <c r="Q323" i="1"/>
  <c r="Q1425" i="1"/>
  <c r="Q917" i="1"/>
  <c r="Q1525" i="1"/>
  <c r="Q916" i="1"/>
  <c r="Q656" i="1"/>
  <c r="Q1361" i="1"/>
  <c r="Q915" i="1"/>
  <c r="Q118" i="1"/>
  <c r="Q911" i="1"/>
  <c r="Q1360" i="1"/>
  <c r="Q319" i="1"/>
  <c r="Q1097" i="1"/>
  <c r="Q316" i="1"/>
  <c r="Q1570" i="1"/>
  <c r="Q1092" i="1"/>
  <c r="Q1485" i="1"/>
  <c r="Q1355" i="1"/>
  <c r="Q228" i="1"/>
  <c r="Q646" i="1"/>
  <c r="Q1353" i="1"/>
  <c r="Q1523" i="1"/>
  <c r="Q901" i="1"/>
  <c r="Q1484" i="1"/>
  <c r="Q899" i="1"/>
  <c r="Q1483" i="1"/>
  <c r="Q644" i="1"/>
  <c r="Q1350" i="1"/>
  <c r="Q1581" i="1"/>
  <c r="Q1580" i="1"/>
  <c r="Q1349" i="1"/>
  <c r="Q894" i="1"/>
  <c r="Q1088" i="1"/>
  <c r="Q1419" i="1"/>
  <c r="Q1548" i="1"/>
  <c r="Q1345" i="1"/>
  <c r="Q1669" i="1"/>
  <c r="Q1668" i="1"/>
  <c r="Q1261" i="1"/>
  <c r="Q1667" i="1"/>
  <c r="Q1260" i="1"/>
  <c r="Q1547" i="1"/>
  <c r="Q1258" i="1"/>
  <c r="Q1632" i="1"/>
  <c r="Q633" i="1"/>
  <c r="Q1666" i="1"/>
  <c r="Q87" i="1"/>
  <c r="Q1075" i="1"/>
  <c r="Q1413" i="1"/>
  <c r="Q1254" i="1"/>
  <c r="Q1579" i="1"/>
  <c r="Q858" i="1"/>
  <c r="Q1248" i="1"/>
  <c r="Q602" i="1"/>
  <c r="Q599" i="1"/>
  <c r="Q1231" i="1"/>
  <c r="Q1631" i="1"/>
  <c r="Q828" i="1"/>
  <c r="Q827" i="1"/>
  <c r="Q1064" i="1"/>
  <c r="Q826" i="1"/>
  <c r="Q417" i="1"/>
  <c r="Q592" i="1"/>
  <c r="Q1335" i="1"/>
  <c r="Q1227" i="1"/>
  <c r="Q1638" i="1"/>
  <c r="Q77" i="1"/>
  <c r="Q589" i="1"/>
  <c r="Q1059" i="1"/>
  <c r="Q587" i="1"/>
  <c r="Q1518" i="1"/>
  <c r="Q297" i="1"/>
  <c r="Q1409" i="1"/>
  <c r="Q1220" i="1"/>
  <c r="Q1055" i="1"/>
  <c r="Q814" i="1"/>
  <c r="Q1054" i="1"/>
  <c r="Q1053" i="1"/>
  <c r="Q414" i="1"/>
  <c r="Q1219" i="1"/>
  <c r="Q1052" i="1"/>
  <c r="Q813" i="1"/>
  <c r="Q1408" i="1"/>
  <c r="Q812" i="1"/>
  <c r="Q1331" i="1"/>
  <c r="Q810" i="1"/>
  <c r="Q582" i="1"/>
  <c r="Q294" i="1"/>
  <c r="Q410" i="1"/>
  <c r="Q1050" i="1"/>
  <c r="Q409" i="1"/>
  <c r="Q293" i="1"/>
  <c r="Q809" i="1"/>
  <c r="Q1049" i="1"/>
  <c r="Q1214" i="1"/>
  <c r="Q290" i="1"/>
  <c r="Q1329" i="1"/>
  <c r="Q580" i="1"/>
  <c r="Q407" i="1"/>
  <c r="Q808" i="1"/>
  <c r="Q805" i="1"/>
  <c r="Q1213" i="1"/>
  <c r="Q1046" i="1"/>
  <c r="Q1212" i="1"/>
  <c r="Q406" i="1"/>
  <c r="Q1462" i="1"/>
  <c r="Q1405" i="1"/>
  <c r="Q574" i="1"/>
  <c r="Q573" i="1"/>
  <c r="Q1045" i="1"/>
  <c r="Q571" i="1"/>
  <c r="Q289" i="1"/>
  <c r="Q570" i="1"/>
  <c r="Q405" i="1"/>
  <c r="Q804" i="1"/>
  <c r="Q803" i="1"/>
  <c r="Q404" i="1"/>
  <c r="Q1044" i="1"/>
  <c r="Q1567" i="1"/>
  <c r="Q801" i="1"/>
  <c r="Q799" i="1"/>
  <c r="Q566" i="1"/>
  <c r="Q401" i="1"/>
  <c r="Q1038" i="1"/>
  <c r="Q1515" i="1"/>
  <c r="Q286" i="1"/>
  <c r="Q1037" i="1"/>
  <c r="Q1036" i="1"/>
  <c r="Q1031" i="1"/>
  <c r="Q790" i="1"/>
  <c r="Q174" i="1"/>
  <c r="Q1402" i="1"/>
  <c r="Q1612" i="1"/>
  <c r="Q1028" i="1"/>
  <c r="Q394" i="1"/>
  <c r="Q284" i="1"/>
  <c r="Q1026" i="1"/>
  <c r="Q1611" i="1"/>
  <c r="Q786" i="1"/>
  <c r="Q1661" i="1"/>
  <c r="Q785" i="1"/>
  <c r="Q783" i="1"/>
  <c r="Q1025" i="1"/>
  <c r="Q1510" i="1"/>
  <c r="Q391" i="1"/>
  <c r="Q782" i="1"/>
  <c r="Q781" i="1"/>
  <c r="Q1324" i="1"/>
  <c r="Q281" i="1"/>
  <c r="Q780" i="1"/>
  <c r="Q779" i="1"/>
  <c r="Q778" i="1"/>
  <c r="Q1196" i="1"/>
  <c r="Q1323" i="1"/>
  <c r="Q1023" i="1"/>
  <c r="Q1195" i="1"/>
  <c r="Q1022" i="1"/>
  <c r="Q63" i="1"/>
  <c r="Q1509" i="1"/>
  <c r="Q1321" i="1"/>
  <c r="Q60" i="1"/>
  <c r="Q1591" i="1"/>
  <c r="Q556" i="1"/>
  <c r="Q1543" i="1"/>
  <c r="Q1021" i="1"/>
  <c r="Q1456" i="1"/>
  <c r="Q771" i="1"/>
  <c r="Q1018" i="1"/>
  <c r="Q387" i="1"/>
  <c r="Q766" i="1"/>
  <c r="Q1317" i="1"/>
  <c r="Q1451" i="1"/>
  <c r="Q761" i="1"/>
  <c r="Q1395" i="1"/>
  <c r="Q1660" i="1"/>
  <c r="Q1014" i="1"/>
  <c r="Q48" i="1"/>
  <c r="Q1394" i="1"/>
  <c r="Q759" i="1"/>
  <c r="Q1010" i="1"/>
  <c r="Q1180" i="1"/>
  <c r="Q1315" i="1"/>
  <c r="Q1538" i="1"/>
  <c r="Q1449" i="1"/>
  <c r="Q1506" i="1"/>
  <c r="Q1536" i="1"/>
  <c r="Q380" i="1"/>
  <c r="Q1606" i="1"/>
  <c r="Q1005" i="1"/>
  <c r="Q271" i="1"/>
  <c r="Q1391" i="1"/>
  <c r="Q374" i="1"/>
  <c r="Q1171" i="1"/>
  <c r="Q20" i="1"/>
  <c r="Q270" i="1"/>
  <c r="Q211" i="1"/>
  <c r="Q1656" i="1"/>
  <c r="Q1170" i="1"/>
  <c r="Q1604" i="1"/>
  <c r="Q1603" i="1"/>
  <c r="Q17" i="1"/>
  <c r="Q1562" i="1"/>
  <c r="Q269" i="1"/>
  <c r="Q268" i="1"/>
  <c r="Q750" i="1"/>
  <c r="Q996" i="1"/>
  <c r="Q1561" i="1"/>
  <c r="Q747" i="1"/>
  <c r="Q993" i="1"/>
  <c r="Q745" i="1"/>
  <c r="Q10" i="1"/>
  <c r="Q744" i="1"/>
  <c r="Q991" i="1"/>
  <c r="Q990" i="1"/>
  <c r="Q743" i="1"/>
  <c r="Q740" i="1"/>
  <c r="Q1598" i="1"/>
  <c r="Q155" i="1"/>
  <c r="Q1308" i="1"/>
  <c r="Q1306" i="1"/>
  <c r="Q735" i="1"/>
  <c r="Q204" i="1"/>
  <c r="Q521" i="1"/>
  <c r="Q1305" i="1"/>
  <c r="Q520" i="1"/>
  <c r="Q1438" i="1"/>
  <c r="Q1382" i="1"/>
  <c r="Q1594" i="1"/>
  <c r="Q253" i="1"/>
  <c r="Q515" i="1"/>
  <c r="Q1560" i="1"/>
  <c r="Q981" i="1"/>
  <c r="Q726" i="1"/>
  <c r="Q980" i="1"/>
  <c r="Q202" i="1"/>
  <c r="Q201" i="1"/>
  <c r="Q724" i="1"/>
  <c r="Q1503" i="1"/>
  <c r="Q347" i="1"/>
  <c r="Q1502" i="1"/>
  <c r="Q513" i="1"/>
  <c r="Q345" i="1"/>
  <c r="Q1151" i="1"/>
  <c r="Q152" i="1"/>
  <c r="Q1436" i="1"/>
  <c r="Q1377" i="1"/>
  <c r="Q1150" i="1"/>
  <c r="Q1149" i="1"/>
  <c r="Q976" i="1"/>
  <c r="Q973" i="1"/>
  <c r="Q720" i="1"/>
  <c r="Q1144" i="1"/>
  <c r="Q969" i="1"/>
  <c r="Q713" i="1"/>
  <c r="Q497" i="1"/>
  <c r="Q712" i="1"/>
  <c r="Q967" i="1"/>
  <c r="Q240" i="1"/>
  <c r="Q239" i="1"/>
  <c r="Q1294" i="1"/>
  <c r="Q238" i="1"/>
  <c r="Q495" i="1"/>
  <c r="Q711" i="1"/>
  <c r="Q1133" i="1"/>
  <c r="Q708" i="1"/>
  <c r="Q1292" i="1"/>
  <c r="Q1132" i="1"/>
  <c r="Q701" i="1"/>
  <c r="Q956" i="1"/>
  <c r="Q484" i="1"/>
  <c r="Q943" i="1"/>
  <c r="Q942" i="1"/>
  <c r="Q686" i="1"/>
  <c r="Q1285" i="1"/>
  <c r="Q109" i="1"/>
  <c r="Q1433" i="1"/>
  <c r="Q1284" i="1"/>
  <c r="Q940" i="1"/>
  <c r="Q1367" i="1"/>
  <c r="Q334" i="1"/>
  <c r="Q939" i="1"/>
  <c r="Q938" i="1"/>
  <c r="Q1497" i="1"/>
  <c r="Q683" i="1"/>
  <c r="Q936" i="1"/>
  <c r="Q1283" i="1"/>
  <c r="Q935" i="1"/>
  <c r="Q1113" i="1"/>
  <c r="Q1280" i="1"/>
  <c r="Q934" i="1"/>
  <c r="Q677" i="1"/>
  <c r="Q676" i="1"/>
  <c r="Q933" i="1"/>
  <c r="Q476" i="1"/>
  <c r="Q931" i="1"/>
  <c r="Q1365" i="1"/>
  <c r="Q1111" i="1"/>
  <c r="Q1110" i="1"/>
  <c r="Q674" i="1"/>
  <c r="Q1493" i="1"/>
  <c r="Q1107" i="1"/>
  <c r="Q1428" i="1"/>
  <c r="Q1277" i="1"/>
  <c r="Q1276" i="1"/>
  <c r="Q670" i="1"/>
  <c r="Q1427" i="1"/>
  <c r="Q923" i="1"/>
  <c r="Q1491" i="1"/>
  <c r="Q922" i="1"/>
  <c r="Q1104" i="1"/>
  <c r="Q184" i="1"/>
  <c r="Q1490" i="1"/>
  <c r="Q1101" i="1"/>
  <c r="Q661" i="1"/>
  <c r="Q102" i="1"/>
  <c r="Q1620" i="1"/>
  <c r="Q101" i="1"/>
  <c r="Q100" i="1"/>
  <c r="Q465" i="1"/>
  <c r="Q1362" i="1"/>
  <c r="Q318" i="1"/>
  <c r="Q648" i="1"/>
  <c r="Q451" i="1"/>
  <c r="Q1351" i="1"/>
  <c r="Q645" i="1"/>
  <c r="Q896" i="1"/>
  <c r="Q895" i="1"/>
  <c r="Q1090" i="1"/>
  <c r="Q1549" i="1"/>
  <c r="Q1595" i="1"/>
  <c r="Q1087" i="1"/>
  <c r="Q643" i="1"/>
  <c r="Q1347" i="1"/>
  <c r="Q1086" i="1"/>
  <c r="Q641" i="1"/>
  <c r="Q892" i="1"/>
  <c r="Q1085" i="1"/>
  <c r="Q640" i="1"/>
  <c r="Q639" i="1"/>
  <c r="Q1417" i="1"/>
  <c r="Q1346" i="1"/>
  <c r="Q891" i="1"/>
  <c r="Q1416" i="1"/>
  <c r="Q890" i="1"/>
  <c r="Q637" i="1"/>
  <c r="Q1084" i="1"/>
  <c r="Q181" i="1"/>
  <c r="Q887" i="1"/>
  <c r="Q445" i="1"/>
  <c r="Q880" i="1"/>
  <c r="Q632" i="1"/>
  <c r="Q879" i="1"/>
  <c r="Q631" i="1"/>
  <c r="Q878" i="1"/>
  <c r="Q1077" i="1"/>
  <c r="Q1076" i="1"/>
  <c r="Q627" i="1"/>
  <c r="Q441" i="1"/>
  <c r="Q1343" i="1"/>
  <c r="Q436" i="1"/>
  <c r="Q1341" i="1"/>
  <c r="Q618" i="1"/>
  <c r="Q617" i="1"/>
  <c r="Q138" i="1"/>
  <c r="Q616" i="1"/>
  <c r="Q1247" i="1"/>
  <c r="Q1412" i="1"/>
  <c r="Q1246" i="1"/>
  <c r="Q136" i="1"/>
  <c r="Q615" i="1"/>
  <c r="Q1068" i="1"/>
  <c r="Q1466" i="1"/>
  <c r="Q1243" i="1"/>
  <c r="Q851" i="1"/>
  <c r="Q613" i="1"/>
  <c r="Q1066" i="1"/>
  <c r="Q843" i="1"/>
  <c r="Q842" i="1"/>
  <c r="Q841" i="1"/>
  <c r="Q82" i="1"/>
  <c r="Q1065" i="1"/>
  <c r="Q1615" i="1"/>
  <c r="Q605" i="1"/>
  <c r="Q840" i="1"/>
  <c r="Q80" i="1"/>
  <c r="Q1236" i="1"/>
  <c r="Q1340" i="1"/>
  <c r="Q1339" i="1"/>
  <c r="Q598" i="1"/>
  <c r="Q422" i="1"/>
  <c r="Q301" i="1"/>
  <c r="Q824" i="1"/>
  <c r="Q1062" i="1"/>
  <c r="Q1334" i="1"/>
  <c r="Q590" i="1"/>
  <c r="Q819" i="1"/>
  <c r="Q1593" i="1"/>
  <c r="Q818" i="1"/>
  <c r="Q817" i="1"/>
  <c r="Q1223" i="1"/>
  <c r="Q76" i="1"/>
  <c r="Q300" i="1"/>
  <c r="Q588" i="1"/>
  <c r="Q1222" i="1"/>
  <c r="Q298" i="1"/>
  <c r="Q815" i="1"/>
  <c r="Q586" i="1"/>
  <c r="Q1410" i="1"/>
  <c r="Q585" i="1"/>
  <c r="Q1637" i="1"/>
  <c r="Q583" i="1"/>
  <c r="Q176" i="1"/>
  <c r="Q578" i="1"/>
  <c r="Q1517" i="1"/>
  <c r="Q572" i="1"/>
  <c r="Q569" i="1"/>
  <c r="Q403" i="1"/>
  <c r="Q1043" i="1"/>
  <c r="Q802" i="1"/>
  <c r="Q288" i="1"/>
  <c r="Q1210" i="1"/>
  <c r="Q568" i="1"/>
  <c r="Q1459" i="1"/>
  <c r="Q1209" i="1"/>
  <c r="Q1039" i="1"/>
  <c r="Q1207" i="1"/>
  <c r="Q287" i="1"/>
  <c r="Q71" i="1"/>
  <c r="Q398" i="1"/>
  <c r="Q1403" i="1"/>
  <c r="Q1514" i="1"/>
  <c r="Q788" i="1"/>
  <c r="Q395" i="1"/>
  <c r="Q1030" i="1"/>
  <c r="Q1029" i="1"/>
  <c r="Q1204" i="1"/>
  <c r="Q1203" i="1"/>
  <c r="Q392" i="1"/>
  <c r="Q784" i="1"/>
  <c r="Q561" i="1"/>
  <c r="Q1592" i="1"/>
  <c r="Q1199" i="1"/>
  <c r="Q1197" i="1"/>
  <c r="Q558" i="1"/>
  <c r="Q557" i="1"/>
  <c r="Q1322" i="1"/>
  <c r="Q1194" i="1"/>
  <c r="Q62" i="1"/>
  <c r="Q61" i="1"/>
  <c r="Q1320" i="1"/>
  <c r="Q1457" i="1"/>
  <c r="Q776" i="1"/>
  <c r="Q1193" i="1"/>
  <c r="Q554" i="1"/>
  <c r="Q1566" i="1"/>
  <c r="Q775" i="1"/>
  <c r="Q774" i="1"/>
  <c r="Q773" i="1"/>
  <c r="Q388" i="1"/>
  <c r="Q1192" i="1"/>
  <c r="Q772" i="1"/>
  <c r="Q159" i="1"/>
  <c r="Q1565" i="1"/>
  <c r="Q386" i="1"/>
  <c r="Q769" i="1"/>
  <c r="Q768" i="1"/>
  <c r="Q54" i="1"/>
  <c r="Q1590" i="1"/>
  <c r="Q1589" i="1"/>
  <c r="Q1454" i="1"/>
  <c r="Q1508" i="1"/>
  <c r="Q1186" i="1"/>
  <c r="Q50" i="1"/>
  <c r="Q49" i="1"/>
  <c r="Q1016" i="1"/>
  <c r="Q547" i="1"/>
  <c r="Q383" i="1"/>
  <c r="Q760" i="1"/>
  <c r="Q1184" i="1"/>
  <c r="Q1183" i="1"/>
  <c r="Q1015" i="1"/>
  <c r="Q1540" i="1"/>
  <c r="Q1393" i="1"/>
  <c r="Q1012" i="1"/>
  <c r="Q38" i="1"/>
  <c r="Q37" i="1"/>
  <c r="Q36" i="1"/>
  <c r="Q35" i="1"/>
  <c r="Q1176" i="1"/>
  <c r="Q1507" i="1"/>
  <c r="Q1008" i="1"/>
  <c r="Q1392" i="1"/>
  <c r="Q757" i="1"/>
  <c r="Q1006" i="1"/>
  <c r="Q542" i="1"/>
  <c r="Q379" i="1"/>
  <c r="Q273" i="1"/>
  <c r="Q1447" i="1"/>
  <c r="Q27" i="1"/>
  <c r="Q1174" i="1"/>
  <c r="Q754" i="1"/>
  <c r="Q1173" i="1"/>
  <c r="Q25" i="1"/>
  <c r="Q1577" i="1"/>
  <c r="Q1445" i="1"/>
  <c r="Q751" i="1"/>
  <c r="Q19" i="1"/>
  <c r="Q1654" i="1"/>
  <c r="Q1002" i="1"/>
  <c r="Q1001" i="1"/>
  <c r="Q1000" i="1"/>
  <c r="Q998" i="1"/>
  <c r="Q371" i="1"/>
  <c r="Q532" i="1"/>
  <c r="Q369" i="1"/>
  <c r="Q267" i="1"/>
  <c r="Q531" i="1"/>
  <c r="Q1164" i="1"/>
  <c r="Q530" i="1"/>
  <c r="Q528" i="1"/>
  <c r="Q1444" i="1"/>
  <c r="Q1162" i="1"/>
  <c r="Q992" i="1"/>
  <c r="Q1161" i="1"/>
  <c r="Q1535" i="1"/>
  <c r="Q1601" i="1"/>
  <c r="Q988" i="1"/>
  <c r="Q262" i="1"/>
  <c r="Q1307" i="1"/>
  <c r="Q1440" i="1"/>
  <c r="Q362" i="1"/>
  <c r="Q1597" i="1"/>
  <c r="Q358" i="1"/>
  <c r="Q1533" i="1"/>
  <c r="Q357" i="1"/>
  <c r="Q985" i="1"/>
  <c r="Q522" i="1"/>
  <c r="Q518" i="1"/>
  <c r="Q1596" i="1"/>
  <c r="Q725" i="1"/>
  <c r="Q1381" i="1"/>
  <c r="Q1380" i="1"/>
  <c r="Q1532" i="1"/>
  <c r="Q511" i="1"/>
  <c r="Q1653" i="1"/>
  <c r="Q1153" i="1"/>
  <c r="Q978" i="1"/>
  <c r="Q1378" i="1"/>
  <c r="Q1437" i="1"/>
  <c r="Q1304" i="1"/>
  <c r="Q242" i="1"/>
  <c r="Q507" i="1"/>
  <c r="Q341" i="1"/>
  <c r="Q719" i="1"/>
  <c r="Q971" i="1"/>
  <c r="Q1143" i="1"/>
  <c r="Q1373" i="1"/>
  <c r="Q968" i="1"/>
  <c r="Q1141" i="1"/>
  <c r="Q1372" i="1"/>
  <c r="Q1140" i="1"/>
  <c r="Q1297" i="1"/>
  <c r="Q1138" i="1"/>
  <c r="Q1137" i="1"/>
  <c r="Q1134" i="1"/>
  <c r="Q710" i="1"/>
  <c r="Q494" i="1"/>
  <c r="Q1291" i="1"/>
  <c r="Q1559" i="1"/>
  <c r="Q698" i="1"/>
  <c r="Q651" i="1"/>
  <c r="Q1096" i="1"/>
  <c r="Q907" i="1"/>
  <c r="Q1552" i="1"/>
  <c r="Q317" i="1"/>
  <c r="Q642" i="1"/>
  <c r="Q313" i="1"/>
  <c r="Q221" i="1"/>
  <c r="Q1202" i="1"/>
  <c r="Q390" i="1"/>
  <c r="Q741" i="1"/>
  <c r="Q1435" i="1"/>
  <c r="Q1500" i="1"/>
  <c r="Q1681" i="1"/>
  <c r="Q1120" i="1"/>
  <c r="Q1498" i="1"/>
  <c r="Q1286" i="1"/>
  <c r="Q1368" i="1"/>
  <c r="Q941" i="1"/>
  <c r="Q1117" i="1"/>
  <c r="Q479" i="1"/>
  <c r="Q1115" i="1"/>
  <c r="Q1366" i="1"/>
  <c r="Q1282" i="1"/>
  <c r="Q108" i="1"/>
  <c r="Q1574" i="1"/>
  <c r="Q1432" i="1"/>
  <c r="Q1492" i="1"/>
  <c r="Q1275" i="1"/>
  <c r="Q232" i="1"/>
  <c r="Q470" i="1"/>
  <c r="Q325" i="1"/>
  <c r="Q1273" i="1"/>
  <c r="Q920" i="1"/>
  <c r="Q96" i="1"/>
  <c r="Q1488" i="1"/>
  <c r="Q912" i="1"/>
  <c r="Q1099" i="1"/>
  <c r="Q910" i="1"/>
  <c r="Q117" i="1"/>
  <c r="Q1674" i="1"/>
  <c r="Q1618" i="1"/>
  <c r="Q1673" i="1"/>
  <c r="Q1424" i="1"/>
  <c r="Q1359" i="1"/>
  <c r="Q1271" i="1"/>
  <c r="Q1098" i="1"/>
  <c r="Q908" i="1"/>
  <c r="Q1270" i="1"/>
  <c r="Q1269" i="1"/>
  <c r="Q906" i="1"/>
  <c r="Q905" i="1"/>
  <c r="Q1423" i="1"/>
  <c r="Q1571" i="1"/>
  <c r="Q456" i="1"/>
  <c r="Q1268" i="1"/>
  <c r="Q1358" i="1"/>
  <c r="Q1617" i="1"/>
  <c r="Q1422" i="1"/>
  <c r="Q1095" i="1"/>
  <c r="Q1356" i="1"/>
  <c r="Q142" i="1"/>
  <c r="Q1553" i="1"/>
  <c r="Q1672" i="1"/>
  <c r="Q1551" i="1"/>
  <c r="Q649" i="1"/>
  <c r="Q1267" i="1"/>
  <c r="Q1583" i="1"/>
  <c r="Q1266" i="1"/>
  <c r="Q450" i="1"/>
  <c r="Q1354" i="1"/>
  <c r="Q647" i="1"/>
  <c r="Q1421" i="1"/>
  <c r="Q1582" i="1"/>
  <c r="Q1420" i="1"/>
  <c r="Q1091" i="1"/>
  <c r="Q1670" i="1"/>
  <c r="Q1089" i="1"/>
  <c r="Q140" i="1"/>
  <c r="Q893" i="1"/>
  <c r="Q1569" i="1"/>
  <c r="Q1074" i="1"/>
  <c r="Q871" i="1"/>
  <c r="Q861" i="1"/>
  <c r="Q1070" i="1"/>
  <c r="Q859" i="1"/>
  <c r="Q1545" i="1"/>
  <c r="Q836" i="1"/>
  <c r="Q833" i="1"/>
  <c r="Q420" i="1"/>
  <c r="Q1614" i="1"/>
  <c r="Q1465" i="1"/>
  <c r="Q418" i="1"/>
  <c r="Q1226" i="1"/>
  <c r="Q299" i="1"/>
  <c r="Q1463" i="1"/>
  <c r="Q806" i="1"/>
  <c r="Q1406" i="1"/>
  <c r="Q1042" i="1"/>
  <c r="Q800" i="1"/>
  <c r="Q1040" i="1"/>
  <c r="Q175" i="1"/>
  <c r="Q1027" i="1"/>
  <c r="Q1201" i="1"/>
  <c r="Q1019" i="1"/>
  <c r="Q1017" i="1"/>
  <c r="Q1318" i="1"/>
  <c r="Q767" i="1"/>
  <c r="Q1189" i="1"/>
  <c r="Q1455" i="1"/>
  <c r="Q278" i="1"/>
  <c r="Q1453" i="1"/>
  <c r="Q1452" i="1"/>
  <c r="Q51" i="1"/>
  <c r="Q549" i="1"/>
  <c r="Q765" i="1"/>
  <c r="Q1564" i="1"/>
  <c r="Q1450" i="1"/>
  <c r="Q1187" i="1"/>
  <c r="Q548" i="1"/>
  <c r="Q764" i="1"/>
  <c r="Q1185" i="1"/>
  <c r="Q763" i="1"/>
  <c r="Q42" i="1"/>
  <c r="Q41" i="1"/>
  <c r="Q1179" i="1"/>
  <c r="Q39" i="1"/>
  <c r="Q758" i="1"/>
  <c r="Q1009" i="1"/>
  <c r="Q274" i="1"/>
  <c r="Q1004" i="1"/>
  <c r="Q1563" i="1"/>
  <c r="Q1172" i="1"/>
  <c r="Q24" i="1"/>
  <c r="Q1003" i="1"/>
  <c r="Q536" i="1"/>
  <c r="Q210" i="1"/>
  <c r="Q999" i="1"/>
  <c r="Q14" i="1"/>
  <c r="Q995" i="1"/>
  <c r="Q994" i="1"/>
  <c r="Q1388" i="1"/>
  <c r="Q1442" i="1"/>
  <c r="Q525" i="1"/>
  <c r="Q989" i="1"/>
  <c r="Q366" i="1"/>
  <c r="Q1159" i="1"/>
  <c r="Q738" i="1"/>
  <c r="Q1385" i="1"/>
  <c r="Q733" i="1"/>
  <c r="Q1384" i="1"/>
  <c r="Q259" i="1"/>
  <c r="Q258" i="1"/>
  <c r="Q254" i="1"/>
  <c r="Q1154" i="1"/>
  <c r="Q514" i="1"/>
  <c r="Q721" i="1"/>
  <c r="Q1300" i="1"/>
  <c r="Q502" i="1"/>
  <c r="Q496" i="1"/>
  <c r="Q963" i="1"/>
  <c r="Q962" i="1"/>
  <c r="Q705" i="1"/>
  <c r="Q704" i="1"/>
  <c r="Q955" i="1"/>
  <c r="Q954" i="1"/>
  <c r="Q1389" i="1"/>
  <c r="Q949" i="1"/>
  <c r="Q483" i="1"/>
  <c r="Q1527" i="1"/>
  <c r="Q688" i="1"/>
  <c r="Q120" i="1"/>
  <c r="Q1123" i="1"/>
  <c r="Q145" i="1"/>
  <c r="Q111" i="1"/>
  <c r="Q482" i="1"/>
  <c r="Q1558" i="1"/>
  <c r="Q687" i="1"/>
  <c r="Q1501" i="1"/>
  <c r="Q945" i="1"/>
  <c r="Q944" i="1"/>
  <c r="Q1121" i="1"/>
  <c r="Q481" i="1"/>
  <c r="Q480" i="1"/>
  <c r="Q1499" i="1"/>
  <c r="Q685" i="1"/>
  <c r="Q1626" i="1"/>
  <c r="Q1434" i="1"/>
  <c r="Q1119" i="1"/>
  <c r="Q333" i="1"/>
  <c r="Q1114" i="1"/>
  <c r="Q1575" i="1"/>
  <c r="Q1496" i="1"/>
  <c r="Q478" i="1"/>
  <c r="Q477" i="1"/>
  <c r="Q1625" i="1"/>
  <c r="Q1279" i="1"/>
  <c r="Q475" i="1"/>
  <c r="Q119" i="1"/>
  <c r="Q1495" i="1"/>
  <c r="Q1624" i="1"/>
  <c r="Q1680" i="1"/>
  <c r="Q1556" i="1"/>
  <c r="Q1586" i="1"/>
  <c r="Q1431" i="1"/>
  <c r="Q1278" i="1"/>
  <c r="Q673" i="1"/>
  <c r="Q1639" i="1"/>
  <c r="Q107" i="1"/>
  <c r="Q1573" i="1"/>
  <c r="Q474" i="1"/>
  <c r="Q927" i="1"/>
  <c r="Q1678" i="1"/>
  <c r="Q329" i="1"/>
  <c r="Q926" i="1"/>
  <c r="Q328" i="1"/>
  <c r="Q1106" i="1"/>
  <c r="Q105" i="1"/>
  <c r="Q669" i="1"/>
  <c r="Q473" i="1"/>
  <c r="Q925" i="1"/>
  <c r="Q472" i="1"/>
  <c r="Q924" i="1"/>
  <c r="Q1555" i="1"/>
  <c r="Q1622" i="1"/>
  <c r="Q1621" i="1"/>
  <c r="Q668" i="1"/>
  <c r="Q104" i="1"/>
  <c r="Q327" i="1"/>
  <c r="Q667" i="1"/>
  <c r="Q921" i="1"/>
  <c r="Q666" i="1"/>
  <c r="Q665" i="1"/>
  <c r="Q664" i="1"/>
  <c r="Q103" i="1"/>
  <c r="Q1677" i="1"/>
  <c r="Q469" i="1"/>
  <c r="Q662" i="1"/>
  <c r="Q326" i="1"/>
  <c r="Q231" i="1"/>
  <c r="Q466" i="1"/>
  <c r="Q1426" i="1"/>
  <c r="Q1633" i="1"/>
  <c r="Q1102" i="1"/>
  <c r="Q1652" i="1"/>
  <c r="Q324" i="1"/>
  <c r="Q1272" i="1"/>
  <c r="Q99" i="1"/>
  <c r="Q98" i="1"/>
  <c r="Q97" i="1"/>
  <c r="Q1619" i="1"/>
  <c r="Q1526" i="1"/>
  <c r="Q322" i="1"/>
  <c r="Q660" i="1"/>
  <c r="Q1651" i="1"/>
  <c r="Q659" i="1"/>
  <c r="Q464" i="1"/>
  <c r="Q658" i="1"/>
  <c r="Q918" i="1"/>
  <c r="Q657" i="1"/>
  <c r="Q463" i="1"/>
  <c r="Q1554" i="1"/>
  <c r="Q1644" i="1"/>
  <c r="Q1676" i="1"/>
  <c r="Q143" i="1"/>
  <c r="Q654" i="1"/>
  <c r="Q653" i="1"/>
  <c r="Q459" i="1"/>
  <c r="Q652" i="1"/>
  <c r="Q458" i="1"/>
  <c r="Q1675" i="1"/>
  <c r="Q457" i="1"/>
  <c r="Q95" i="1"/>
  <c r="Q455" i="1"/>
  <c r="Q1486" i="1"/>
  <c r="Q1671" i="1"/>
  <c r="Q1643" i="1"/>
  <c r="Q94" i="1"/>
  <c r="Q93" i="1"/>
  <c r="Q92" i="1"/>
  <c r="Q1093" i="1"/>
  <c r="Q1640" i="1"/>
  <c r="Q650" i="1"/>
  <c r="Q1524" i="1"/>
  <c r="Q229" i="1"/>
  <c r="Q902" i="1"/>
  <c r="Q91" i="1"/>
  <c r="Q315" i="1"/>
  <c r="Q1265" i="1"/>
  <c r="Q141" i="1"/>
  <c r="Q900" i="1"/>
  <c r="Q898" i="1"/>
  <c r="Q1263" i="1"/>
  <c r="Q1418" i="1"/>
  <c r="Q1415" i="1"/>
  <c r="Q889" i="1"/>
  <c r="Q1083" i="1"/>
  <c r="Q884" i="1"/>
  <c r="Q448" i="1"/>
  <c r="Q635" i="1"/>
  <c r="Q1259" i="1"/>
  <c r="Q447" i="1"/>
  <c r="Q630" i="1"/>
  <c r="Q442" i="1"/>
  <c r="Q876" i="1"/>
  <c r="Q440" i="1"/>
  <c r="Q439" i="1"/>
  <c r="Q626" i="1"/>
  <c r="Q438" i="1"/>
  <c r="Q1546" i="1"/>
  <c r="Q1255" i="1"/>
  <c r="Q625" i="1"/>
  <c r="Q873" i="1"/>
  <c r="Q872" i="1"/>
  <c r="Q308" i="1"/>
  <c r="Q620" i="1"/>
  <c r="Q1250" i="1"/>
  <c r="Q435" i="1"/>
  <c r="Q226" i="1"/>
  <c r="Q1249" i="1"/>
  <c r="Q86" i="1"/>
  <c r="Q868" i="1"/>
  <c r="Q307" i="1"/>
  <c r="Q434" i="1"/>
  <c r="Q433" i="1"/>
  <c r="Q867" i="1"/>
  <c r="Q432" i="1"/>
  <c r="Q865" i="1"/>
  <c r="Q1071" i="1"/>
  <c r="Q864" i="1"/>
  <c r="Q85" i="1"/>
  <c r="Q84" i="1"/>
  <c r="Q863" i="1"/>
  <c r="Q862" i="1"/>
  <c r="Q860" i="1"/>
  <c r="Q1520" i="1"/>
  <c r="Q83" i="1"/>
  <c r="Q137" i="1"/>
  <c r="Q1069" i="1"/>
  <c r="Q857" i="1"/>
  <c r="Q856" i="1"/>
  <c r="Q855" i="1"/>
  <c r="Q1245" i="1"/>
  <c r="Q431" i="1"/>
  <c r="Q854" i="1"/>
  <c r="Q1244" i="1"/>
  <c r="Q853" i="1"/>
  <c r="Q852" i="1"/>
  <c r="Q614" i="1"/>
  <c r="Q845" i="1"/>
  <c r="Q1519" i="1"/>
  <c r="Q606" i="1"/>
  <c r="Q839" i="1"/>
  <c r="Q81" i="1"/>
  <c r="Q1239" i="1"/>
  <c r="Q79" i="1"/>
  <c r="Q78" i="1"/>
  <c r="Q1238" i="1"/>
  <c r="Q1237" i="1"/>
  <c r="Q838" i="1"/>
  <c r="Q1235" i="1"/>
  <c r="Q837" i="1"/>
  <c r="Q1665" i="1"/>
  <c r="Q425" i="1"/>
  <c r="Q1664" i="1"/>
  <c r="Q1234" i="1"/>
  <c r="Q305" i="1"/>
  <c r="Q601" i="1"/>
  <c r="Q834" i="1"/>
  <c r="Q304" i="1"/>
  <c r="Q600" i="1"/>
  <c r="Q224" i="1"/>
  <c r="Q1338" i="1"/>
  <c r="Q424" i="1"/>
  <c r="Q1232" i="1"/>
  <c r="Q1337" i="1"/>
  <c r="Q423" i="1"/>
  <c r="Q1411" i="1"/>
  <c r="Q421" i="1"/>
  <c r="Q596" i="1"/>
  <c r="Q595" i="1"/>
  <c r="Q1229" i="1"/>
  <c r="Q1228" i="1"/>
  <c r="Q1061" i="1"/>
  <c r="Q1336" i="1"/>
  <c r="Q1060" i="1"/>
  <c r="Q415" i="1"/>
  <c r="Q1464" i="1"/>
  <c r="Q1663" i="1"/>
  <c r="Q584" i="1"/>
  <c r="Q296" i="1"/>
  <c r="Q1217" i="1"/>
  <c r="Q1216" i="1"/>
  <c r="Q413" i="1"/>
  <c r="Q411" i="1"/>
  <c r="Q1215" i="1"/>
  <c r="Q811" i="1"/>
  <c r="Q1332" i="1"/>
  <c r="Q581" i="1"/>
  <c r="Q73" i="1"/>
  <c r="Q576" i="1"/>
  <c r="Q575" i="1"/>
  <c r="Q1636" i="1"/>
  <c r="Q1461" i="1"/>
  <c r="Q1460" i="1"/>
  <c r="Q1404" i="1"/>
  <c r="Q1041" i="1"/>
  <c r="Q72" i="1"/>
  <c r="Q567" i="1"/>
  <c r="Q402" i="1"/>
  <c r="Q797" i="1"/>
  <c r="Q399" i="1"/>
  <c r="Q794" i="1"/>
  <c r="Q397" i="1"/>
  <c r="Q793" i="1"/>
  <c r="Q792" i="1"/>
  <c r="Q1206" i="1"/>
  <c r="Q791" i="1"/>
  <c r="Q563" i="1"/>
  <c r="Q132" i="1"/>
  <c r="Q1458" i="1"/>
  <c r="Q1205" i="1"/>
  <c r="Q562" i="1"/>
  <c r="Q1325" i="1"/>
  <c r="Q393" i="1"/>
  <c r="Q65" i="1"/>
  <c r="Q1198" i="1"/>
  <c r="Q560" i="1"/>
  <c r="Q559" i="1"/>
  <c r="Q1401" i="1"/>
  <c r="Q64" i="1"/>
  <c r="Q389" i="1"/>
  <c r="Q59" i="1"/>
  <c r="Q58" i="1"/>
  <c r="Q1190" i="1"/>
  <c r="Q1399" i="1"/>
  <c r="Q52" i="1"/>
  <c r="Q1610" i="1"/>
  <c r="Q762" i="1"/>
  <c r="Q1398" i="1"/>
  <c r="Q1397" i="1"/>
  <c r="Q1396" i="1"/>
  <c r="Q1316" i="1"/>
  <c r="Q1659" i="1"/>
  <c r="Q1013" i="1"/>
  <c r="Q544" i="1"/>
  <c r="Q277" i="1"/>
  <c r="Q40" i="1"/>
  <c r="Q1537" i="1"/>
  <c r="Q216" i="1"/>
  <c r="Q1314" i="1"/>
  <c r="Q541" i="1"/>
  <c r="Q378" i="1"/>
  <c r="Q540" i="1"/>
  <c r="Q272" i="1"/>
  <c r="Q1175" i="1"/>
  <c r="Q756" i="1"/>
  <c r="Q377" i="1"/>
  <c r="Q753" i="1"/>
  <c r="Q375" i="1"/>
  <c r="Q538" i="1"/>
  <c r="Q1655" i="1"/>
  <c r="Q1169" i="1"/>
  <c r="Q1602" i="1"/>
  <c r="Q1647" i="1"/>
  <c r="Q1645" i="1"/>
  <c r="Q1168" i="1"/>
  <c r="Q1167" i="1"/>
  <c r="Q16" i="1"/>
  <c r="Q535" i="1"/>
  <c r="Q1166" i="1"/>
  <c r="Q1313" i="1"/>
  <c r="Q534" i="1"/>
  <c r="Q533" i="1"/>
  <c r="Q370" i="1"/>
  <c r="Q749" i="1"/>
  <c r="Q997" i="1"/>
  <c r="Q368" i="1"/>
  <c r="Q748" i="1"/>
  <c r="Q746" i="1"/>
  <c r="Q526" i="1"/>
  <c r="Q1505" i="1"/>
  <c r="Q11" i="1"/>
  <c r="Q266" i="1"/>
  <c r="Q208" i="1"/>
  <c r="Q207" i="1"/>
  <c r="Q265" i="1"/>
  <c r="Q1387" i="1"/>
  <c r="Q1441" i="1"/>
  <c r="Q1311" i="1"/>
  <c r="Q1310" i="1"/>
  <c r="Q1309" i="1"/>
  <c r="Q1634" i="1"/>
  <c r="Q1600" i="1"/>
  <c r="Q1386" i="1"/>
  <c r="Q1646" i="1"/>
  <c r="Q1599" i="1"/>
  <c r="Q739" i="1"/>
  <c r="Q264" i="1"/>
  <c r="Q1160" i="1"/>
  <c r="Q1158" i="1"/>
  <c r="Q365" i="1"/>
  <c r="Q737" i="1"/>
  <c r="Q364" i="1"/>
  <c r="Q6" i="1"/>
  <c r="Q736" i="1"/>
  <c r="Q1588" i="1"/>
  <c r="Q1576" i="1"/>
  <c r="Q1439" i="1"/>
  <c r="Q363" i="1"/>
  <c r="Q260" i="1"/>
  <c r="Q205" i="1"/>
  <c r="Q523" i="1"/>
  <c r="Q986" i="1"/>
  <c r="Q361" i="1"/>
  <c r="Q360" i="1"/>
  <c r="Q356" i="1"/>
  <c r="Q1629" i="1"/>
  <c r="Q1628" i="1"/>
  <c r="Q1504" i="1"/>
  <c r="Q355" i="1"/>
  <c r="Q354" i="1"/>
  <c r="Q1383" i="1"/>
  <c r="Q1157" i="1"/>
  <c r="Q729" i="1"/>
  <c r="Q352" i="1"/>
  <c r="Q984" i="1"/>
  <c r="Q257" i="1"/>
  <c r="Q983" i="1"/>
  <c r="Q124" i="1"/>
  <c r="Q351" i="1"/>
  <c r="Q1156" i="1"/>
  <c r="Q728" i="1"/>
  <c r="Q727" i="1"/>
  <c r="Q1155" i="1"/>
  <c r="Q123" i="1"/>
  <c r="Q153" i="1"/>
  <c r="Q982" i="1"/>
  <c r="Q517" i="1"/>
  <c r="Q245" i="1"/>
  <c r="Q979" i="1"/>
  <c r="Q122" i="1"/>
  <c r="Q200" i="1"/>
  <c r="Q199" i="1"/>
  <c r="Q723" i="1"/>
  <c r="Q1152" i="1"/>
  <c r="Q244" i="1"/>
  <c r="Q243" i="1"/>
  <c r="Q977" i="1"/>
  <c r="Q1531" i="1"/>
  <c r="Q1530" i="1"/>
  <c r="Q1529" i="1"/>
  <c r="Q975" i="1"/>
  <c r="Q974" i="1"/>
  <c r="Q1528" i="1"/>
  <c r="Q506" i="1"/>
  <c r="Q1303" i="1"/>
  <c r="Q1145" i="1"/>
  <c r="Q342" i="1"/>
  <c r="Q1302" i="1"/>
  <c r="Q1301" i="1"/>
  <c r="Q972" i="1"/>
  <c r="Q504" i="1"/>
  <c r="Q1142" i="1"/>
  <c r="Q1299" i="1"/>
  <c r="Q717" i="1"/>
  <c r="Q500" i="1"/>
  <c r="Q499" i="1"/>
  <c r="Q498" i="1"/>
  <c r="Q241" i="1"/>
  <c r="Q714" i="1"/>
  <c r="Q1296" i="1"/>
  <c r="Q1295" i="1"/>
  <c r="Q966" i="1"/>
  <c r="Q965" i="1"/>
  <c r="Q961" i="1"/>
  <c r="Q707" i="1"/>
  <c r="Q706" i="1"/>
  <c r="Q702" i="1"/>
  <c r="Q700" i="1"/>
  <c r="Q1131" i="1"/>
  <c r="Q489" i="1"/>
  <c r="Q488" i="1"/>
  <c r="Q487" i="1"/>
  <c r="Q486" i="1"/>
  <c r="Q485" i="1"/>
  <c r="Q1130" i="1"/>
  <c r="Q1129" i="1"/>
  <c r="Q1128" i="1"/>
  <c r="Q1127" i="1"/>
  <c r="Q699" i="1"/>
  <c r="Q697" i="1"/>
  <c r="Q694" i="1"/>
  <c r="Q1290" i="1"/>
  <c r="Q693" i="1"/>
  <c r="Q692" i="1"/>
  <c r="Q691" i="1"/>
  <c r="Q690" i="1"/>
  <c r="Q689" i="1"/>
  <c r="Q185" i="1"/>
  <c r="Q139" i="1"/>
  <c r="Q1262" i="1"/>
  <c r="Q311" i="1"/>
  <c r="Q182" i="1"/>
  <c r="Q135" i="1"/>
  <c r="Q223" i="1"/>
  <c r="Q222" i="1"/>
  <c r="Q75" i="1"/>
  <c r="Q74" i="1"/>
  <c r="Q115" i="1"/>
  <c r="Q69" i="1"/>
  <c r="Q283" i="1"/>
  <c r="Q68" i="1"/>
  <c r="Q282" i="1"/>
  <c r="Q113" i="1"/>
  <c r="Q67" i="1"/>
  <c r="Q66" i="1"/>
  <c r="Q220" i="1"/>
  <c r="Q173" i="1"/>
  <c r="Q172" i="1"/>
  <c r="Q171" i="1"/>
  <c r="Q170" i="1"/>
  <c r="Q169" i="1"/>
  <c r="Q168" i="1"/>
  <c r="Q167" i="1"/>
  <c r="Q166" i="1"/>
  <c r="Q165" i="1"/>
  <c r="Q164" i="1"/>
  <c r="Q163" i="1"/>
  <c r="Q219" i="1"/>
  <c r="Q162" i="1"/>
  <c r="Q161" i="1"/>
  <c r="Q160" i="1"/>
  <c r="Q1607" i="1"/>
  <c r="Q32" i="1"/>
  <c r="Q1177" i="1"/>
  <c r="Q275" i="1"/>
  <c r="Q30" i="1"/>
  <c r="Q29" i="1"/>
  <c r="Q23" i="1"/>
  <c r="Q22" i="1"/>
  <c r="Q21" i="1"/>
  <c r="Q18" i="1"/>
  <c r="Q372" i="1"/>
  <c r="Q127" i="1"/>
  <c r="Q1163" i="1"/>
  <c r="Q527" i="1"/>
  <c r="Q13" i="1"/>
  <c r="Q12" i="1"/>
  <c r="Q7" i="1"/>
  <c r="Q5" i="1"/>
  <c r="Q154" i="1"/>
  <c r="Q112" i="1"/>
  <c r="Q261" i="1"/>
  <c r="Q125" i="1"/>
  <c r="Q3" i="1"/>
  <c r="Q731" i="1"/>
  <c r="Q2" i="1"/>
  <c r="Q353" i="1"/>
  <c r="Q348" i="1"/>
  <c r="Q251" i="1"/>
  <c r="Q250" i="1"/>
  <c r="Q249" i="1"/>
  <c r="Q248" i="1"/>
  <c r="Q247" i="1"/>
  <c r="Q246" i="1"/>
  <c r="Q151" i="1"/>
  <c r="Q150" i="1"/>
  <c r="Q149" i="1"/>
  <c r="Q148" i="1"/>
  <c r="Q121" i="1"/>
  <c r="Q197" i="1"/>
  <c r="Q196" i="1"/>
  <c r="Q195" i="1"/>
  <c r="Q194" i="1"/>
  <c r="Q193" i="1"/>
  <c r="Q192" i="1"/>
  <c r="Q191" i="1"/>
  <c r="Q190" i="1"/>
  <c r="Q189" i="1"/>
  <c r="Q188" i="1"/>
  <c r="Q187" i="1"/>
  <c r="Q237" i="1"/>
  <c r="Q186" i="1"/>
  <c r="Q147" i="1"/>
  <c r="Q146" i="1"/>
  <c r="Q1587" i="1"/>
  <c r="Q937" i="1"/>
  <c r="Q1627" i="1"/>
  <c r="Q144" i="1"/>
  <c r="Q655" i="1"/>
  <c r="Q903" i="1"/>
  <c r="Q452" i="1"/>
  <c r="Q897" i="1"/>
  <c r="Q312" i="1"/>
  <c r="Q1482" i="1"/>
  <c r="Q1568" i="1"/>
  <c r="Q634" i="1"/>
  <c r="Q1081" i="1"/>
  <c r="Q1256" i="1"/>
  <c r="Q437" i="1"/>
  <c r="Q621" i="1"/>
  <c r="Q1342" i="1"/>
  <c r="Q866" i="1"/>
  <c r="Q619" i="1"/>
  <c r="Q608" i="1"/>
  <c r="Q835" i="1"/>
  <c r="Q1233" i="1"/>
  <c r="Q830" i="1"/>
  <c r="Q829" i="1"/>
  <c r="Q419" i="1"/>
  <c r="Q822" i="1"/>
  <c r="Q821" i="1"/>
  <c r="Q1407" i="1"/>
  <c r="Q412" i="1"/>
  <c r="Q1048" i="1"/>
  <c r="Q1047" i="1"/>
  <c r="Q798" i="1"/>
  <c r="Q1208" i="1"/>
  <c r="Q1516" i="1"/>
  <c r="Q565" i="1"/>
  <c r="Q1513" i="1"/>
  <c r="Q396" i="1"/>
  <c r="Q1544" i="1"/>
  <c r="Q1511" i="1"/>
  <c r="Q1542" i="1"/>
  <c r="Q218" i="1"/>
  <c r="Q551" i="1"/>
  <c r="Q550" i="1"/>
  <c r="Q1541" i="1"/>
  <c r="Q1178" i="1"/>
  <c r="Q381" i="1"/>
  <c r="Q215" i="1"/>
  <c r="Q214" i="1"/>
  <c r="Q157" i="1"/>
  <c r="Q1007" i="1"/>
  <c r="Q1448" i="1"/>
  <c r="Q28" i="1"/>
  <c r="Q755" i="1"/>
  <c r="Q373" i="1"/>
  <c r="Q1390" i="1"/>
  <c r="Q1165" i="1"/>
  <c r="Q1312" i="1"/>
  <c r="Q156" i="1"/>
  <c r="Q1443" i="1"/>
  <c r="Q209" i="1"/>
  <c r="Q263" i="1"/>
  <c r="Q4" i="1"/>
  <c r="Q206" i="1"/>
  <c r="Q987" i="1"/>
  <c r="Q732" i="1"/>
  <c r="Q519" i="1"/>
  <c r="Q730" i="1"/>
  <c r="Q516" i="1"/>
  <c r="Q512" i="1"/>
  <c r="Q510" i="1"/>
  <c r="Q1148" i="1"/>
  <c r="Q1147" i="1"/>
  <c r="Q1146" i="1"/>
  <c r="Q1376" i="1"/>
  <c r="Q1374" i="1"/>
  <c r="Q503" i="1"/>
  <c r="Q970" i="1"/>
  <c r="Q1298" i="1"/>
  <c r="Q1139" i="1"/>
  <c r="Q964" i="1"/>
  <c r="Q1136" i="1"/>
  <c r="Q1135" i="1"/>
  <c r="Q1293" i="1"/>
  <c r="Q960" i="1"/>
  <c r="Q703" i="1"/>
  <c r="Q959" i="1"/>
  <c r="Q958" i="1"/>
  <c r="Q957" i="1"/>
  <c r="Q493" i="1"/>
  <c r="Q492" i="1"/>
  <c r="Q491" i="1"/>
  <c r="Q490" i="1"/>
  <c r="Q953" i="1"/>
  <c r="Q952" i="1"/>
  <c r="Q951" i="1"/>
  <c r="Q950" i="1"/>
  <c r="Q696" i="1"/>
  <c r="Q695" i="1"/>
  <c r="Q1126" i="1"/>
  <c r="Q1371" i="1"/>
  <c r="Q1369" i="1"/>
  <c r="Q1370" i="1"/>
  <c r="Q236" i="1"/>
  <c r="Q709" i="1"/>
  <c r="Q501" i="1"/>
  <c r="Q505" i="1"/>
  <c r="Q1375" i="1"/>
  <c r="Q343" i="1"/>
  <c r="Q722" i="1"/>
  <c r="Q1379" i="1"/>
  <c r="Q349" i="1"/>
  <c r="Q350" i="1"/>
  <c r="Q734" i="1"/>
  <c r="Q529" i="1"/>
  <c r="Q537" i="1"/>
  <c r="Q129" i="1"/>
  <c r="Q212" i="1"/>
  <c r="Q752" i="1"/>
  <c r="Q1630" i="1"/>
  <c r="Q1648" i="1"/>
  <c r="Q539" i="1"/>
  <c r="Q213" i="1"/>
  <c r="Q1578" i="1"/>
  <c r="Q1649" i="1"/>
  <c r="Q1011" i="1"/>
  <c r="Q543" i="1"/>
  <c r="Q546" i="1"/>
  <c r="Q217" i="1"/>
  <c r="Q384" i="1"/>
  <c r="Q385" i="1"/>
  <c r="Q1191" i="1"/>
  <c r="Q158" i="1"/>
  <c r="Q279" i="1"/>
  <c r="Q280" i="1"/>
  <c r="Q55" i="1"/>
  <c r="Q1319" i="1"/>
  <c r="Q131" i="1"/>
  <c r="Q56" i="1"/>
  <c r="Q1635" i="1"/>
  <c r="Q57" i="1"/>
  <c r="Q777" i="1"/>
  <c r="Q555" i="1"/>
  <c r="Q1024" i="1"/>
  <c r="Q787" i="1"/>
  <c r="Q795" i="1"/>
  <c r="Q1642" i="1"/>
  <c r="Q1211" i="1"/>
  <c r="Q114" i="1"/>
  <c r="Q577" i="1"/>
  <c r="Q1330" i="1"/>
  <c r="Q1051" i="1"/>
  <c r="Q1221" i="1"/>
  <c r="Q1224" i="1"/>
  <c r="Q1056" i="1"/>
  <c r="Q1057" i="1"/>
  <c r="Q816" i="1"/>
  <c r="Q1063" i="1"/>
  <c r="Q823" i="1"/>
  <c r="Q594" i="1"/>
  <c r="Q825" i="1"/>
  <c r="Q1240" i="1"/>
  <c r="Q1241" i="1"/>
  <c r="Q874" i="1"/>
  <c r="Q875" i="1"/>
  <c r="Q629" i="1"/>
  <c r="Q443" i="1"/>
  <c r="Q444" i="1"/>
  <c r="Q877" i="1"/>
  <c r="Q882" i="1"/>
  <c r="Q1344" i="1"/>
  <c r="Q883" i="1"/>
  <c r="Q885" i="1"/>
  <c r="Q1471" i="1"/>
  <c r="Q1472" i="1"/>
  <c r="Q1473" i="1"/>
  <c r="Q1474" i="1"/>
  <c r="Q1475" i="1"/>
  <c r="Q1476" i="1"/>
  <c r="Q1477" i="1"/>
  <c r="Q1478" i="1"/>
  <c r="Q886" i="1"/>
  <c r="Q1479" i="1"/>
  <c r="Q1480" i="1"/>
  <c r="Q1481" i="1"/>
  <c r="Q888" i="1"/>
  <c r="Q638" i="1"/>
  <c r="Q1094" i="1"/>
  <c r="Q904" i="1"/>
  <c r="Q1357" i="1"/>
  <c r="Q909" i="1"/>
  <c r="Q932" i="1"/>
  <c r="Q948" i="1"/>
  <c r="Q1124" i="1"/>
  <c r="Q1289" i="1"/>
  <c r="Q11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<sst xmlns="http://schemas.openxmlformats.org/spreadsheetml/2006/main" count="13256" uniqueCount="2483">
  <si>
    <t>Model Name (Fixed)</t>
  </si>
  <si>
    <t>Model Name</t>
  </si>
  <si>
    <t>Price</t>
  </si>
  <si>
    <t>No Of Rating</t>
  </si>
  <si>
    <t>Rating</t>
  </si>
  <si>
    <t>Laptop Tier</t>
  </si>
  <si>
    <t>Released</t>
  </si>
  <si>
    <t>Full Spec</t>
  </si>
  <si>
    <t>OS</t>
  </si>
  <si>
    <t>Storage</t>
  </si>
  <si>
    <t>Display</t>
  </si>
  <si>
    <t>Camera</t>
  </si>
  <si>
    <t>Slim</t>
  </si>
  <si>
    <t>HDMI</t>
  </si>
  <si>
    <t>USB Type</t>
  </si>
  <si>
    <t>Spec_Score</t>
  </si>
  <si>
    <t>Manufacterer</t>
  </si>
  <si>
    <t xml:space="preserve">Processor </t>
  </si>
  <si>
    <t>RAM</t>
  </si>
  <si>
    <t>Apple MacBook Air M3 MC9D4HN/A Ultrabook (Apple M3/16 GB/256 GB SSD/macOS Sequoia) price in India</t>
  </si>
  <si>
    <t>AMD Deca-Core Ryzen 9 (365) 2.0 Ghz</t>
  </si>
  <si>
    <t>macOS Sequoia</t>
  </si>
  <si>
    <t>16 GB Unified Memory RAM, 256 GB SSD</t>
  </si>
  <si>
    <t>15.3" (38.86 cm), 2880 x 1864 px, IPS LCD Display</t>
  </si>
  <si>
    <t>Web Camera</t>
  </si>
  <si>
    <t>Slim 11.5 mm</t>
  </si>
  <si>
    <t>Apple MacBook Pro M4 MX2H3HN/A Ultrabook (Apple M4 Pro/24 GB/512 GB SSD/macOS Sequoia) price in India</t>
  </si>
  <si>
    <t>AMD Deca-Core Ryzen 9 (365) 5.0 Ghz</t>
  </si>
  <si>
    <t>24 GB Unified Memory RAM, 512 GB SSD</t>
  </si>
  <si>
    <t>14.2" (36.07 cm), 3024 x 1964 px, Liquid Retina XDR Display</t>
  </si>
  <si>
    <t>Slim 15.5 mm</t>
  </si>
  <si>
    <t>HDMI Port</t>
  </si>
  <si>
    <t>Acer TravelLite TL15-53M (UN.352SI.002) Laptop (Core i5 13th Gen/16 GB/512 GB SSD/Windows 11) price in India</t>
  </si>
  <si>
    <t>Windows 11</t>
  </si>
  <si>
    <t>16 GB DDR4 RAM, 512 GB SSD</t>
  </si>
  <si>
    <t>15.6" (39.62 cm), 1920 x 1080 px, TFT LED Display</t>
  </si>
  <si>
    <t>Slim 18.3 mm</t>
  </si>
  <si>
    <t>Apple MacBook Air M2 MC7V4HN/A Ultrabook (Apple M2/16 GB/256 GB SSD/macOS Sequoia) price in India</t>
  </si>
  <si>
    <t>AMD Dodeca-Core (12 Cores) Ryzen AI 9 HX (370) 5.1 Ghz</t>
  </si>
  <si>
    <t>13.6" (34.54 cm), 2560 x 1664 px, IPS LCD Display</t>
  </si>
  <si>
    <t>Slim 11.3 mm</t>
  </si>
  <si>
    <t>Asus VivoBook S15 OLED S5506MA-MA952WS Laptop (Core Ultra 9/16 GB/1 TB SSD/Windows 11) price in India</t>
  </si>
  <si>
    <t>16 GB LPDDR5X RAM, 1 TB SSD</t>
  </si>
  <si>
    <t>15.6" (39.62 cm), 2880 x 1620 px, OLED Display</t>
  </si>
  <si>
    <t>Slim 15.9 mm</t>
  </si>
  <si>
    <t>Apple MacBook Pro M4 MX2F3HN/A Ultrabook (Apple M4 Pro/24 GB/1 TB SSD/macOS Sequoia) price in India</t>
  </si>
  <si>
    <t>AMD Dodeca-Core (12 Cores) Ryzen AI Max (390) 5.0 Ghz</t>
  </si>
  <si>
    <t>24 GB Unified Memory RAM, 1 TB SSD</t>
  </si>
  <si>
    <t>MSI Modern 15 B7M-428IN Laptop (AMD Hexa Core Ryzen 5/8 GB/512 GB SSD/Windows 11) price in India</t>
  </si>
  <si>
    <t>AMD Dodeca-Core Ryzen 9 (HX 370) 2.0 Ghz</t>
  </si>
  <si>
    <t>8 GB DDR4 RAM, 512 GB SSD</t>
  </si>
  <si>
    <t>15.6" (39.62 cm), 1920 x 1080 px, IPS LCD Display</t>
  </si>
  <si>
    <t>Slim 19.9 mm</t>
  </si>
  <si>
    <t>Microsoft Surface 7 (ZGP-00059) Laptop (Snapdragon X Elite/16 GB/512 GB SSD/Windows 11) price in India</t>
  </si>
  <si>
    <t>16 GB DDR5 RAM, 512 GB SSD</t>
  </si>
  <si>
    <t>13.8" (35.05 cm), 2304 x 1536 px, LCD Display</t>
  </si>
  <si>
    <t>Lenovo Yoga Slim 7 14AKP10 (83JY000UIN) Laptop (AMD Octa Core Ryzen AI 7/32 GB/1 TB SSD/Windows 11) price in India</t>
  </si>
  <si>
    <t>AMD Dodeca-Core Ryzen 9 (HX 370) 5.1 Ghz</t>
  </si>
  <si>
    <t>32 GB LPDDR5X RAM, 1 TB SSD</t>
  </si>
  <si>
    <t>14" (35.56 cm), 1920 x 1200 px, OLED Display</t>
  </si>
  <si>
    <t>Slim 13.9 mm</t>
  </si>
  <si>
    <t>Asus VivoBook S14 OLED S5406SA-QD098WS Laptop (Core Ultra 5/16 GB/512 GB SSD/Windows 11) price in India</t>
  </si>
  <si>
    <t>AMD Dual-Core A6 APU (9220) 2.5 Ghz</t>
  </si>
  <si>
    <t>16 GB LPDDR5X RAM, 512 GB SSD</t>
  </si>
  <si>
    <t>Apple MacBook Air M3 MC9E4HN/A Ultrabook (Apple M3/16 GB/256 GB SSD/macOS Sequoia) price in India</t>
  </si>
  <si>
    <t>Apple MacBook Pro M4 MX2U3HN/A Ultrabook (Apple M4 Pro/48 GB/512 GB SSD/macOS Sequoia) price in India</t>
  </si>
  <si>
    <t>AMD Dual-Core Athlon (3020e) 1.2 Ghz</t>
  </si>
  <si>
    <t>48 GB Unified Memory RAM, 512 GB SSD</t>
  </si>
  <si>
    <t>16.2" (41.15 cm), 3456 x 2234 px, Liquid Retina XDR Display</t>
  </si>
  <si>
    <t>Slim 16.8 mm</t>
  </si>
  <si>
    <t>Dell XPS 15 9530 (XN95300UCFGM03CRS1) Laptop (Core i7 13th Gen/16 GB/1 TB SSD/Windows 11/6 GB) price in India</t>
  </si>
  <si>
    <t>AMD Dual-Core Athlon (3050U) 2.1 Ghz</t>
  </si>
  <si>
    <t>16 GB DDR5 RAM, 1 TB SSD</t>
  </si>
  <si>
    <t>15.6" (39.62 cm), 3456 x 2160 px, OLED Display</t>
  </si>
  <si>
    <t>Slim 18 mm</t>
  </si>
  <si>
    <t>Microsoft Surface 7 (ZHG-00023) Laptop (Snapdragon X Elite/16 GB/256 GB SSD/Windows 11) price in India</t>
  </si>
  <si>
    <t>AMD Dual-Core Athlon (3050U) 2.3 Ghz</t>
  </si>
  <si>
    <t>16 GB DDR5 RAM, 256 GB SSD</t>
  </si>
  <si>
    <t>15" (38.1 cm), 2496 x 1664 px, LCD Display</t>
  </si>
  <si>
    <t>Asus ROG Zephyrus G14 GA403WR-QS123WS Laptop (AMD Dodeca Core Ryzen AI 9 HX/32 GB/2 TB SSD/Windows 11/12 GB) price in India</t>
  </si>
  <si>
    <t>32 GB LPDDR5X RAM, 2 TB SSD</t>
  </si>
  <si>
    <t>14" (35.56 cm), 2880 x 1800 px, OLED Display</t>
  </si>
  <si>
    <t>Lenovo LOQ 15IRX9 (83DV00X4IN) Laptop (Core i5 13th Gen/16 GB/512 GB SSD/Windows 11/6 GB) price in India</t>
  </si>
  <si>
    <t>Apple MacBook Air M3 MC9H4HN/A Ultrabook (Apple M3/24 GB/512 GB SSD/macOS Sequoia) price in India</t>
  </si>
  <si>
    <t>HP Victus 15-fa1372TX (A3RE5PA) Laptop (Core i5 12th Gen/8 GB/512 GB SSD/Windows 11/4 GB) price in India</t>
  </si>
  <si>
    <t>Lenovo IdeaPad Slim 3 15ABR8 (82XM00G1IN) Laptop (AMD Hexa Core Ryzen 5/8 GB/512 GB SSD/Windows 11) price in India</t>
  </si>
  <si>
    <t>Apple MacBook Pro M4 MCX04HN/A Ultrabook (Apple M4/24 GB/1 TB SSD/macOS Sequoia) price in India</t>
  </si>
  <si>
    <t>AMD Dual-Core Athlon (3050U) 3.1 Ghz</t>
  </si>
  <si>
    <t>Apple MacBook Pro M4 MW2X3HN/A Ultrabook (Apple M4/16 GB/1 TB SSD/macOS Sequoia) price in India</t>
  </si>
  <si>
    <t>AMD Dual-Core Athlon (3050U) 3.2 Ghz</t>
  </si>
  <si>
    <t>16 GB Unified Memory RAM, 1 TB SSD</t>
  </si>
  <si>
    <t>Apple MacBook Air M3 MC8P4HN/A Ultrabook (Apple M3/24 GB/512 GB SSD/macOS Sequoia) price in India</t>
  </si>
  <si>
    <t>Dell Inspiron 14 5441 (OIN5441100101RING1) Laptop (Snapdragon X Plus/16 GB/512 GB SSD/Windows 11) price in India</t>
  </si>
  <si>
    <t>AMD Dual-Core Athlon (7120U) 3.4 Ghz</t>
  </si>
  <si>
    <t>14" (35.56 cm), 1920 x 1200 px, IPS LCD Display</t>
  </si>
  <si>
    <t>Slim 17.9 mm</t>
  </si>
  <si>
    <t>HP 15-fd0112TU (A47CZPA) Laptop (Core i5 12th Gen/8 GB/1 TB SSD/Windows 11) price in India</t>
  </si>
  <si>
    <t>AMD Dual-Core Athlon (7120U) 3.5 Ghz</t>
  </si>
  <si>
    <t>8 GB DDR4 RAM, 1 TB SSD</t>
  </si>
  <si>
    <t>Slim 18.6 mm</t>
  </si>
  <si>
    <t>Microsoft Surface 7 (ZGM-00023) Laptop (Snapdragon X Plus/16 GB/512 GB SSD/Windows 11) price in India</t>
  </si>
  <si>
    <t>AMD Dual-Core Ryzen 3 (3200U) 3.4 Ghz</t>
  </si>
  <si>
    <t>HP Omnibook X 14-fe0121QU (A99B8PA) Laptop (Snapdragon X Elite/16 GB/1 TB SSD/Windows 11) price in India</t>
  </si>
  <si>
    <t>AMD Dual-Core Ryzen 3 (3250) 2.6 Ghz</t>
  </si>
  <si>
    <t>14" (35.56 cm), 2240 x 1400 px, IPS LCD Display</t>
  </si>
  <si>
    <t>Slim 14.4 mm</t>
  </si>
  <si>
    <t>Acer Swift Go 14 SFG14-73T (NX.KSMSI.003) Laptop (Core Ultra 7/16 GB/1 TB SSD/Windows 11) price in India</t>
  </si>
  <si>
    <t>AMD Dual-Core Ryzen 3 (3250U) 2.6 Ghz</t>
  </si>
  <si>
    <t>Slim 14.9 mm</t>
  </si>
  <si>
    <t>Apple MacBook Air M4 MW1L3HN/A Ultrabook (Apple M4/16 GB/256 GB SSD/macOS Sequoia) price in India</t>
  </si>
  <si>
    <t>15.3" (38.86 cm), 2880 x 1864 px, Liquid Retina Display</t>
  </si>
  <si>
    <t>Apple MacBook Air M4 MC6K4HN/A Ultrabook (Apple M4/24 GB/512 GB SSD/macOS Sequoia) price in India</t>
  </si>
  <si>
    <t>MSI Thin 15 B12UC-2240IN Laptop (Core i7 12th Gen/16 GB/512 GB SSD/Windows 11/4 GB) price in India</t>
  </si>
  <si>
    <t>Slim 21.7 mm</t>
  </si>
  <si>
    <t>Apple MacBook Pro M4 MX303HN/A Ultrabook (Apple M4 Max/36 GB/1 TB SSD/macOS Sequoia) price in India</t>
  </si>
  <si>
    <t>36 GB Unified Memory RAM, 1 TB SSD</t>
  </si>
  <si>
    <t>MSI Stealth A16 AI Plus A3HVGG-074IN Laptop (AMD Deca Core Ryzen 9/32 GB/1 TB SSD/Windows 11/8 GB) price in India</t>
  </si>
  <si>
    <t>16" (40.64 cm), 2560 x 1600 px, IPS LCD Display</t>
  </si>
  <si>
    <t>MSI Cyborg 14 A13UCX-206IN Laptop (Core i5 13th Gen/8 GB/512 GB SSD/Windows 11/4 GB) price in India</t>
  </si>
  <si>
    <t>8 GB DDR5 RAM, 512 GB SSD</t>
  </si>
  <si>
    <t>HP Pavilion Plus 14-ew0115TU (9J6L6PA) Laptop (Core i5 13th Gen/16 GB/512 GB SSD/Windows 11) price in India</t>
  </si>
  <si>
    <t>16 GB LPDDR5 RAM, 512 GB SSD</t>
  </si>
  <si>
    <t>Slim 18.9 mm</t>
  </si>
  <si>
    <t>HP ZBook Firefly G11 (A92TXPT) Laptop (Core Ultra 5/16 GB/512 GB SSD/DOS) price in India</t>
  </si>
  <si>
    <t>DOS</t>
  </si>
  <si>
    <t>Slim 19.2 mm</t>
  </si>
  <si>
    <t>HP ZBook Firefly G11 (A92TYPT) Laptop (Core Ultra 5/16 GB/512 GB SSD/Windows 11) price in India</t>
  </si>
  <si>
    <t>HP ZBook Firefly G11 (A92U2PT) Laptop (Core Ultra 7/16 GB/512 GB SSD/Windows 11) price in India</t>
  </si>
  <si>
    <t>Dell Inspiron 14 7440 (OIC7440100301RINU1) Laptop (Core 3 Series 1 /8 GB/512 GB SSD/Windows 11) price in India</t>
  </si>
  <si>
    <t>Asus ProArt PX13 OLED HN7306WU-LX001WS Laptop (AMD Deca Core Ryzen 9/24 GB/1 TB SSD/Windows 11/6 GB) price in India</t>
  </si>
  <si>
    <t>24 GB LPDDR5X RAM, 1 TB SSD</t>
  </si>
  <si>
    <t>13.3" (33.78 cm), 2880 x 1800 px, OLED Display</t>
  </si>
  <si>
    <t>Slim 17.7 mm</t>
  </si>
  <si>
    <t>Dell XPS 14 9440 (CXN9440CTO01RIN) Laptop (Core Ultra 7/16 GB/1 TB SSD/Windows 11) price in India</t>
  </si>
  <si>
    <t>14.5" (36.83 cm), 3200 x 2000 px, OLED Display</t>
  </si>
  <si>
    <t>Slim 19 mm</t>
  </si>
  <si>
    <t>Dell XPS 16 9640 (OXN9640130001RIN) Laptop (Core Ultra 9/32 GB/1 TB SSD/Windows 11/8 GB) price in India</t>
  </si>
  <si>
    <t>16.3" (41.4 cm), 3840 x 2400 px, OLED Display</t>
  </si>
  <si>
    <t>Slim 18.7 mm</t>
  </si>
  <si>
    <t>Microsoft Surface Pro 11 (ZIA-00014) Laptop (Snapdragon X Elite/16 GB/512 GB SSD/Windows 11) price in India</t>
  </si>
  <si>
    <t>13.8" (35.05 cm), 2880 x 1920 px, OLED Display</t>
  </si>
  <si>
    <t>Microsoft Surface Pro 11 (ZIA-00031) Laptop (Snapdragon X Elite/16 GB/512 GB SSD/Windows 11) price in India</t>
  </si>
  <si>
    <t>Microsoft Surface 7 (ZGQ-00023) Laptop (Snapdragon X Elite/32 GB/1 TB SSD/Windows 11) price in India</t>
  </si>
  <si>
    <t>AMD Dual-Core Ryzen 3 (3250U) 3.5 Ghz</t>
  </si>
  <si>
    <t>32 GB DDR5 RAM, 1 TB SSD</t>
  </si>
  <si>
    <t>Microsoft Surface 7 (ZGM-00059) Laptop (Snapdragon X Plus/16 GB/512 GB SSD/Windows 11) price in India</t>
  </si>
  <si>
    <t>AMD Hexa-Core Ryzen 5 (4500U) 2.3 Ghz</t>
  </si>
  <si>
    <t>MSI Modern 14 C12MO-1249IN Laptop (Core i5 13th Gen/8 GB/512 GB SSD/Windows 11) price in India</t>
  </si>
  <si>
    <t>AMD Hexa-Core Ryzen 5 (4600H) 2.4 Ghz</t>
  </si>
  <si>
    <t>14" (35.56 cm), 1920 x 1080 px, IPS LCD Display</t>
  </si>
  <si>
    <t>Lenovo IdeaPad Slim 3 15IRU9 (83E6001JIN) Laptop (Core 5 Series 1 /16 GB/512 GB SSD/Windows 11) price in India</t>
  </si>
  <si>
    <t>AMD Hexa-Core Ryzen 5 (4600H) 3.0 Ghz</t>
  </si>
  <si>
    <t>3 USB Ports</t>
  </si>
  <si>
    <t>HP ZBook Firefly G10 (8F6K1PA) Laptop (Core i7 13th Gen/16 GB/1 TB SSD/Windows 11/4 GB) price in India</t>
  </si>
  <si>
    <t>AMD Hexa-Core Ryzen 5 (5500U) 2.1 Ghz</t>
  </si>
  <si>
    <t>16" (40.64 cm), 1920 x 1200 px, IPS LCD Display</t>
  </si>
  <si>
    <t>HP ZBook Firefly G11 (A1VX4PT) Laptop (Core Ultra 7/32 GB/1 TB SSD/Windows 11/4 GB) price in India</t>
  </si>
  <si>
    <t>Dell Inspiron 14 (OIC7440100101RINU1) Laptop (Core 7 Series 1 /16 GB/1 TB SSD/Windows 11) price in India</t>
  </si>
  <si>
    <t>Asus VivoBook 15 X1502ZA-EJ545WS Laptop (Core i5 12th Gen/16 GB/512 GB SSD/Windows 11) price in India</t>
  </si>
  <si>
    <t>15.6" (39.62 cm), 1920 x 1080 px Display</t>
  </si>
  <si>
    <t>MSI Cyborg 14 A13UCX-204IN Laptop (Core i7 13th Gen/16 GB/512 GB SSD/Windows 11/4 GB) price in India</t>
  </si>
  <si>
    <t>HP 15-fc0155AU (9D3M9PA) Laptop (AMD Quad Core Ryzen 5/8 GB/512 GB SSD/Windows 11) price in India</t>
  </si>
  <si>
    <t>8 GB LPDDR5 RAM, 512 GB SSD</t>
  </si>
  <si>
    <t>Samsung Galaxy Book 4 360 NP750QGK-KG2IN Laptop (Core 7 Series 1 /16 GB/512 GB SSD/Windows 11) price in India</t>
  </si>
  <si>
    <t>15.6" (39.62 cm), 1920 x 1080 px, AMOLED Display</t>
  </si>
  <si>
    <t>Slim 13.7 mm</t>
  </si>
  <si>
    <t>Samsung Galaxy Book 4 360 NP750QGK-KG3IN Laptop (Core 7 Series 1 /16 GB/1 TB SSD/Windows 11) price in India</t>
  </si>
  <si>
    <t>16 GB LPDDR5 RAM, 1 TB SSD</t>
  </si>
  <si>
    <t>Samsung Galaxy Book 4 Pro 360 NP960QGK-KG1IN Laptop (Core Ultra 7/16 GB/512 GB SSD/Windows 11) price in India</t>
  </si>
  <si>
    <t>16" (40.64 cm), 2880 x 1800 px, AMOLED Display</t>
  </si>
  <si>
    <t>Slim 12.8 mm</t>
  </si>
  <si>
    <t>Asus ROG Strix Scar 16 G634JZR-CM932WS Laptop (Core i9 14th Gen/32 GB/2 TB SSD/Windows 11/12 GB) price in India</t>
  </si>
  <si>
    <t>32 GB DDR5 RAM, 2 TB SSD</t>
  </si>
  <si>
    <t>16" (40.64 cm), 2560 x 1600 px, Mini LED Display</t>
  </si>
  <si>
    <t>Asus ROG Strix Scar 16 G634JYR-RA001WS Laptop (Core i9 14th Gen/32 GB/2 TB SSD/Windows 11/16 GB) price in India</t>
  </si>
  <si>
    <t>Lenovo LOQ 15IRX9 (83DV007HIN) Laptop (Core i7 13th Gen/16 GB/512 GB SSD/Windows 11/6 GB) price in India</t>
  </si>
  <si>
    <t>Slim 21.9 mm</t>
  </si>
  <si>
    <t>HP Spectre x360 14-eu0556TU (9T8K6PA) Laptop (Intel Core Ultra 7/32 GB/1 TB SSD/Windows 11) price in India</t>
  </si>
  <si>
    <t>Slim 16.9 mm</t>
  </si>
  <si>
    <t>HP Spectre x360 14-eu0666TU (9D0K7PA) Laptop (Intel Core Ultra 7/32 GB/1 TB SSD/Windows 11) price in India</t>
  </si>
  <si>
    <t>Lenovo LOQ 15IRX9 (83DV007FIN) Laptop (Core i7 14th Gen/16 GB/1 TB SSD/Windows 11/8 GB) price in India</t>
  </si>
  <si>
    <t>AMD Hexa-Core Ryzen 5 (5500U) 2.4 Ghz</t>
  </si>
  <si>
    <t>Asus VivoBook S14 Flip TN3402QA-LZ751WS Laptop (AMD Octa Core Ryzen 7/16 GB/1 TB SSD/Windows 11) price in India</t>
  </si>
  <si>
    <t>AMD Hexa-Core Ryzen 5 (5500U) 4 Ghz</t>
  </si>
  <si>
    <t>16 GB DDR4 RAM, 1 TB SSD</t>
  </si>
  <si>
    <t>14" (35.56 cm), 1920 x 1200 px Display</t>
  </si>
  <si>
    <t>Asus VivoBook 15 X1504ZA-NJ322WS Laptop (Core i3 12th Gen/8 GB/512 GB SSD/Windows 11) price in India</t>
  </si>
  <si>
    <t>AMD Hexa-Core Ryzen 5 (5500U) 4.0 Ghz</t>
  </si>
  <si>
    <t>Apple MacBook Pro M3 Pro MRX33HN/A Ultrabook (Apple M3 Pro/18 GB/512 GB SSD/macOS Sonoma) price in India</t>
  </si>
  <si>
    <t>macOS Sonoma</t>
  </si>
  <si>
    <t>18 GB RAM, 512 GB SSD</t>
  </si>
  <si>
    <t>14" (35.56 cm), 3024 x 1964 px Display</t>
  </si>
  <si>
    <t>Apple MacBook Pro M3 MTL73HN/A Ultrabook (Apple M3/8 GB/512 GB SSD/macOS Sonoma) price in India</t>
  </si>
  <si>
    <t>8 GB RAM, 512 GB SSD</t>
  </si>
  <si>
    <t>Apple MacBook Pro M3 Pro MRX73HN/A Ultrabook (Apple M3 Pro/18 GB/1 TB SSD/macOS Sonoma) price in India</t>
  </si>
  <si>
    <t>18 GB RAM, 1 TB SSD</t>
  </si>
  <si>
    <t>14.2" (36.07 cm), 3072 x 1920 px, Liquid Retina XDR Display</t>
  </si>
  <si>
    <t>Apple MacBook Pro M3 Pro MRX63HN/A Ultrabook (Apple M3 Pro/18 GB/512 GB SSD/macOS Sonoma) price in India</t>
  </si>
  <si>
    <t>Microsoft Surface Go 3 (XKQ-00046) Laptop (Core i5 12th Gen/16 GB/256 GB SSD/Windows 11) price in India</t>
  </si>
  <si>
    <t>16 GB LPDDR5 RAM, 256 GB SSD</t>
  </si>
  <si>
    <t>12.4" (31.5 cm), 1536 x 1024 px Display</t>
  </si>
  <si>
    <t>Slim 15.7 mm</t>
  </si>
  <si>
    <t>HP 14-em0027AU (7N8C4PA) Laptop (AMD Quad Core Ryzen 5/16 GB/512 GB SSD/Windows 11) price in India</t>
  </si>
  <si>
    <t>Slim 17 mm</t>
  </si>
  <si>
    <t>Asus VivoBook Pro 15 M6500QC-HN751WS Laptop (AMD Octa Core Ryzen 7/16 GB/1 TB SSD/Windows 11/4 GB) price in India</t>
  </si>
  <si>
    <t>Asus TUF Gaming F15 FX507ZC4-HN116WS Laptop (Core i5 12th Gen/16 GB/512 GB SSD/Windows 11/4 GB) price in India</t>
  </si>
  <si>
    <t>Apple MacBook Pro M2 Pro MNW83HN/A Ultrabook (Apple M2 Pro/16 GB/512 GB SSD/macOS Ventura) price in India</t>
  </si>
  <si>
    <t>macOS Ventura</t>
  </si>
  <si>
    <t>16 GB RAM, 512 GB SSD</t>
  </si>
  <si>
    <t>Apple MacBook Pro M2 Max MPHK3HN/A Ultrabook (Apple M2 Max/32 GB/1 TB SSD/macOS Ventura) price in India</t>
  </si>
  <si>
    <t>AMD Hexa-Core Ryzen 5 (5600H) 3.1 Ghz</t>
  </si>
  <si>
    <t>32 GB RAM, 1 TB SSD</t>
  </si>
  <si>
    <t>HP Envy x360 15-fh0016AU (8C4S2PA) Laptop (AMD Hexa Core Ryzen 5/16 GB/512 GB SSD/Windows 11) price in India</t>
  </si>
  <si>
    <t>AMD Hexa-Core Ryzen 5 (5600H) 3.3 Ghz</t>
  </si>
  <si>
    <t>16 GB LPDDR4X RAM, 512 GB SSD</t>
  </si>
  <si>
    <t>15.6" (39.62 cm), 1920 x 1080 px, OLED Display</t>
  </si>
  <si>
    <t>Lenovo ThinkBook 15 (21JF002CIN) Laptop (AMD Quad Core Ryzen 3/8 GB/512 GB SSD/DOS) price in India</t>
  </si>
  <si>
    <t>15.6" (39.62 cm), 1920 x 1080 px, TN LCD Display</t>
  </si>
  <si>
    <t>Asus ROG Flow X13 GV302XU-MU013WS Laptop (AMD Octa Core Ryzen 9/16 GB/1 TB SSD/Windows 11/6 GB) price in India</t>
  </si>
  <si>
    <t>13.4" (34.04 cm), 2560 x 1600 px Display</t>
  </si>
  <si>
    <t>Asus ROG Zephyrus G14 GA402XZ-N2020WS Laptop (AMD Octa Core Ryzen 9/32 GB/1 TB SSD/Windows 11/12 GB) price in India</t>
  </si>
  <si>
    <t>14" (35.56 cm), 2560 x 1600 px, IPS LCD Display</t>
  </si>
  <si>
    <t>Slim 20.5 mm</t>
  </si>
  <si>
    <t>HP ProBook 440 G8 (5D6U3PA) Laptop (Core i5 11th Gen/8 GB/512 GB SSD/Windows 11) price in India</t>
  </si>
  <si>
    <t>14" (35.56 cm), 1366 x 768 px, IPS LCD Display</t>
  </si>
  <si>
    <t>Asus ROG Strix G17 G713PU-LL060WS Laptop (AMD Hexadeca Core Ryzen 9/16 GB/1 TB SSD/Windows 11/6 GB) price in India</t>
  </si>
  <si>
    <t>17.3" (43.94 cm), 2560 x 1440 px, IPS LCD Display</t>
  </si>
  <si>
    <t>HP 14-em0026AU (7N8C3PA) Laptop (AMD Quad Core Ryzen 5/8 GB/512 GB SSD/Windows 11) price in India</t>
  </si>
  <si>
    <t>Asus ZenBook S13 OLED UX5304VA-NQ742WS Laptop (Core i7 13th Gen/16 GB/1 TB SSD/Windows 11) price in India</t>
  </si>
  <si>
    <t>Slim 10.3 mm</t>
  </si>
  <si>
    <t>Asus VivoBook 15X OLED K3504VA-LK541WS Laptop (Core i5 13th Gen/16 GB/512 GB SSD/Windows 11) price in India</t>
  </si>
  <si>
    <t>Asus VivoBook Go 15 OLED E1504GA-LK321WS Laptop (Core i3 12th Gen/8 GB/512 GB SSD/Windows 11) price in India</t>
  </si>
  <si>
    <t>Slim 15 mm</t>
  </si>
  <si>
    <t>Asus ROG Strix Scar 18 G834JZ-N5041WS Laptop (Core i9 13th Gen/32 GB/1 TB SSD/Windows 11/12 GB) price in India</t>
  </si>
  <si>
    <t>18" (45.72 cm), 1920 x 1200 px, IPS LCD Display</t>
  </si>
  <si>
    <t>Lenovo Thinkpad P16s (21BTS02000) Laptop (Core i7 12th Gen/16 GB/1 TB SSD/Windows 11/4 GB) price in India</t>
  </si>
  <si>
    <t>16" (40.64 cm), x px, IPS LCD Display</t>
  </si>
  <si>
    <t>Slim 21 mm</t>
  </si>
  <si>
    <t>Microsoft Surface Pro 9 Intel Evo (QEZ-00065) Laptop (Core i5 12th Gen/8 GB/256 GB SSD/Windows 11) price in India</t>
  </si>
  <si>
    <t>8 GB LPDDR5 RAM, 256 GB SSD</t>
  </si>
  <si>
    <t>13" (33.02 cm), 1600 x 1200 px Display</t>
  </si>
  <si>
    <t>Slim 09 mm</t>
  </si>
  <si>
    <t>Microsoft Surface Pro 9 (QIX-00031) Laptop (Core i7 12th Gen/16 GB/512 GB SSD/Windows 11) price in India</t>
  </si>
  <si>
    <t>13" (33.02 cm), 2880 x 1920 px Display</t>
  </si>
  <si>
    <t>Microsoft Surface 5 Intel Evo (RBG-00048) Laptop (Core i7 12th Gen/16 GB/512 GB SSD/Windows 11) price in India</t>
  </si>
  <si>
    <t>13.5" (34.29 cm), 2256 x 1504 px Display</t>
  </si>
  <si>
    <t>Slim 14.5 mm</t>
  </si>
  <si>
    <t>Asus ROG Strix G15 G513IH-HN084TS Laptop (AMD Octa Core Ryzen 7/8 GB/512 GB SSD/Windows 10/4 GB) price in India</t>
  </si>
  <si>
    <t>Windows 10</t>
  </si>
  <si>
    <t>15.6" (39.62 cm), 1920 x 1080 px, LED Display</t>
  </si>
  <si>
    <t>Slim 20.6 mm</t>
  </si>
  <si>
    <t>Asus ROG Zephyrus G15 GA503RMZ-LN155WS Laptop (AMD Octa Core Ryzen 7/16 GB/1 TB SSD/Windows 11/6 GB) price in India</t>
  </si>
  <si>
    <t>15.6" (39.62 cm), 2560 x 1440 px Display</t>
  </si>
  <si>
    <t>Slim 20 mm</t>
  </si>
  <si>
    <t>4 USB Ports</t>
  </si>
  <si>
    <t>Asus ROG Zephyrus G15 GA503RMZ-HQ153WS Laptop (AMD Octa Core Ryzen 7/16 GB/1 TB SSD/Windows 11/6 GB) price in India</t>
  </si>
  <si>
    <t>15.6" (39.62 cm), 2560 x 1440 px, IPS LCD Display</t>
  </si>
  <si>
    <t>Asus ROG Zephyrus G15 GA503RSZ-HQ061WS Laptop (AMD Octa Core Ryzen 9/16 GB/1 TB SSD/Windows 11/8 GB) price in India</t>
  </si>
  <si>
    <t>Asus Zenbook 17 Fold OLED Intel Evo UX9702AA-MD023WS Laptop (Core i7 12th Gen/16 GB/1 TB SSD/Windows 11) price in India</t>
  </si>
  <si>
    <t>17.3" (43.94 cm), 2560 x 1920 px, OLED Display</t>
  </si>
  <si>
    <t>Slim 11.7 mm</t>
  </si>
  <si>
    <t>2 USB Ports</t>
  </si>
  <si>
    <t>Dell G15-5520 (D560895WIN9S) Laptop (Core i7 12th Gen/16 GB/512 GB SSD/Windows 11/6 GB) price in India</t>
  </si>
  <si>
    <t>Asus ROG Zephyrus G15 GA503RM-LN095WS Laptop (AMD Octa Core Ryzen 9/16 GB/1 TB SSD/Windows 11/6 GB) price in India</t>
  </si>
  <si>
    <t>AMD Hexa-Core Ryzen 5 (5600H) 4.2 Ghz</t>
  </si>
  <si>
    <t>Asus ProArt Studiobook Pro 16 OLED H7600ZW-L711WS Laptop (Core i7 12th Gen/32 GB/1 TB SSD/Windows 11/8 GB) price in India</t>
  </si>
  <si>
    <t>16" (40.64 cm), 3840 x 2400 px, OLED Display</t>
  </si>
  <si>
    <t>Asus ProArt Studiobook Pro 16 OLED H7600ZM-L701WS Laptop (Core i7 12th Gen/16 GB/1 TB SSD/Windows 11/6 GB) price in India</t>
  </si>
  <si>
    <t>HP Omen 17-ck1023TX (6H9E0PA) Laptop (Core i9 12th Gen/32 GB/2 TB SSD/Windows 11/16 GB) price in India</t>
  </si>
  <si>
    <t>HP Omen 17-ck1022TX (6J0W2PA) Laptop (Core i7 12th Gen/32 GB/1 TB SSD/Windows 11/8 GB) price in India</t>
  </si>
  <si>
    <t>HP Omen 16-n0049AX (6H4N5PA) Laptop (AMD Octa Core Ryzen 7/16 GB/512 GB SSD/Windows 11/4 GB) price in India</t>
  </si>
  <si>
    <t>16.1" (40.89 cm), 1920 x 1080 px, IPS LCD Display</t>
  </si>
  <si>
    <t>Asus VivoBook Pro 15 OLED M6500IH-L1702WS Laptop (AMD Octa Core Ryzen 7/16 GB/512 GB SSD/Windows 11/4 GB) price in India</t>
  </si>
  <si>
    <t>Asus ROG Zephyrus G15 GA503RM-HQ057WS Laptop (AMD Octa Core Ryzen 9/16 GB/1 TB SSD/Windows 11/6 GB) price in India</t>
  </si>
  <si>
    <t>Asus ROG Flow X16 GV601RW-M5045WS Laptop (AMD Octa Core Ryzen 9/32 GB/1 TB SSD/Windows 11/8 GB) price in India</t>
  </si>
  <si>
    <t>Lenovo Ideapad Slim 3i Gen 7 (82RK007JIN) Laptop (Core i3 12th Gen/8 GB/512 GB SSD/Windows 11) price in India</t>
  </si>
  <si>
    <t>Asus ROG Flow X13 GV301RA-LI030WS Laptop (AMD Octa Core Ryzen 7/16 GB/1 TB SSD/Windows 11) price in India</t>
  </si>
  <si>
    <t>13.4" (34.04 cm), 3840 x 2400 px, IPS LCD Display</t>
  </si>
  <si>
    <t>Dell Alienware X14 R1 (D569937WIN9) Laptop (Core i5 12th Gen/16 GB/512 GB SSD/Windows 11/4 GB) price in India</t>
  </si>
  <si>
    <t>14" (35.56 cm), 1920 x 1600 px Display</t>
  </si>
  <si>
    <t>HP Victus 15-fb0052AX (6F9U0PA) Laptop (AMD Octa Core Ryzen 7/8 GB/512 GB SSD/Windows 11/4 GB) price in India</t>
  </si>
  <si>
    <t>Lenovo Legion Slim 7i Gen 7 (82TF007LIN) Laptop (Core i7 12th Gen/16 GB/1 TB SSD/Windows 11/4 GB) price in India</t>
  </si>
  <si>
    <t>Asus ROG Flow Z13 GZ301ZE-LC193WS Laptop (Core i9 12th Gen/16 GB/1 TB SSD/Windows 11/4 GB) price in India</t>
  </si>
  <si>
    <t>Slim 5.6 mm</t>
  </si>
  <si>
    <t>Apple MacBook Pro M4 MW2U3HN/A Ultrabook (Apple M4/16 GB/512 GB SSD/macOS Sequoia) price in India</t>
  </si>
  <si>
    <t>AMD Hexa-Core Ryzen 5 (5600HS) 3.3 Ghz</t>
  </si>
  <si>
    <t>16 GB Unified Memory RAM, 512 GB SSD</t>
  </si>
  <si>
    <t>Apple MacBook Pro M3 Pro MRX43HN/A Ultrabook (Apple M3 Pro/18 GB/1 TB SSD/macOS Sonoma) price in India</t>
  </si>
  <si>
    <t>AMD Hexa-Core Ryzen 5 (5625U) 2.3 Ghz</t>
  </si>
  <si>
    <t>Fujitsu UH-X 4ZR1L73352 Laptop (Core i7 13th Gen/16 GB/1 TB SSD/Windows 11) price in India</t>
  </si>
  <si>
    <t>13.3" (33.78 cm), 1920 x 1080 px, LED Display</t>
  </si>
  <si>
    <t>1 USB Ports</t>
  </si>
  <si>
    <t>Apple MacBook Pro M2 Pro MPHF3HN/A Ultrabook (Apple M2 Pro/16 GB/1 TB SSD/macOS Ventura) price in India</t>
  </si>
  <si>
    <t>16 GB RAM, 1 TB SSD</t>
  </si>
  <si>
    <t>MSI Katana 15 B12UDXK-1017IN Laptop (Core i7 12th Gen/8 GB/512 GB SSD/Windows 11/6 GB) price in India</t>
  </si>
  <si>
    <t>Dell XPS 13 9315 (ICC-C786507WIN8) Laptop (Core i5 12th Gen/16 GB/512 GB SSD/Windows 11) price in India</t>
  </si>
  <si>
    <t>13.4" (34.04 cm), 1920 x 1200 px, IPS LCD Display</t>
  </si>
  <si>
    <t>Lenovo Legion 5 Pro 16IAH7H (82RF00E1IN) Laptop (Core i7 12th Gen/32 GB/1 TB SSD/Windows 11/8 GB) price in India</t>
  </si>
  <si>
    <t>Asus ROG Zephyrus G15 GA503RM-LN143WS Laptop (AMD Octa Core Ryzen 7/16 GB/1 TB SSD/Windows 11/6 GB) price in India</t>
  </si>
  <si>
    <t>AMD Hexa-Core Ryzen 5 (5625U) 2.6 Ghz</t>
  </si>
  <si>
    <t>Asus ROG Flow Z13 GZ301ZE-LD064WS Laptop (Core i9 12th Gen/16 GB/1 TB SSD/Windows 11/4 GB) price in India</t>
  </si>
  <si>
    <t>AMD Hexa-Core Ryzen 5 (5625U) 4.2 Ghz</t>
  </si>
  <si>
    <t>Apple MacBook Air M2 MC7X4HN/A Ultrabook (Apple M2/16 GB/256 GB SSD/macOS Sequoia) price in India</t>
  </si>
  <si>
    <t>Asus VivoBook 14 X1407CA-LY102WS Laptop (Core Ultra 5/16 GB/512 GB SSD/Windows 11) price in India</t>
  </si>
  <si>
    <t>AMD Hexa-Core Ryzen 5 (5625U) 4.3 Ghz</t>
  </si>
  <si>
    <t>Asus VivoBook 16 X1607CA-MB139WS Laptop (Core Ultra 5/16 GB/512 GB SSD/Windows 11) price in India</t>
  </si>
  <si>
    <t>Asus VivoBook 16 X1607CA-MB142WS Laptop (Core Ultra 5/16 GB/512 GB SSD/Windows 11) price in India</t>
  </si>
  <si>
    <t>Apple MacBook Air M3 MC8Q4HN/A Ultrabook (Apple M3/24 GB/512 GB SSD/macOS Sequoia) price in India</t>
  </si>
  <si>
    <t>MSI Crosshair 16 HX D14VGKG-668IN Laptop (Core i7 14th Gen/32 GB/1 TB SSD/Windows 11/8 GB) price in India</t>
  </si>
  <si>
    <t>AMD Hexa-Core Ryzen 5 (6600H) 3.3 Ghz</t>
  </si>
  <si>
    <t>Apple MacBook Pro M4 MW2W3HN/A Ultrabook (Apple M4/16 GB/512 GB SSD/macOS Sequoia) price in India</t>
  </si>
  <si>
    <t>MSI Sword 16 HX B13VFKG-653IN Laptop (Core i7 13th Gen/16 GB/1 TB SSD/Windows 11/8 GB) price in India</t>
  </si>
  <si>
    <t>Infinix INBook Y3 Max YL613 (71008301498) Laptop (Core i7 12th Gen/16 GB/512 GB SSD/Windows 11) price in India</t>
  </si>
  <si>
    <t>MSI GE75 Raider 9SG-610IN Laptop (Core i7 9th Gen/16 GB/1 TB 1 TB SSD/Windows 10/8 GB) price in India</t>
  </si>
  <si>
    <t>AMD Hexa-Core Ryzen 5 (7430U) 4.3 Ghz</t>
  </si>
  <si>
    <t>16 GB DDR4 RAM, 1 TB HDD</t>
  </si>
  <si>
    <t>Samsung Galaxy Book 4 Pro NP960XGK-KG2IN Laptop (Core Ultra 7/16 GB/512 GB SSD/Windows 11) price in India</t>
  </si>
  <si>
    <t>Slim 12.5 mm</t>
  </si>
  <si>
    <t>Asus VivoBook Pro 15 OLED M3500QC-L1711WS Laptop (AMD Octa Core Ryzen 7/16 GB/1 TB SSD/Windows 11/4 GB) price in India</t>
  </si>
  <si>
    <t>MSI Bravo 15 B7ED-011IN Laptop (AMD Octa Core Ryzen 7/16 GB/512 GB SSD/Windows 11/4 GB) price in India</t>
  </si>
  <si>
    <t>AMD Hexa-Core Ryzen 5 (7530U) 2.0 Ghz</t>
  </si>
  <si>
    <t>MSI Katana 17 B12VFK-673IN Laptop (Core i7 12th Gen/16 GB/1 TB SSD/Windows 11/8 GB) price in India</t>
  </si>
  <si>
    <t>17.3" (43.94 cm), 2560 x 1440 px Display</t>
  </si>
  <si>
    <t>Apple MacBook Pro M2 Pro MNWD3HN/A Ultrabook (Apple M2 Pro/16 GB/1 TB SSD/macOS Ventura) price in India</t>
  </si>
  <si>
    <t>HP Spectre x360 OLED 13.5-ef2034TU (7Y6U1PA) Laptop (Core i7 13th Gen/32 GB/1 TB SSD/Windows 11) price in India</t>
  </si>
  <si>
    <t>32 GB LPDDR4X RAM, 1 TB SSD</t>
  </si>
  <si>
    <t>13.5" (34.29 cm), 3000 x 2000 px, OLED Display</t>
  </si>
  <si>
    <t>Asus Zenbook 14 OLED UX3402VA-KM541WS Laptop (Core i5 13th Gen/16 GB/512 GB SSD/Windows 11) price in India</t>
  </si>
  <si>
    <t>HP Spectre x360 OLED Touch 13.5-ef2033TU (7Y6T9PA) Laptop (Core i7 13th Gen/16 GB/1 TB SSD/Windows 11) price in India</t>
  </si>
  <si>
    <t>16 GB LPDDR4X RAM, 1 TB SSD</t>
  </si>
  <si>
    <t>Apple MacBook Pro M2 Pro MPHH3HN/A Ultrabook (Apple M2 Pro/16 GB/512 GB SSD/macOS Ventura) price in India</t>
  </si>
  <si>
    <t>Dell Inspiron 15 3520 (D560877WIN9S) Laptop (Core i5 12th Gen/8 GB/1 TB 256 GB SSD/Windows 11/2 GB) price in India</t>
  </si>
  <si>
    <t>8 GB DDR4 RAM, 1 TB HDD</t>
  </si>
  <si>
    <t>Asus VivoBook 15 X1502ZA-EJ515WS Laptop (Core i5 12th Gen/8 GB/512 GB SSD/Windows 11) price in India</t>
  </si>
  <si>
    <t>Dell Inspiron 15 3520 (D560924WIN9G) Laptop (Core i5 12th Gen/8 GB/512 GB SSD/Windows 11) price in India</t>
  </si>
  <si>
    <t>Asus ROG Flow X16 GV601RM-M6055WS Laptop (AMD Octa Core Ryzen 7/16 GB/1 TB SSD/Windows 11/6 GB) price in India</t>
  </si>
  <si>
    <t>Slim 19.4 mm</t>
  </si>
  <si>
    <t>Acer Aspire 3 A314-35 Laptop (Intel Pentium Quad Core/8 GB/256 GB SSD/Windows 11) (UN.K0SSI.041) price in India</t>
  </si>
  <si>
    <t>8 GB DDR4 RAM, 256 GB SSD</t>
  </si>
  <si>
    <t>Asus TUF Dash F15 FX517ZR-HQ030WS Laptop (Core i7 12th Gen/16 GB/1 TB SSD/Windows 11/8 GB) price in India</t>
  </si>
  <si>
    <t>Apple MacBook Air M2 MC7W4HN/A Ultrabook (Apple M2/16 GB/256 GB SSD/macOS Sequoia) price in India</t>
  </si>
  <si>
    <t>Apple MacBook Air M3 MXCU3HN/A Ultrabook (Apple M3/16 GB/512 GB SSD/macOS Sonoma) price in India</t>
  </si>
  <si>
    <t>Apple MacBook Air M3 MC8G4HN/A Ultrabook (Apple M3/16 GB/256 GB SSD/macOS Sequoia) price in India</t>
  </si>
  <si>
    <t>AMD Hexa-Core Ryzen 5 (7530U) 3.0 Ghz</t>
  </si>
  <si>
    <t>Apple MacBook Air M3 MC8K4HN/A Ultrabook (Apple M3/16 GB/256 GB SSD/macOS Sequoia) price in India</t>
  </si>
  <si>
    <t>AMD Hexa-Core Ryzen 5 (7530U) 4.2 Ghz</t>
  </si>
  <si>
    <t>Apple MacBook Air M3 MC8J4HN/A Ultrabook (Apple M3/16 GB/256 GB SSD/macOS Sequoia) price in India</t>
  </si>
  <si>
    <t>Apple MacBook Air M3 MC8H4HN/A Ultrabook (Apple M3/16 GB/256 GB SSD/macOS Sequoia) price in India</t>
  </si>
  <si>
    <t>Lenovo IdeaPad Slim 3 15ABR8 (82XM00QDIN) Laptop (AMD Hexa Core Ryzen 5/16 GB/512 GB SSD/Windows 11) price in India</t>
  </si>
  <si>
    <t>Asus TUF Gaming A14 FA401WV-RG475WS Laptop (AMD Dodeca Core Ryzen AI 9 HX/16 GB/1 TB SSD/Windows 11/8 GB) price in India</t>
  </si>
  <si>
    <t>Apple MacBook Pro M4 MX2X3HN/A Ultrabook (Apple M4 Pro/24 GB/512 GB SSD/macOS Sequoia) price in India</t>
  </si>
  <si>
    <t>AMD Hexa-Core Ryzen 5 (7530U) 4.5 Ghz</t>
  </si>
  <si>
    <t>Lenovo Ideapad Slim 3 (81W1005CIN) Laptop (AMD Quad Core Ryzen 5/8 GB/1 TB 128 GB SSD/Windows 10) price in India</t>
  </si>
  <si>
    <t>Acer Aspire 3 A324-53 (UN.34RSI.009) Laptop (Core i3 13th Gen/16 GB/512 GB SSD/Windows 11) price in India</t>
  </si>
  <si>
    <t>14" (35.56 cm), 1920 x 1080 px, TFT LCD Display</t>
  </si>
  <si>
    <t>Acer Nitro 5 AN515-52-52CB (NH.Q3XSI.002) Laptop (Core i5 8th Gen/8 GB/1 TB 128 GB SSD/Windows 10/6 GB) price in India</t>
  </si>
  <si>
    <t>Samsung Galaxy Book 4 NP750XGK-KG3IN Laptop (Core 7 Series 1 /16 GB/512 GB SSD/Windows 11) price in India</t>
  </si>
  <si>
    <t>Slim 15.4 mm</t>
  </si>
  <si>
    <t>HP OMEN Transcend 14-fb0089TX (9U867PA) Laptop (Core Ultra 7/16 GB/1 TB SSD/Windows 11/8 GB) price in India</t>
  </si>
  <si>
    <t>Apple MacBook Air M3 MRYQ3HN/A Ultrabook (Apple M3/8 GB/512 GB SSD/macOS Sonoma) price in India</t>
  </si>
  <si>
    <t>8 GB Unified Memory RAM, 512 GB SSD</t>
  </si>
  <si>
    <t>Apple MacBook Air M3 MRXU3HN/A Ultrabook (Apple M3/8 GB/512 GB SSD/macOS Sonoma) price in India</t>
  </si>
  <si>
    <t>Apple MacBook Air M3 MRXR3HN/A Ultrabook (Apple M3/8 GB/512 GB SSD/macOS Sonoma) price in India</t>
  </si>
  <si>
    <t>Apple MacBook Air M3 MRXN3HN/A Ultrabook (Apple M3/8 GB/256 GB SSD/macOS Sonoma) price in India</t>
  </si>
  <si>
    <t>AMD Hexa-Core Ryzen 5 (7535HS)</t>
  </si>
  <si>
    <t>8 GB Unified Memory RAM, 256 GB SSD</t>
  </si>
  <si>
    <t>Apple MacBook Air M3 MRYV3HN/A Ultrabook (Apple M3/8 GB/512 GB SSD/macOS Sonoma) price in India</t>
  </si>
  <si>
    <t>AMD Hexa-Core Ryzen 5 (7535HS) 3.3 Ghz</t>
  </si>
  <si>
    <t>Apple MacBook Air M3 MRXQ3HN/A Ultrabook (Apple M3/8 GB/256 GB SSD/macOS Sonoma) price in India</t>
  </si>
  <si>
    <t>Apple MacBook Air M3 MRXT3HN/A Ultrabook (Apple M3/8 GB/256 GB SSD/macOS Sonoma) price in India</t>
  </si>
  <si>
    <t>Apple MacBook Air M3 MRXP3HN/A Ultrabook (Apple M3/8 GB/512 GB SSD/macOS Sonoma) price in India</t>
  </si>
  <si>
    <t>Apple MacBook Air M3 MRYM3HN/A Ultrabook (Apple M3/8 GB/256 GB SSD/macOS Sonoma) price in India</t>
  </si>
  <si>
    <t>Apple MacBook Air M3 MRYT3HN/A Ultrabook (Apple M3/8 GB/512 GB SSD/macOS Sonoma) price in India</t>
  </si>
  <si>
    <t>Apple MacBook Air M3 MRYN3HN/A Ultrabook (Apple M3/8 GB/512 GB SSD/macOS Sonoma) price in India</t>
  </si>
  <si>
    <t>Apple MacBook Air M3 MRYP3HN/A Ultrabook (Apple M3/8 GB/256 GB SSD/macOS Sonoma) price in India</t>
  </si>
  <si>
    <t>AMD Hexa-Core Ryzen 5 (7535HS) 4.2 Ghz</t>
  </si>
  <si>
    <t>Apple MacBook Air M3 MRXW3HN/A Ultrabook (Apple M3/8 GB/512 GB SSD/macOS Sonoma) price in India</t>
  </si>
  <si>
    <t>Apple MacBook Pro M3 MTL83HN/A Ultrabook (Apple M3/8 GB/1 TB SSD/macOS Sonoma) price in India</t>
  </si>
  <si>
    <t>8 GB RAM, 1 TB SSD</t>
  </si>
  <si>
    <t>Lenovo Ideapad Flex 5i 14IRU8 (82Y0004TIN) Laptop (Core i7 13th Gen/16 GB/512 GB SSD/Windows 11) price in India</t>
  </si>
  <si>
    <t>AMD Hexa-Core Ryzen 5 (7535HS) 4.5 Ghz</t>
  </si>
  <si>
    <t>Slim 17.4 mm</t>
  </si>
  <si>
    <t>Dell Inspiron 15 3530 (IN3530NC2R9001ORS1) Laptop (Core i7 13th Gen/16 GB/512 GB SSD/Windows 11) price in India</t>
  </si>
  <si>
    <t>AMD Hexa-Core Ryzen 5 (7535HS) 4.7 Ghz</t>
  </si>
  <si>
    <t>HP Pavilion 14-ek1074TU (8C5H5PA) Laptop (Core i5 13th Gen/16 GB/512 GB SSD/Windows 11) price in India</t>
  </si>
  <si>
    <t>AMD Hexa-Core Ryzen 5 (7535U) 2.9 Ghz</t>
  </si>
  <si>
    <t>MSI Pulse 17 B13VFK-667IN Laptop (Core i7 13th Gen/8 GB/1 TB SSD/Windows 11/8 GB) price in India</t>
  </si>
  <si>
    <t>AMD Hexa-Core Ryzen 5 (7535U) 4.2 Ghz</t>
  </si>
  <si>
    <t>8 GB DDR5 RAM, 1 TB SSD</t>
  </si>
  <si>
    <t>MSI Stealth 15 A13VF-074IN Laptop (Core i7 13th Gen/16 GB/1 TB SSD/Windows 11/8 GB) price in India</t>
  </si>
  <si>
    <t>15.6" (39.62 cm), 2560 x 1440 px, OLED Display</t>
  </si>
  <si>
    <t>MSI Pulse 15 B13VFK-293IN Laptop (Core i7 13th Gen/16 GB/1 TB SSD/Windows 11/8 GB) price in India</t>
  </si>
  <si>
    <t>AMD Hexa-Core Ryzen 5 (7640HS) 5.0 Ghz</t>
  </si>
  <si>
    <t>MSI Katana 15 B13VFK-296IN Laptop (Core i7 13th Gen/16 GB/1 TB SSD/Windows 11/8 GB) price in India</t>
  </si>
  <si>
    <t>AMD Hexa-Core Ryzen 5 (8645HS ) 5.0 Ghz</t>
  </si>
  <si>
    <t>17.3" (43.94 cm), 1920 x 1080 px, IPS LCD Display</t>
  </si>
  <si>
    <t>HP 15s-du3595TU (67V46PA) Laptop (Core i3 11th Gen/8 GB/256 GB SSD/Windows 11) price in India</t>
  </si>
  <si>
    <t>AMD Hexa-Core Ryzen AI 5 (340) 4.8 Ghz</t>
  </si>
  <si>
    <t>Apple MacBook Pro M2 Pro MNW93HN/A Ultrabook (Apple M2 Pro/16 GB/1 TB SSD/macOS Ventura) price in India</t>
  </si>
  <si>
    <t>AMD Hexadeca-Core Ryzen 9 (7945HX) 4.8 Ghz</t>
  </si>
  <si>
    <t>16.2" (41.15 cm), 3456 x 2234 px Display</t>
  </si>
  <si>
    <t>Microsoft Surface Pro 9 Intel Evo (QEZ-00031) Laptop (Core i5 12th Gen/8 GB/256 GB SSD/Windows 11) price in India</t>
  </si>
  <si>
    <t>AMD Octa-Core Ryzen 7 (4800H) 2.9 Ghz</t>
  </si>
  <si>
    <t>HP Victus 15-fb0050AX (6F9V1PA) Laptop (AMD Hexa Core Ryzen 5/8 GB/512 GB SSD/Windows 11/4 GB) price in India</t>
  </si>
  <si>
    <t>Apple MacBook Pro M2 MNEH3HN/A Ultrabook (Apple M2/8 GB/256 GB SSD/macOS Monterey) price in India</t>
  </si>
  <si>
    <t>macOS Monterey</t>
  </si>
  <si>
    <t>13.3" (33.78 cm), 2560 x 1600 px, IPS LCD Display</t>
  </si>
  <si>
    <t>Slim 15.6 mm</t>
  </si>
  <si>
    <t>Apple MacBook Air M4 MC6T4HN/A Ultrabook (Apple M4/16 GB/256 GB SSD/macOS Sequoia) price in India</t>
  </si>
  <si>
    <t>AMD Octa-Core Ryzen 7 (4800H) 4.2 Ghz</t>
  </si>
  <si>
    <t>13.6" (34.54 cm), 2560 x 1664 px, Liquid Retina Display</t>
  </si>
  <si>
    <t>Apple MacBook Air M4 MW123HN/A Ultrabook (Apple M4/16 GB/256 GB SSD/macOS Sequoia) price in India</t>
  </si>
  <si>
    <t>Apple MacBook Air M4 MC6C4HN/A Ultrabook (Apple M4/24 GB/512 GB SSD/macOS Sequoia) price in India</t>
  </si>
  <si>
    <t>Apple MacBook Air M4 MW133HN/A Ultrabook (Apple M4/16 GB/512 GB SSD/macOS Sequoia) price in India</t>
  </si>
  <si>
    <t>AMD Octa-Core Ryzen 7 (5700U) 1.8 Ghz</t>
  </si>
  <si>
    <t>Apple MacBook Air M4 MC6U4HN/A Ultrabook (Apple M4/16 GB/512 GB SSD/macOS Sequoia) price in India</t>
  </si>
  <si>
    <t>Apple MacBook Air M4 MW0W3HN/A Ultrabook (Apple M4/16 GB/256 GB SSD/macOS Sequoia) price in India</t>
  </si>
  <si>
    <t>16 GB RAM, 256 GB SSD</t>
  </si>
  <si>
    <t>Apple MacBook Air M4 MW0X3HN/A Ultrabook (Apple M4/16 GB/512 GB SSD/macOS Sequoia) price in India</t>
  </si>
  <si>
    <t>Apple MacBook Air M4 MC654HN/A Ultrabook (Apple M4/24 GB/512 GB SSD/macOS Sequoia) price in India</t>
  </si>
  <si>
    <t>Apple MacBook Air M4 MC6V4HN/A Ultrabook (Apple M4/24 GB/512 GB SSD/macOS Sequoia) price in India</t>
  </si>
  <si>
    <t>AMD Octa-Core Ryzen 7 (5700U) 4.2 Ghz</t>
  </si>
  <si>
    <t>Apple MacBook Air M4 MW0Y3HN/A Ultrabook (Apple M4/16 GB/256 GB SSD/macOS Sequoia) price in India</t>
  </si>
  <si>
    <t>Apple MacBook Air M4 MC6A4HN/A Ultrabook (Apple M4/24 GB/512 GB SSD/macOS Sequoia) price in India</t>
  </si>
  <si>
    <t>Apple MacBook Air M4 MW103HN/A Ultrabook (Apple M4/16 GB/512 GB SSD/macOS Sequoia) price in India</t>
  </si>
  <si>
    <t>AMD Octa-Core Ryzen 7 (5700U) 4.3 Ghz</t>
  </si>
  <si>
    <t>MSI Modern 14 C12MO-1401IN Laptop (Core i3 12th Gen/8 GB/512 GB SSD/Windows 11) price in India</t>
  </si>
  <si>
    <t>14" (35.56 cm), 1920 x 1080 px Display</t>
  </si>
  <si>
    <t>Slim 19.3 mm</t>
  </si>
  <si>
    <t>Asus VivoBook S14 S3407VA-LY033WS Laptop (Core i5 13th Gen/16 GB/512 GB SSD/Windows 11) price in India</t>
  </si>
  <si>
    <t>Asus VivoBook S14 S3407VA-LY037WS Laptop (Core i5 13th Gen/16 GB/512 GB SSD/Windows 11) price in India</t>
  </si>
  <si>
    <t>Lenovo Yoga Slim 7 14ILL10 (83JX001LIN) Laptop (Core Ultra 5 Series 2 /32 GB/1 TB SSD/Windows 11) price in India</t>
  </si>
  <si>
    <t>AMD Octa-Core Ryzen 7 (5800H) 3.1 Ghz</t>
  </si>
  <si>
    <t>Lenovo Yoga Slim 7 14ILL10 (83JX001MIN) Laptop (Intel Core Ultra 7 Series 2 /32 GB/1 TB SSD/Windows 11) price in India</t>
  </si>
  <si>
    <t>MSI Modern 14 C7M-283IN Laptop (AMD Hexa Core Ryzen 5/16 GB/512 GB SSD/Windows 11) price in India</t>
  </si>
  <si>
    <t>Lenovo Legion 5 15IRX9 (83JJ000DIN) Laptop (Core i7 13th Gen/24 GB/512 GB SSD/Windows 11/8 GB) price in India</t>
  </si>
  <si>
    <t>24 GB DDR5 RAM, 512 GB SSD</t>
  </si>
  <si>
    <t>Asus Zenbook Duo 14 Intel Evo UX482EA-HY777TS Laptop (Core i7 11th Gen/16 GB/1 TB SSD/Windows 10) price in India</t>
  </si>
  <si>
    <t>Acer Swift 5 SF514-52T (NX.GTMSI.015) Laptop (Core i7 8th Gen/8 GB/512 GB SSD/Windows 10) price in India</t>
  </si>
  <si>
    <t>14" (35.56 cm), 1920 x 1080 px, LED Display</t>
  </si>
  <si>
    <t>Asus ROG Strix G531GT-AL271T Laptop (Core i5 9th Gen/8 GB/1 TB SSD/Windows 10/4 GB) price in India</t>
  </si>
  <si>
    <t>Asus VivoBook 15 X512FL-EJ205T Ultrabook (Core i7 8th Gen/8 GB/512 GB SSD/Windows 10/2 GB) price in India</t>
  </si>
  <si>
    <t>Acer Swift 3 SF315-52G (NX.GZASI.002) Laptop (Core i5 8th Gen/8 GB/1 TB 128 GB SSD/Windows 10/2 GB) price in India</t>
  </si>
  <si>
    <t>Dell Vostro 3530 (VN3530XR6N1002ORG1) Laptop (Core i3 13th Gen/8 GB/512 GB SSD/Windows 11) price in India</t>
  </si>
  <si>
    <t>Slim 17.5 mm</t>
  </si>
  <si>
    <t>Lenovo Yoga Slim 7 Aura Edition 15ILL9 (83HM004NIN) Laptop (Core Ultra 7/32 GB/1 TB SSD/Windows 11) price in India</t>
  </si>
  <si>
    <t>AMD Octa-Core Ryzen 7 (5800H) 3.3 Ghz</t>
  </si>
  <si>
    <t>15.3" (38.86 cm), 2880 x 1800 px, IPS LCD Display</t>
  </si>
  <si>
    <t>Samsung Galaxy Book 4 Pro NP940XGK-LG2IN Laptop (Core Ultra 7/16 GB/512 GB SSD/Windows 11) price in India</t>
  </si>
  <si>
    <t>AMD Octa-Core Ryzen 7 (5800H) 4.2 Ghz</t>
  </si>
  <si>
    <t>14" (35.56 cm), 2880 x 1800 px, AMOLED Display</t>
  </si>
  <si>
    <t>Slim 11.6 mm</t>
  </si>
  <si>
    <t>Samsung Galaxy Book 4 Pro NP940XGK-KG2IN Laptop (Intel Core Ultra 7/16 GB/512 GB SSD/Windows 11) price in India</t>
  </si>
  <si>
    <t>Acer Predator Helios 300 PH315-51-785W (NH.Q47SI.001) Laptop (Core i7 8th Gen/8 GB/2 TB 16 GB SSD/Windows 10/6 GB) price in India</t>
  </si>
  <si>
    <t>8 GB DDR4 RAM, 2 TB HDD</t>
  </si>
  <si>
    <t>Acer Predator Helios 300 PH315-51 (NH.Q4HSI.004) Laptop (Core i7 8th Gen/16 GB/1 TB 256 GB SSD/Windows 10/6 GB) price in India</t>
  </si>
  <si>
    <t>Asus Zenbook S 14 OLED UX5406SA-PZ357WS Laptop (Core Ultra 7/32 GB/1 TB SSD/Windows 11) price in India</t>
  </si>
  <si>
    <t>32 GB LPDDR5 RAM, 1 TB SSD</t>
  </si>
  <si>
    <t>Slim 12.9 mm</t>
  </si>
  <si>
    <t>Infinix GTBook GL613 Laptop (Core i5 12th Gen/16 GB/512 GB SSD/Windows 11/6 GB) price in India</t>
  </si>
  <si>
    <t>AMD Octa-Core Ryzen 7 (5800H) 4.4 Ghz</t>
  </si>
  <si>
    <t>Acer ALG AL15G-52 (UN.34CSI.002) Laptop (Core i5 12th Gen/16 GB/512 GB SSD/Windows 11/4 GB) price in India</t>
  </si>
  <si>
    <t>Apple MacBook Air M3 MRXV3HN/A Ultrabook (Apple M3/8 GB/256 GB SSD/macOS Sonoma) price in India</t>
  </si>
  <si>
    <t>Apple MacBook Pro M3 MR7J3HN/A Ultrabook (Apple M3/8 GB/512 GB SSD/macOS Sonoma) price in India</t>
  </si>
  <si>
    <t>AMD Octa-Core Ryzen 7 (5800H) 4.7 Ghz</t>
  </si>
  <si>
    <t>Gigabyte G5 KF-E3IN313SH Laptop (Core i5 12th Gen/8 GB/512 GB SSD/Windows 11/8 GB) price in India</t>
  </si>
  <si>
    <t>15.6" (39.62 cm), 1920 x 1080 px, LCD Display</t>
  </si>
  <si>
    <t>Apple MacBook Air M2 MQKR3HN/A Ultrabook (Apple M2/8 GB/256 GB SSD/macOS Ventura) price in India</t>
  </si>
  <si>
    <t>8 GB RAM, 256 GB SSD</t>
  </si>
  <si>
    <t>Apple MacBook Air M2 MQKX3HN/A Laptop (Apple M2/8 GB/512 GB SSD/macOS Ventura) price in India</t>
  </si>
  <si>
    <t>AMD Octa-Core Ryzen 7 (5800HS) 3.1 Ghz</t>
  </si>
  <si>
    <t>Asus ROG Strix G16 G614JU-N3221WS Laptop (Core i5 13th Gen/16 GB/1 TB SSD/Windows 11/6 GB) price in India</t>
  </si>
  <si>
    <t>MSI Vector GP77 13VG-055IN Laptop (Core i7 13th Gen/32 GB/1 TB SSD/Windows 11/8 GB) price in India</t>
  </si>
  <si>
    <t>AMD Octa-Core Ryzen 7 (5800HS) 3.2 Ghz</t>
  </si>
  <si>
    <t>Asus ROG Strix Scar 18 G834JY-N6056WS Laptop (Core i9 13th Gen/32 GB/2 TB SSD/Windows 11/16 GB) price in India</t>
  </si>
  <si>
    <t>18" (45.72 cm), 2560 x 1600 px, IPS LCD Display</t>
  </si>
  <si>
    <t>MSI Modern 14 C12M-269IN Laptop (Core i3 12th Gen/8 GB/512 GB SSD/Windows 11) price in India</t>
  </si>
  <si>
    <t>AMD Octa-Core Ryzen 7 (5800HS) 4.4 Ghz</t>
  </si>
  <si>
    <t>Lenovo ThinkBook 15 G2 (20VE00JUIN) Laptop (Core i7 11th Gen/16 GB/512 GB SSD/Windows 10) price in India</t>
  </si>
  <si>
    <t>AMD Octa-Core Ryzen 7 (5800U) 4.2 Ghz</t>
  </si>
  <si>
    <t>15" (38.1 cm), 1920 x 1080 px, LED Display</t>
  </si>
  <si>
    <t>Asus VivoBook Flip 14 TM420UA-EC701TS Laptop (AMD Octa Core Ryzen 7/8 GB/512 GB SSD/Windows 10) price in India</t>
  </si>
  <si>
    <t>AMD Octa-Core Ryzen 7 (5800U) 4.4 Ghz</t>
  </si>
  <si>
    <t>Slim 18.2 mm</t>
  </si>
  <si>
    <t>MSI Pulse GL66 11UDK-627IN Laptop (Core i7 11th Gen/16 GB/512 GB SSD/Windows 10/4 GB) price in India</t>
  </si>
  <si>
    <t>AMD Octa-Core Ryzen 7 (5825U) 2.0 Ghz</t>
  </si>
  <si>
    <t>Asus TUF Gaming F15 FX506LHB-HN374WS Laptop (Core i5 10th Gen/16 GB/512 GB SSD/Windows 11/4 GB) price in India</t>
  </si>
  <si>
    <t>Dell G15-5515 (D560542WIN9W) Laptop (AMD Hexa Core Ryzen 5/8 GB/512 GB SSD/Windows 10/4 GB) price in India</t>
  </si>
  <si>
    <t>AMD Octa-Core Ryzen 7 (5825U) 4.7 Ghz</t>
  </si>
  <si>
    <t>Lenovo Legion 5 Pro Gen 7 (82RG00EKIN) Laptop (AMD Octa Core Ryzen 7/32 GB/1 TB SSD/Windows 11/8 GB) price in India</t>
  </si>
  <si>
    <t>AMD Octa-Core Ryzen 7 (6800H) 3.1 Ghz</t>
  </si>
  <si>
    <t>MSI Sword 15 A12UD-471IN Laptop (Core i5 12th Gen/16 GB/512 GB SSD/Windows 11/4 GB) price in India</t>
  </si>
  <si>
    <t>Lenovo Legion 5 Pro Gen 7 (82RG009AIN) Laptop (AMD Octa Core Ryzen 7/16 GB/1 TB SSD/Windows 11/6 GB) price in India</t>
  </si>
  <si>
    <t>Samsung Galaxy Book 4 NP750XGJ-LG4IN Laptop (Core i3 13th Gen/8 GB/512 GB SSD/Windows 11) price in India</t>
  </si>
  <si>
    <t>8 GB LPDDR4X RAM, 512 GB SSD</t>
  </si>
  <si>
    <t>Apple MacBook Air M3 MRYR3HN/A Ultrabook (Apple M3/8 GB/256 GB SSD/macOS Sonoma) price in India</t>
  </si>
  <si>
    <t>Lenovo LOQ 15ARP9 Gen 9 (83JC0046IN) Laptop (AMD Octa Core Ryzen 7/24 GB/512 GB SSD/Windows 11/8 GB) price in India</t>
  </si>
  <si>
    <t>Lenovo Ideapad S340 (81NB00F6IN) Laptop (AMD Quad Core Ryzen 5/8 GB/1 TB 256 GB SSD/Windows 10) price in India</t>
  </si>
  <si>
    <t>Lenovo LOQ 15ARP9 Gen 9 (83JC0045IN) Laptop (AMD Octa Core Ryzen 7/24 GB/512 GB SSD/Windows 11/6 GB) price in India</t>
  </si>
  <si>
    <t>Asus TUF Gaming A15 FA507NVR-LP204WS Laptop (AMD Octa Core Ryzen 7/16 GB/512 GB SSD/Windows 11/8 GB) price in India</t>
  </si>
  <si>
    <t>HP Pavilion 15-eh1137AU (A30YHPA) Laptop (AMD Hexa Core Ryzen 5/8 GB/512 GB SSD/Windows 11) price in India</t>
  </si>
  <si>
    <t>Asus Zenbook 14 OLED UX3405CA-PZ345WS Laptop (Core Ultra 5/16 GB/1 TB SSD/Windows 11) price in India</t>
  </si>
  <si>
    <t>AMD Octa-Core Ryzen 7 (6800H) 3.3 Ghz</t>
  </si>
  <si>
    <t>Asus Zenbook 14 OLED UX3405CA-PZ162WS Laptop (Core Ultra 5/16 GB/1 TB SSD/Windows 11) price in India</t>
  </si>
  <si>
    <t>Asus TUF Gaming A15 FA507NVR-LP104WS Laptop (AMD Octa Core Ryzen 7/16 GB/512 GB SSD/Windows 11/8 GB) price in India</t>
  </si>
  <si>
    <t>AMD Octa-Core Ryzen 7 (6800H) 4.7 Ghz</t>
  </si>
  <si>
    <t>Apple MacBook Air M4 MC7A4HN/A Ultrabook (Apple M4/16 GB/256 GB SSD/macOS Sequoia) price in India</t>
  </si>
  <si>
    <t>Apple MacBook Air M4 MC6L4HN/A Ultrabook (Apple M4/24 GB/512 GB SSD/macOS Sequoia) price in India</t>
  </si>
  <si>
    <t>Apple MacBook Air M4 MW1J3HN/A Ultrabook (Apple M4/16 GB/256 GB SSD/macOS Sequoia) price in India</t>
  </si>
  <si>
    <t>Apple MacBook Air M4 MC7C4HN/A Ultrabook (Apple M4/16 GB/512 GB SSD/macOS Sequoia) price in India</t>
  </si>
  <si>
    <t>Apple MacBook Air M4 MW1H3HN/A Ultrabook (Apple M4/16 GB/512 GB SSD/macOS Sequoia) price in India</t>
  </si>
  <si>
    <t>Apple MacBook Air M4 MW1K3HN/A Ultrabook (Apple M4/16 GB/512 GB SSD/macOS Sequoia) price in India</t>
  </si>
  <si>
    <t>MSI Modern 15 B7M-427IN Laptop (AMD Hexa Core Ryzen 5/16 GB/512 GB SSD/Windows 11) price in India</t>
  </si>
  <si>
    <t>Lenovo IdeaPad 5 14IRH9 (83KX0018IN) Laptop (Core i5 13th Gen/16 GB/512 GB SSD/Windows 11) price in India</t>
  </si>
  <si>
    <t>AMD Octa-Core Ryzen 7 (6800HS) 3.3 Ghz</t>
  </si>
  <si>
    <t>Dell Inspiron 15 5515 (D560459WIN9SE) Laptop (AMD Hexa Core Ryzen 5/8 GB/512 GB SSD/Windows 10) price in India</t>
  </si>
  <si>
    <t>MSI GF65 Thin 9SD-293IN Laptop (Core i7 9th Gen/16 GB/512 GB SSD/Windows 10/6 GB) price in India</t>
  </si>
  <si>
    <t>MSI GF65 Thin 10SER-1258IN Laptop (Core i7 10th Gen/16 GB/512 GB SSD/Windows 10/6 GB) price in India</t>
  </si>
  <si>
    <t>AMD Octa-Core Ryzen 7 (6800HS) 4.7 Ghz</t>
  </si>
  <si>
    <t>Asus VivoBook 15 X512FL-EJ202T Ultrabook (Core i5 8th Gen/8 GB/512 GB SSD/Windows 10/2 GB) price in India</t>
  </si>
  <si>
    <t>Dell G15-5515 (D560804WIN9W) Laptop (AMD Hexa Core Ryzen 5/8 GB/512 GB SSD/Windows 11/4 GB) price in India</t>
  </si>
  <si>
    <t>Dell Inspiron 15 3535 (IN3535YM9GN001ORB1) Laptop (AMD Quad Core Ryzen 5/8 GB/512 GB SSD/Windows 11) price in India</t>
  </si>
  <si>
    <t>Asus VivoBook 15 X512DA-EJ1298TS Ultrabook (AMD Quad Core Ryzen 5/8 GB/1 TB 256 SSD/Windows 10) price in India</t>
  </si>
  <si>
    <t>Apple MacBook Air M3 MXD43HN/A Ultrabook (Apple M3/16 GB/512 GB SSD/macOS Sequoia) price in India</t>
  </si>
  <si>
    <t>HP Omen 15-en1036AX (3W218PA) Laptop (AMD Octa Core Ryzen 7/16 GB/1 TB SSD/Windows 10/6 GB) price in India</t>
  </si>
  <si>
    <t>Acer Nitro 5 AN515-51 (NH.Q2SSI.006) Laptop (Core i7 7th Gen/8 GB/1 TB 128 GB SSD/Windows 10/2 GB) price in India</t>
  </si>
  <si>
    <t>Asus ROG Strix Scar 16 G635LW-RW157WS Laptop (Core Ultra 9 Series 2 /32 GB/2 TB SSD/Windows 11/16 GB) price in India</t>
  </si>
  <si>
    <t>Asus Zenbook 14X OLED Space Edition UX5401ZAS-KN901WS Laptop (Core i9 12th Gen/32 GB/1 TB SSD/Windows 11) price in India</t>
  </si>
  <si>
    <t>Asus Vivobook S410UA-EB606T Laptop (Core i3 7th Gen/8 GB/1 TB 128 GB SSD/Windows 10) price in India</t>
  </si>
  <si>
    <t>Slim 18.8 mm</t>
  </si>
  <si>
    <t>HP Pavilion Gaming 15-ec2076AX (471C4PA) Laptop (AMD Octa Core Ryzen 7/16 GB/512 GB SSD/Windows 10/4 GB) price in India</t>
  </si>
  <si>
    <t>AMD Octa-Core Ryzen 7 (7435HS) 3.1 Ghz</t>
  </si>
  <si>
    <t>Lenovo Ideapad Gaming 15ARH05 (82EY00UBIN) Laptop (AMD Hexa Core Ryzen 5/8 GB/1 TB 256 GB SSD/Windows 10/4 GB) price in India</t>
  </si>
  <si>
    <t>Lenovo Ideapad Flex 5 (81X200FCIN) Laptop (AMD Hexa Core Ryzen 5/8 GB/512 GB SSD/Windows 10) price in India</t>
  </si>
  <si>
    <t>Lenovo IdeaPad Slim 3 14IRH8 (83EL003PIN) Laptop (Core i5 13th Gen/16 GB/512 GB SSD/Windows 11) price in India</t>
  </si>
  <si>
    <t>Lenovo Ideapad Gaming 3 15IMH05 (81Y4019EIN) Laptop (Core i7 10th Gen/8 GB/512 GB SSD/Windows 10/4 GB) price in India</t>
  </si>
  <si>
    <t>Asus TUF FX706HCB-HX162T Laptop (Core i5 11th Gen/8 GB/512 GB SSD/Windows 10/4 GB) price in India</t>
  </si>
  <si>
    <t>17.3" (43.94 cm), 1920 x 1080 px, LED Display</t>
  </si>
  <si>
    <t>HP Pavilion x360 14-dy0050TU (3W295PA) Laptop (Core i7 11th Gen/16 GB/512 GB SSD/Windows 10) price in India</t>
  </si>
  <si>
    <t>AMD Octa-Core Ryzen 7 (7435HS) 4.5 Ghz</t>
  </si>
  <si>
    <t>Slim 19.1 mm</t>
  </si>
  <si>
    <t>Dell Inspiron 15 3593 (C560512WIN9) Laptop (Core i5 10th Gen/4 GB/1 TB 256 GB SSD/Windows 10) price in India</t>
  </si>
  <si>
    <t>4 GB DDR4 RAM, 1 TB HDD</t>
  </si>
  <si>
    <t>Apple MacBook Air M4 MW1M3HN/A Ultrabook (Apple M4/16 GB/512 GB SSD/macOS Sequoia) price in India</t>
  </si>
  <si>
    <t>Microsoft Surface Pro 11 (ZIB-00031) Laptop (Snapdragon X Elite/16 GB/1 TB SSD/Windows 11) price in India</t>
  </si>
  <si>
    <t>Asus TUF Gaming F15 FX507VU-LP210W Laptop (Core i7 13th Gen/16 GB/512 GB SSD/Windows 11/6 GB) price in India</t>
  </si>
  <si>
    <t>Dell Alienware m16 R1 (ANM16A0UCFG001CDB1) Laptop (AMD Octa Core Ryzen 7/16 GB/1 TB SSD/Windows 11/8 GB) price in India</t>
  </si>
  <si>
    <t>16" (40.64 cm), 2560 x 1600 px Display</t>
  </si>
  <si>
    <t>Samsung Galaxy Book 4 NP750XGK-KG1IN Laptop (Core 5 Series 1 /8 GB/512 GB SSD/Windows 11) price in India</t>
  </si>
  <si>
    <t>Samsung Galaxy Book 4 NP750XGK-KG2IN Laptop (Core 5 Series 1 /16 GB/512 GB SSD/Windows 11) price in India</t>
  </si>
  <si>
    <t>Lenovo Ideapad Slim 3 15IRH8 (83EM0026IN) Laptop (Core i5 13th Gen/16 GB/512 GB SSD/Windows 11) price in India</t>
  </si>
  <si>
    <t>Apple MacBook Pro M3 Pro MRW13HN/A Ultrabook (Apple M3 Pro/18 GB/512 GB SSD/macOS Sonoma) price in India</t>
  </si>
  <si>
    <t>AMD Octa-Core Ryzen 7 (7730U) 2.0 Ghz</t>
  </si>
  <si>
    <t>Apple MacBook Pro M3 Pro MRW23HN/A Ultrabook (Apple M3 Pro/36 GB/512 GB SSD/macOS Sonoma) price in India</t>
  </si>
  <si>
    <t>36 GB RAM, 512 GB SSD</t>
  </si>
  <si>
    <t>Lenovo IdeaPad Gaming 3 15ARH7 (82SB00M6IN) Laptop (AMD Hexa Core Ryzen 5/16 GB/512 GB SSD/Windows 11/6 GB) price in India</t>
  </si>
  <si>
    <t>MSI Katana 15 B13UDXK-1482IN Laptop (Core i5 13th Gen/32 GB/1 TB SSD/Windows 11/6 GB) price in India</t>
  </si>
  <si>
    <t>Lenovo V15 (82TTA02UIH) Laptop (Core i5 12th Gen/8 GB/512 GB SSD/Windows 11) price in India</t>
  </si>
  <si>
    <t>HP Pavilion x360 14-ek1021TU (7Z1P9PA) Laptop (Core i7 13th Gen/16 GB/512 GB SSD/Windows 11) price in India</t>
  </si>
  <si>
    <t>HP 250 G9 (7N179PA) Laptop (Core i5 12th Gen/8 GB/512 GB SSD/Windows 11) price in India</t>
  </si>
  <si>
    <t>15.6" (39.62 cm), 1366 x 768 px Display</t>
  </si>
  <si>
    <t>Lenovo Ideapad Gaming 3 (82SB00V4IN) Laptop (AMD Hexa Core Ryzen 5/8 GB/512 GB SSD/Windows 11/4 GB) price in India</t>
  </si>
  <si>
    <t>Lenovo Ideapad Slim 5 (82XE0072IN) Laptop (AMD Octa Core Ryzen 7/16 GB/512 GB SSD/Windows 11) price in India</t>
  </si>
  <si>
    <t>MSI Katana 17 B12VFK-668IN Laptop (Core i7 12th Gen/8 GB/1 TB SSD/Windows 11/8 GB) price in India</t>
  </si>
  <si>
    <t>AMD Octa-Core Ryzen 7 (7730U) 4.5 Ghz</t>
  </si>
  <si>
    <t>17.3" (43.94 cm), 1920 x 1080 px Display</t>
  </si>
  <si>
    <t>MSI Katana 17 B12VGK-672IN Laptop (Core i7 12th Gen/16 GB/1 TB SSD/Windows 11/8 GB) price in India</t>
  </si>
  <si>
    <t>Lenovo LOQ 15IRH8 (82XV00F7IN) Laptop (Core i5 12th Gen/16 GB/512 GB SSD/Windows 11/8 GB) price in India</t>
  </si>
  <si>
    <t>Lenovo LOQ 15APH8 (82XT009CIN) Laptop (AMD Octa Core Ryzen 7/16 GB/512 GB SSD/Windows 11/8 GB) price in India</t>
  </si>
  <si>
    <t>MSI Katana 15 B13VFK-843IN Laptop (Core i9 13th Gen/16 GB/1 TB SSD/Windows 11/8 GB) price in India</t>
  </si>
  <si>
    <t>Asus VivoBook 15X OLED K3504VA-LK542WS Laptop (Core i5 13th Gen/16 GB/512 GB SSD/Windows 11) price in India</t>
  </si>
  <si>
    <t>AMD Octa-Core Ryzen 7 (7732HS)</t>
  </si>
  <si>
    <t>Lenovo Yoga 7 14ARP8 (82YM004UIN) Laptop (AMD Octa Core Ryzen 7/16 GB/512 GB SSD/Windows 11) price in India</t>
  </si>
  <si>
    <t>AMD Octa-Core Ryzen 7 (7735HS)</t>
  </si>
  <si>
    <t>HP Victus 15-fa0187TX (8F4Z5PA) Laptop (Core i7 12th Gen/16 GB/1 TB SSD/Windows 11/4 GB) price in India</t>
  </si>
  <si>
    <t>AMD Octa-Core Ryzen 7 (7735HS) 3.1 Ghz</t>
  </si>
  <si>
    <t>Dell Vostro 5630 (IN5630P8YRR001ORS1) Laptop (Core i5 13th Gen/16 GB/512 GB SSD/Windows 11) price in India</t>
  </si>
  <si>
    <t>16" (40.64 cm), 1920 x 1080 px Display</t>
  </si>
  <si>
    <t>HP Envy x360 15-fh0015AU (8C4S1PA) Laptop (AMD Hexa Core Ryzen 5/16 GB/512 GB SSD/Windows 11) price in India</t>
  </si>
  <si>
    <t>AMD Octa-Core Ryzen 7 (7735HS) 4.7 Ghz</t>
  </si>
  <si>
    <t>HP Victus 15-fa1066TX (81H53PA) Laptop (Core i7 13th Gen/16 GB/512 GB SSD/Windows 11/6 GB) price in India</t>
  </si>
  <si>
    <t>MSI Katana 17 B13VEK-254IN Laptop (Core i7 13th Gen/16 GB/1 TB SSD/Windows 11/6 GB) price in India</t>
  </si>
  <si>
    <t>MSI Katana 15 B12UDXK-1019IN Laptop (Core i5 12th Gen/16 GB/1 TB SSD/Windows 11/6 GB) price in India</t>
  </si>
  <si>
    <t>Asus ROG Strix G16 G614JV-N4141WS Laptop (Core i9 13th Gen/16 GB/1 TB SSD/Windows 11/8 GB) price in India</t>
  </si>
  <si>
    <t>Asus ROG Strix G18 G814JV-N5063WS Laptop (Core i7 13th Gen/16 GB/1 TB SSD/Windows 11/8 GB) price in India</t>
  </si>
  <si>
    <t>Slim 11 mm</t>
  </si>
  <si>
    <t>MSI GF63 Thin 12VE-267IN Laptop (Core i5 12th Gen/16 GB/1 TB 256 GB SSD/Windows 11/6 GB) price in India</t>
  </si>
  <si>
    <t>AMD Octa-Core Ryzen 7 (7735U) 2.7 Ghz</t>
  </si>
  <si>
    <t>Asus Zenbook 14 OLED UM3402YA-KM541WS Laptop (AMD Hexa Core Ryzen 5/16 GB/512 GB SSD/Windows 11) price in India</t>
  </si>
  <si>
    <t>Asus VivoBook Pro 15 OLED M3500QC-L1501WS Netbook (AMD Hexa Core Ryzen 5/16 GB/512 GB SSD/Windows 11) price in India</t>
  </si>
  <si>
    <t>AMD Octa-Core Ryzen 7 (7735U) 4.7 Ghz</t>
  </si>
  <si>
    <t>MSI Katana 15 B13VEK-297IN Laptop (Core i7 13th Gen/16 GB/1 TB SSD/Windows 11/6 GB) price in India</t>
  </si>
  <si>
    <t>AMD Octa-Core Ryzen 7 (7745HX) 3.4 Ghz</t>
  </si>
  <si>
    <t>MSI Stealth 15 A13VE-034IN Laptop (Core i7 13th Gen/16 GB/1 TB SSD/Windows 11/6 GB) price in India</t>
  </si>
  <si>
    <t>AMD Octa-Core Ryzen 7 (7745HX) 4.8 Ghz</t>
  </si>
  <si>
    <t>Apple MacBook Pro M2 Pro MPHJ3HN/A Ultrabook (Apple M2 Pro/16 GB/1 TB SSD/macOS Ventura) price in India</t>
  </si>
  <si>
    <t>AMD Octa-Core Ryzen 7 (7840HS) 3.4 Ghz</t>
  </si>
  <si>
    <t>Acer Aspire 7 A715-5G (NH.QGBSI.002) Laptop (Core i5 12th Gen/8 GB/512 GB SSD/Windows 11/4 GB) price in India</t>
  </si>
  <si>
    <t>Gigabyte G5 KE-52IN213SH (RC55KE) Laptop (Core i5 12th Gen/16 GB/512 GB SSD/Windows 11/6 GB) price in India</t>
  </si>
  <si>
    <t>Microsoft Surface 5 Intel Evo (RIP-00048) Laptop (Core i7 12th Gen/16 GB/512 GB SSD/Windows 11) price in India</t>
  </si>
  <si>
    <t>15" (38.1 cm), 2496 x 1664 px Display</t>
  </si>
  <si>
    <t>Slim 14.7 mm</t>
  </si>
  <si>
    <t>Asus TUF Gaming F15 FX506LI-HN279T Laptop (Core i5 10th Gen/16 GB/512 GB SSD/Windows 10/4 GB) price in India</t>
  </si>
  <si>
    <t>Lenovo Thinkpad T14 (20W0S0TC00) Laptop (Core i5 11th Gen/16 GB/512 GB SSD/Windows 10) price in India</t>
  </si>
  <si>
    <t>AMD Octa-Core Ryzen 7 (7840HS) 4.8 Ghz</t>
  </si>
  <si>
    <t>Gigabyte G5 ME-51IN213SH (RC55ME) Laptop (Core i5 12th Gen/16 GB/512 GB SSD/Windows 11/4 GB) price in India</t>
  </si>
  <si>
    <t>HP 15s-fq2670TU (6N043PA) Laptop (Core i3 11th Gen/8 GB/256 GB SSD/Windows 11) price in India</t>
  </si>
  <si>
    <t>Lenovo Legion 5i Pro Gen 7 (82RF00DYIN) Laptop (Core i7 12th Gen/16 GB/1 TB SSD/Windows 11/6 GB) price in India</t>
  </si>
  <si>
    <t>MSI Crosshair 15 B12UEZ-897IN Laptop (Core i7 12th Gen/16 GB/512 GB SSD/Windows 11/6 GB) price in India</t>
  </si>
  <si>
    <t>AMD Octa-Core Ryzen 7 (7840U) 4.8 Ghz</t>
  </si>
  <si>
    <t>MSI Alpha 15 B5EEK-235IN Laptop (AMD Octa Core Ryzen 7/8 GB/512 GB SSD/Windows 11/8 GB) price in India</t>
  </si>
  <si>
    <t>AMD Octa-Core Ryzen 7 (8840HS) 5.1 Ghz</t>
  </si>
  <si>
    <t>Asus VivoBook Pro 15 OLED K6500ZE-L502WS Laptop (Core i5 12th Gen/16 GB/512 GB SSD/Windows 11/4 GB) price in India</t>
  </si>
  <si>
    <t>AMD Octa-Core Ryzen 7 (8845HS) 3.8 Ghz</t>
  </si>
  <si>
    <t>Lenovo Legion 5 15ACH6H (82JU018YIN) Laptop (AMD Octa Core Ryzen 7/16 GB/512 GB SSD/Windows 11/6 GB) price in India</t>
  </si>
  <si>
    <t>AMD Octa-Core Ryzen 7 (8845HS) 5.1 Ghz</t>
  </si>
  <si>
    <t>Asus ZenBook Pro 14 Duo OLED Intel Evo UX8402ZE-M711WS Laptop (Core i7 12th Gen/16 GB/1 TB SSD/Windows 45234 GB) price in India</t>
  </si>
  <si>
    <t>14.5" (36.83 cm), 2880 x 1800 px, OLED Display</t>
  </si>
  <si>
    <t>Dell Inspiron 15 3525 (D560831WIN9SE) Laptop (AMD Dual Core Ryzen 3/8 GB/256 GB SSD/Windows 11) price in India</t>
  </si>
  <si>
    <t>Asus TUF Dash F15 FX517ZC-HN109WS Laptop (Core i7 12th Gen/8 GB/1 TB SSD/Windows 11/6 GB) price in India</t>
  </si>
  <si>
    <t>AMD Octa-Core Ryzen 9 (5900HS) 3.0 Ghz</t>
  </si>
  <si>
    <t>Slim 20.7 mm</t>
  </si>
  <si>
    <t>Asus TUF Dash F15 FX517ZC-HN108WS Laptop (Core i7 12th Gen/16 GB/1 TB SSD/Windows 11/4 GB) price in India</t>
  </si>
  <si>
    <t>AMD Octa-Core Ryzen 9 (5900HX) 3.3 Ghz</t>
  </si>
  <si>
    <t>Asus TUF Gaming A17 FA706IHR-HX031W Laptop (AMD Hexa Core Ryzen 5/8 GB/512 GB SSD/Windows 11/4 GB) price in India</t>
  </si>
  <si>
    <t>AMD Octa-Core Ryzen 9 (5900HX) 4.6 Ghz</t>
  </si>
  <si>
    <t>Asus TUF Gaming A17 FA706ICB-HX061W Laptop (AMD Octa Core Ryzen 7/8 GB/512 GB SSD/Windows 11/4 GB) price in India</t>
  </si>
  <si>
    <t>AMD Octa-Core Ryzen 9 (5980HX) 4.8 Ghz</t>
  </si>
  <si>
    <t>Lenovo IdeaPad Flex 5 14ALC7 (82R9006DIN) Laptop (AMD Hexa Core Ryzen 5/16 GB/512 GB SSD/Windows 11) price in India</t>
  </si>
  <si>
    <t>AMD Octa-Core Ryzen 9 (6800HS) 3.3 Ghz</t>
  </si>
  <si>
    <t>Slim 17.8 mm</t>
  </si>
  <si>
    <t>MSI Katana GF66 12UC-632IN Laptop (Core i7 12th Gen/8 GB/512 GB SSD/Windows 11/4 GB) price in India</t>
  </si>
  <si>
    <t>AMD Octa-Core Ryzen 9 (6800HS) 4.8 Ghz</t>
  </si>
  <si>
    <t>MSI GP66 Leopard 11UG-693IN Laptop (Core i7 11th Gen/16 GB/1 TB SSD/Windows 10/8 GB) price in India</t>
  </si>
  <si>
    <t>AMD Octa-Core Ryzen 9 (6900HS) 3.3 Ghz</t>
  </si>
  <si>
    <t>Asus TUF Gaming A17 FA706IC-HX036W Laptop (AMD Octa Core Ryzen 7/8 GB/512 GB SSD/Windows 11/4 GB) price in India</t>
  </si>
  <si>
    <t>AMD Octa-Core Ryzen 9 (6900HS) 4.4 Ghz</t>
  </si>
  <si>
    <t>HP Victus 15-fb0051AX (6F9T9PA) Laptop (AMD Hexa Core Ryzen 5/8 GB/512 GB SSD/Windows 11/4 GB) price in India</t>
  </si>
  <si>
    <t>AMD Octa-Core Ryzen 9 (6900HS) 4.8 Ghz</t>
  </si>
  <si>
    <t>Motorola Motobook 60 14IRH10R (83J7000CIN) Laptop (Core 5 Series 2 /16 GB/512 GB SSD/Windows 11) price in India</t>
  </si>
  <si>
    <t>14" (35.56 cm), 2880 x 1880 px, OLED Display</t>
  </si>
  <si>
    <t>Motorola Moto Book 60 14IRH10R (83J7000AIN) Laptop (Core 5 Series 2 /16 GB/512 GB SSD/Windows 11) price in India</t>
  </si>
  <si>
    <t>Motorola Moto Book 60 14IRH10R (83J70008IN) Laptop (Core 7 Series 2 /16 GB/512 GB SSD/Windows 11) price in India</t>
  </si>
  <si>
    <t>Motorola Moto Book 60 14IRH10R (83J7000EIN) Laptop (Core 7 Series 2 /16 GB/1 TB SSD/Windows 11) price in India</t>
  </si>
  <si>
    <t>Motorola Moto Book 60 14IRH10R (83J7000DIN) Laptop (Core 7 Series 2 /16 GB/1 TB SSD/Windows 11) price in India</t>
  </si>
  <si>
    <t>Motorola Moto Book 60 14IRH10R (83J70009IN) Laptop (Core 7 Series 2 /16 GB/512 GB SSD/Windows 11) price in India</t>
  </si>
  <si>
    <t>HP Victus 15-fa1327TX (9Z528PA) Laptop (Core i5 13th Gen/16 GB/512 GB SSD/Windows 11/6 GB) price in India</t>
  </si>
  <si>
    <t>Asus VivoBook 14 X413JA-EK268T Laptop (Core i3 10th Gen/4 GB/512 GB SSD/Windows 10) price in India</t>
  </si>
  <si>
    <t>AMD Octa-Core Ryzen 9 (6900HX) 3.3 Ghz</t>
  </si>
  <si>
    <t>4 GB DDR4 RAM, 512 GB SSD</t>
  </si>
  <si>
    <t>Samsung Galaxy Book 4 NP750XGK-KS1IN Laptop (Core 5 Series 1 /8 GB/512 GB SSD/Windows 11) price in India</t>
  </si>
  <si>
    <t>AMD Octa-Core Ryzen 9 (6900HX) 4.8 Ghz</t>
  </si>
  <si>
    <t>MSI Bravo 15 B5DD-410IN Laptop (AMD Hexa Core Ryzen 5/8 GB/512 GB SSD/Windows 11) price in India</t>
  </si>
  <si>
    <t>Lenovo Yoga Slim 7 (83CV003MIN) Laptop (Core Ultra 5/16 GB/512 GB SSD/Windows 11) price in India</t>
  </si>
  <si>
    <t>MSI Modern 14 C12MO-1212IN Laptop (Core i5 12th Gen/16 GB/512 GB SSD/Windows 11) price in India</t>
  </si>
  <si>
    <t>Lenovo Legion 5 15IMH05 (82AU00PMIN) Laptop (Core i5 10th Gen/8 GB/512 GB SSD/Windows 10/4 GB) price in India</t>
  </si>
  <si>
    <t>AMD Octa-Core Ryzen 9 (7940HS) 4.8 Ghz</t>
  </si>
  <si>
    <t>Apple MacBook Air M4 MW1G3HN/A Ultrabook (Apple M4/16 GB/256 GB SSD/macOS Sequoia) price in India</t>
  </si>
  <si>
    <t>Infinix INBook Air Pro Plus XL434 (71008302159) Laptop (Core i5 13th Gen/16 GB/512 GB SSD/Windows 11) price in India</t>
  </si>
  <si>
    <t>AMD Octa-Core Ryzen 9 (7940HS) 5.2 Ghz</t>
  </si>
  <si>
    <t>Slim 15.3 mm</t>
  </si>
  <si>
    <t>Infinix INBook Air Pro Plus XL434 (71008302165) Laptop (Core i5 13th Gen/16 GB/512 GB SSD/Windows 11) price in India</t>
  </si>
  <si>
    <t>Asus Zenbook S 14 OLED UX5406SA-PZ7762WS Laptop (Core Ultra 7/32 GB/1 TB SSD/Windows 11) price in India</t>
  </si>
  <si>
    <t>Asus Zenbook S 14 OLED UX5406SA-PZ7761WS Laptop (Core Ultra 7/32 GB/1 TB SSD/Windows 11) price in India</t>
  </si>
  <si>
    <t>AMD Octa-Core Ryzen 9 (8945H) 5.2 Ghz</t>
  </si>
  <si>
    <t>Apple MacBook Air M3 MC9F4HN/A Ultrabook (Apple M3/16 GB/256 GB SSD/macOS Sequoia) price in India</t>
  </si>
  <si>
    <t>AMD Octa-Core Ryzen 9 (8945HS) 4.0 Ghz</t>
  </si>
  <si>
    <t>Asus Vivobook S430UA-EB091T Laptop (Core i3 8th Gen/8 GB/1 TB 256 GB SSD/Windows 10) price in India</t>
  </si>
  <si>
    <t>AMD Octa-Core Ryzen 9 (8945HS) 5.2 Ghz</t>
  </si>
  <si>
    <t>Asus TUF Gaming F15 FX506HE-HN385WS Laptop (Core i7 11th Gen/16 GB/1 TB SSD/Windows 11/4 GB) price in India</t>
  </si>
  <si>
    <t>AMD Octa-Core Ryzen AI 7 (350) 5.0 Ghz</t>
  </si>
  <si>
    <t>Asus TUF Gaming F16 FX607VB-RL076WS Laptop (Core 5 Series 2 /16 GB/512 GB SSD/Windows 11/4 GB) price in India</t>
  </si>
  <si>
    <t>HP Pavilion x360 14-ek1152TU (B6PA4PA) Laptop (Core i7 13th Gen/16 GB/512 GB SSD/Windows 11) price in India</t>
  </si>
  <si>
    <t>HP 250R G9 (B10MTAT) Laptop (Core i3 13th Gen/8 GB/512 GB SSD/DOS) price in India</t>
  </si>
  <si>
    <t>15.6" (39.62 cm), 1366 x 768 px, IPS LCD Display</t>
  </si>
  <si>
    <t>Slim 9.2 mm</t>
  </si>
  <si>
    <t>MSI Modern 14 C7M-284IN Laptop (AMD Hexa Core Ryzen 5/8 GB/512 GB SSD/Windows 11) price in India</t>
  </si>
  <si>
    <t>Asus Vivobook S15 K5504VAB-BN417WS Laptop (Core i9 13th Gen/16 GB/512 GB SSD/Windows 11) price in India</t>
  </si>
  <si>
    <t>AMD Quad-Core A6 APU (7310) 2.0 Ghz</t>
  </si>
  <si>
    <t>Asus TUF Gaming A15 FA566NCR-HN054WS Laptop (AMD Octa Core Ryzen 7/16 GB/512 GB SSD/Windows 11/4 GB) price in India</t>
  </si>
  <si>
    <t>AMD Quad-Core A8 APU (7410) 2.2 Ghz</t>
  </si>
  <si>
    <t>HP 15s-EQ0144AU (275H3PA) Laptop (AMD Quad Core Ryzen 5/8 GB/512 GB SSD/Windows 10) price in India</t>
  </si>
  <si>
    <t>Asus Vivobook S430UA-EB151T Laptop (Core i3 8th Gen/8 GB/1 TB 256 GB SSD/Windows 10) price in India</t>
  </si>
  <si>
    <t>AMD Quad-Core APU (7110) 1.8 Ghz</t>
  </si>
  <si>
    <t>Asus TUF Gaming A15 FA506NC-HN083W Laptop (AMD Hexa Core Ryzen 5/16 GB/512 GB SSD/Windows 11/4 GB) price in India</t>
  </si>
  <si>
    <t>AMD Quad-Core Ryzen 3 (5300U) 2.6 Ghz</t>
  </si>
  <si>
    <t>Asus Vivobook Flip TM420UA-EC501TS Laptop (AMD Hexa Core Ryzen 5/8 GB/512 GB SSD/Windows 10) price in India</t>
  </si>
  <si>
    <t>Dell Latitude 14 3420 (P144G201) Laptop (Core i3 11th Gen/8 GB/512 GB SSD/DOS) price in India</t>
  </si>
  <si>
    <t>Microsoft Surface Pro 11 (ZHX-00014) Laptop (Snapdragon X Plus/16 GB/256 GB SSD/Windows 11) price in India</t>
  </si>
  <si>
    <t>AMD Quad-Core Ryzen 3 (5300U) 3.4 Ghz</t>
  </si>
  <si>
    <t>13.8" (35.05 cm), 2880 x 1920 px, LCD Display</t>
  </si>
  <si>
    <t>Asus VivoBook Pro 15 M6500QC-HN542WS Laptop (AMD Hexa Core Ryzen 5/16 GB/512 GB SSD/Windows 11/4 GB) price in India</t>
  </si>
  <si>
    <t>HP Pavilion 14-dv0055TU (2N1L1PA) Laptop (Core i5 11th Gen/16 GB/512 GB SSD/Windows 10) price in India</t>
  </si>
  <si>
    <t>AMD Quad-Core Ryzen 3 (5300U) 3.8 Ghz</t>
  </si>
  <si>
    <t>Asus VivoBook Flip 14 TP470EA-EC301TS Laptop (Core i3 11th Gen/8 GB/256 GB SSD/Windows 10) price in India</t>
  </si>
  <si>
    <t>AMD Quad-Core Ryzen 3 (5300U) 4.0 Ghz</t>
  </si>
  <si>
    <t>HP Pavilion TouchSmart 14 x360-14-dh1006tu (8GA81PA) Laptop (Core i3 10th Gen/4 GB/256 GB SSD/Windows 10) price in India</t>
  </si>
  <si>
    <t>AMD Quad-Core Ryzen 3 (5425U) 2.7 Ghz</t>
  </si>
  <si>
    <t>4 GB DDR4 RAM, 256 GB SSD</t>
  </si>
  <si>
    <t>14" (35.56 cm), 1366 x 768 px, LED Display</t>
  </si>
  <si>
    <t>Apple MacBook Pro MUHQ2HN/A Ultrabook (Core i5 8th Gen/8 GB/128 GB SSD/macOS Mojave) price in India</t>
  </si>
  <si>
    <t>macOS Mojave</t>
  </si>
  <si>
    <t>8 GB LPDDR3 RAM, 128 GB SSD</t>
  </si>
  <si>
    <t>13.3" (33.78 cm), 2560 x 1600 px, LED Display</t>
  </si>
  <si>
    <t>Acer Aspire A515-51G (NX.GUGSI.001) Laptop (Core i5 8th Gen/8 GB/1 TB/Windows 10/2 GB) price in India</t>
  </si>
  <si>
    <t>15.6" (39.62 cm), 1366 x 768 px, LED Display</t>
  </si>
  <si>
    <t>Lenovo Yoga 7 14IRL8 (82YL00AYIN) Laptop (Core i5 13th Gen/16 GB/512 GB SSD/Windows 11) price in India</t>
  </si>
  <si>
    <t>AMD Quad-Core Ryzen 3 (5425U) 4.1 Ghz</t>
  </si>
  <si>
    <t>Slim 16.4 mm</t>
  </si>
  <si>
    <t>Asus TUF Gaming A15 FA507UV-LP137WS Laptop (AMD Octa Core Ryzen 9/16 GB/1 TB SSD/Windows 11/8 GB) price in India</t>
  </si>
  <si>
    <t>AMD Quad-Core Ryzen 3 (7320U) 2.4 Ghz</t>
  </si>
  <si>
    <t>MSI GF63 Thin 12VE-070IN Laptop (Core i7 12th Gen/16 GB/512 GB SSD/Windows 11/6 GB) price in India</t>
  </si>
  <si>
    <t>Asus VivoBook S14 OLED M5406WA-PP961WS Laptop (AMD Dodeca Core Ryzen 9/24 GB/512 GB SSD/Windows 11) price in India</t>
  </si>
  <si>
    <t>24 GB LPDDR5X RAM, 512 GB SSD</t>
  </si>
  <si>
    <t>Asus Zenbook 14 UX435EG-AI501TS Laptop (Core i5 11th Gen/8 GB/512 GB SSD/Windows 10/2 GB) price in India</t>
  </si>
  <si>
    <t>HP 15s-fr2005tu (2N8P8PA) Laptop (Core i5 11th Gen/8 GB/1 TB SSD/Windows 10) price in India</t>
  </si>
  <si>
    <t>Lenovo Legion 5i (82AU00KLIN) Laptop (Core i5 10th Gen/8 GB/512 GB SSD/Windows 10/4 GB) price in India</t>
  </si>
  <si>
    <t>Acer Swift 3 SF315-51G-57QM (NX.GSJSI.004) Laptop (Core i5 8th Gen/8 GB/1 TB/Linux/2 GB) price in India</t>
  </si>
  <si>
    <t>Linux</t>
  </si>
  <si>
    <t>MSI Cyborg 14 A13UCX-205IN Laptop (Core i5 13th Gen/16 GB/512 GB SSD/Windows 11/4 GB) price in India</t>
  </si>
  <si>
    <t>HP Victus 15-fb2117AX (A94BWPA) Laptop (AMD Octa Core Ryzen 7/16 GB/1 TB SSD/Windows 11/6 GB) price in India</t>
  </si>
  <si>
    <t>Infinix GTBook GL613 Laptop (Core i9 13th Gen/32 GB/1 TB SSD/Windows 11/8 GB) price in India</t>
  </si>
  <si>
    <t>Infinix GTBook GL613 Laptop (Core i5 13th Gen/16 GB/512 GB SSD/Windows 11/6 GB) price in India</t>
  </si>
  <si>
    <t>AMD Quad-Core Ryzen 3 (7320U) 4.0 Ghz</t>
  </si>
  <si>
    <t>HP Victus 15-fa1226TX (A03H2PA) Laptop (Core i5 12th Gen/8 GB/512 GB SSD/Windows 11/4 GB) price in India</t>
  </si>
  <si>
    <t>Lenovo LOQ 15IAX9 (83GS008VIN) Laptop (Core i5 12th Gen/12 GB/512 GB SSD/Windows 11/4 GB) price in India</t>
  </si>
  <si>
    <t>12 GB DDR5 RAM, 512 GB SSD</t>
  </si>
  <si>
    <t>HP Victus 15-fb0137AX (87B83PA) Laptop (AMD Octa Core Ryzen 7/16 GB/512 GB SSD/Windows 11/4 GB) price in India</t>
  </si>
  <si>
    <t>Asus Vivobook S 14 Flip TN3402QA-LZ520WS Laptop (AMD Hexa Core Ryzen 5/8 GB/512 GB SSD/Windows 11) price in India</t>
  </si>
  <si>
    <t>AMD Quad-Core Ryzen 3 (7320U) 4.1 Ghz</t>
  </si>
  <si>
    <t>Gigabyte G5 MF-G2IN313SH Laptop (Core i7 12th Gen/16 GB/512 GB SSD/Windows 11/6 GB) price in India</t>
  </si>
  <si>
    <t>Lenovo Ideapad Slim 5i 16IRL8 (82XF0077IN) Laptop (Core i5 13th Gen/16 GB/1 TB SSD/Windows 11) price in India</t>
  </si>
  <si>
    <t>Slim 18.4 mm</t>
  </si>
  <si>
    <t>HP 15s-fq2510TU (943V8PA) Laptop (Core i5 11th Gen/16 GB/512 GB SSD/Windows 11) price in India</t>
  </si>
  <si>
    <t>Asus Chromebook Flip 14 CX1400FKA-EC0168 Laptop (Intel Celeron Dual Core/8 GB/128 GB eMMC/Google Chrome) price in India</t>
  </si>
  <si>
    <t>Google Chrome</t>
  </si>
  <si>
    <t>8 GB LPDDR4X RAM</t>
  </si>
  <si>
    <t>Lenovo IdeaPad Gaming 3 15ARH7 (82SB00QYIN) Laptop (AMD Octa Core Ryzen 7/16 GB/512 GB SSD/Windows 11/6 GB) price in India</t>
  </si>
  <si>
    <t>Slim 21.8 mm</t>
  </si>
  <si>
    <t>HP Pavilion x360 14-ek1009TU (7N759PA) Laptop (Core i5 13th Gen/16 GB/1 TB SSD/Windows 11) price in India</t>
  </si>
  <si>
    <t>Acer Nitro 5 AN515-47 (UN.QL3SI.006) Laptop (AMD Octa Core Ryzen 7/16 GB/512 GB SSD/Windows 11/4 GB) price in India</t>
  </si>
  <si>
    <t>15.6" (39.62 cm), 1920 x 1080 px, TFT LCD Display</t>
  </si>
  <si>
    <t>Asus VivoBook S14 Flip TN3402QA-LZ740WS Laptop (AMD Octa Core Ryzen 7/16 GB/512 GB SSD/Windows 11) price in India</t>
  </si>
  <si>
    <t>HP Victus 15-fa1132TX (8U6Z8PA) Laptop (Core i5 12th Gen/8 GB/512 GB SSD/Windows 11/4 GB) price in India</t>
  </si>
  <si>
    <t>Asus VivoBook 16 M1605YA-MB542WS Laptop (AMD Hexa Core Ryzen 5/16 GB/512 GB SSD/Windows 11) price in India</t>
  </si>
  <si>
    <t>AMD Quad-Core Ryzen 3 (7330U) 4.2 Ghz</t>
  </si>
  <si>
    <t>MSI Bravo 15 B5ED-035IN Laptop (AMD Octa Core Ryzen 7/16 GB/512 GB SSD/Windows 11/4 GB) price in India</t>
  </si>
  <si>
    <t>AMD Quad-Core Ryzen 3 (7330U) 4.3 Ghz</t>
  </si>
  <si>
    <t>Lenovo Ideapad Slim 3i (82H803HRIN) Laptop (Core i7 11th Gen/16 GB/512 GB SSD/Windows 11) price in India</t>
  </si>
  <si>
    <t>AMD Quad-Core Ryzen 5 (3450U) 2.1 Ghz</t>
  </si>
  <si>
    <t>Asus ROG Strix G17 G713RC-HX109WS Laptop (AMD Octa Core Ryzen 7/16 GB/512 GB SSD/Windows 11/4 GB) price in India</t>
  </si>
  <si>
    <t>AMD Quad-Core Ryzen 5 (3500U) 2.1 Ghz</t>
  </si>
  <si>
    <t>HP 255 G8 (7J035AA) Laptop (AMD Hexa Core Ryzen 5/8 GB/256 GB SSD/Windows 11) price in India</t>
  </si>
  <si>
    <t>Lenovo Ideapad Gaming 3 15ARH7 (82SB00V2IN) Laptop (AMD Hexa Core Ryzen 5/8 GB/512 GB SSD/Windows 11/4 GB) price in India</t>
  </si>
  <si>
    <t>Lenovo Yoga Pro 7i (82Y700A3IN) Laptop (Core i7 13th Gen/16 GB/1 TB SSD/Windows 11/6 GB) price in India</t>
  </si>
  <si>
    <t>14.5" (36.83 cm), 3072 x 1920 px, IPS LCD Display</t>
  </si>
  <si>
    <t>Lenovo Legion Slim 5 16APH8 (82Y90042IN) Laptop (AMD Octa Core Ryzen 7/16 GB/512 GB SSD/Windows 11/8 GB) price in India</t>
  </si>
  <si>
    <t>Lenovo IdeaPad Flex 5 14IRU8 (82Y00051IN) Laptop (Core i5 13th Gen/16 GB/512 GB SSD/Windows 11) price in India</t>
  </si>
  <si>
    <t>MSI GF63 Thin 12VE-664IN Laptop (Core i7 12th Gen/16 GB/1 TB SSD/Windows 11/6 GB) price in India</t>
  </si>
  <si>
    <t>AMD Quad-Core Ryzen 5 (3500U) 3.7 Ghz</t>
  </si>
  <si>
    <t>Lenovo LOQ 15IRH8 (82XV00F5IN) Laptop (Core i5 12th Gen/16 GB/512 GB SSD/Windows 11/6 GB) price in India</t>
  </si>
  <si>
    <t>AMD Quad-Core Ryzen 5 (3550H) 2.1 Ghz</t>
  </si>
  <si>
    <t>Lenovo LOQ 15IRH8 (82XV00BQIN) Laptop (Core i7 13th Gen/16 GB/512 GB SSD/Windows 11/6 GB) price in India</t>
  </si>
  <si>
    <t>AMD Quad-Core Ryzen 5 (5500H) 3.4 Ghz</t>
  </si>
  <si>
    <t>Asus TUF Gaming F15 FX506HE-HN382W Laptop (Core i7 11th Gen/16 GB/512 GB SSD/Windows 11/4 GB) price in India</t>
  </si>
  <si>
    <t>Slim 10.4 mm</t>
  </si>
  <si>
    <t>Acer Swift 3 SF314-71 (NX.KAWSI.002) Laptop (Core i5 12th Gen/16 GB/512 GB SSD/Windows 11) price in India</t>
  </si>
  <si>
    <t>AMD Quad-Core Ryzen 5 (5500H) 4.2 Ghz</t>
  </si>
  <si>
    <t>Asus VivoBook S15 OLED S5504VA-MA951WS Laptop (Core i9 13th Gen/16 GB/1 TB SSD/Windows 11) price in India</t>
  </si>
  <si>
    <t>AMD Quad-Core Ryzen 5 (7235HS) 4.2 Ghz</t>
  </si>
  <si>
    <t>Lenovo Yoga 7 14IRL8 (82YL0060IN) Laptop (Core i7 13th Gen/16 GB/512 GB SSD/Windows 11) price in India</t>
  </si>
  <si>
    <t>Asus TUF Gaming F15 FX507ZC4-HN116W Laptop (Core i5 12th Gen/16 GB/512 GB SSD/Windows 11/4 GB) price in India</t>
  </si>
  <si>
    <t>AMD Quad-Core Ryzen 5 (7520U) 2.8 Ghz</t>
  </si>
  <si>
    <t>MSI Modern 14 C7M-218IN Laptop (AMD Octa Core Ryzen 7/16 GB/512 GB SSD/Windows 11) price in India</t>
  </si>
  <si>
    <t>Lenovo Ideapad Gaming 3 15IHU6 (82K101LHIN) Laptop (Core i5 11th Gen/16 GB/512 GB SSD/Windows 11/4 GB) price in India</t>
  </si>
  <si>
    <t>Dell Inspiron 15 3520 (IN3520KTMFJS01ORS1) Laptop (Core i3 11th Gen/8 GB/512 GB SSD/Windows 11) price in India</t>
  </si>
  <si>
    <t>Acer Nitro 5 AN515-58 (NH.QFSSI.001) Laptop (Core i7 12th Gen/16 GB/1 TB SSD/Windows 11/8 GB) price in India</t>
  </si>
  <si>
    <t>Dell Inspiron 14 7430 (IC7430PXXWC001ORS1) Laptop (Core i5 13th Gen/8 GB/512 GB SSD/Windows 11) price in India</t>
  </si>
  <si>
    <t>Slim 18.5 mm</t>
  </si>
  <si>
    <t>Asus VivoBook Pro 15 M6500QF-HN521WS Laptop (AMD Hexa Core Ryzen 5/8 GB/512 GB SSD/Windows 11/4 GB) price in India</t>
  </si>
  <si>
    <t>HP Victus 15-fa0555TX (805X2PA) Laptop (Core i5 12th Gen/16 GB/512 GB SSD/Windows 11/4 GB) price in India</t>
  </si>
  <si>
    <t>Asus Zenbook 14X OLED UM5401QA-KM541WS Laptop (AMD Hexa Core Ryzen 5/16 GB/512 GB SSD/Windows 11) price in India</t>
  </si>
  <si>
    <t>Asus ROG Strix G16 G614JU-N3200WS Laptop (Core i7 13th Gen/16 GB/1 TB SSD/Windows 11/6 GB) price in India</t>
  </si>
  <si>
    <t>Asus TUF Gaming A15 FA577XU-LP041WS Laptop (AMD Octa Core Ryzen 9/16 GB/1 TB SSD/Windows 11/6 GB) price in India</t>
  </si>
  <si>
    <t>MSI Bravo 15 B5ED-034IN Laptop (AMD Octa Core Ryzen 7/8 GB/512 GB SSD/Windows 11/4 GB) price in India</t>
  </si>
  <si>
    <t>MSI GF63 Thin 11SC-1400IN Laptop (Core i5 11th Gen/16 GB/512 GB SSD/Windows 11/4 GB) price in India</t>
  </si>
  <si>
    <t>AMD Quad-Core Ryzen 5 (7520U) 4.2 Ghz</t>
  </si>
  <si>
    <t>MSI Katana GF66 12UC-1004IN Laptop (Core i7 12th Gen/16 GB/512 GB SSD/Windows 11/4 GB) price in India</t>
  </si>
  <si>
    <t>MSI Katana 15 B12UDXK-1004IN Laptop (Core i7 12th Gen/16 GB/512 GB SSD/Windows 11/6 GB) price in India</t>
  </si>
  <si>
    <t>MSI Katana GF66 12UC-880IN Laptop (Core i7 12th Gen/8 GB/512 GB SSD/Windows 11/4 GB) price in India</t>
  </si>
  <si>
    <t>Asus VivoBook 16 X1605VAB-MB322WS Laptop (Core i3 13th Gen/8 GB/512 GB SSD/Windows 11) price in India</t>
  </si>
  <si>
    <t>Asus ZenBook S13 OLED UX5304VA-NQ541WS Laptop (Core i5 13th Gen/16 GB/512 GB SSD/Windows 11) price in India</t>
  </si>
  <si>
    <t>Slim 11.8 mm</t>
  </si>
  <si>
    <t>Asus Vivobook Go 15 OLED E1504FA-LK521WS Laptop (AMD Quad Core Ryzen 5/8 GB/512 GB SSD/Windows 11) price in India</t>
  </si>
  <si>
    <t>Asus Vivobook Go 15 OLED E1504FA-LK322WS Laptop (AMD Quad Core Ryzen 3/8 GB/512 GB SSD/Windows 11) price in India</t>
  </si>
  <si>
    <t>Asus ROG Strix Scar 16 G634JZ-NM057WS Laptop (Core i9 13th Gen/32 GB/1 TB SSD/Windows 11/12 GB) price in India</t>
  </si>
  <si>
    <t>AMD Quad-Core Ryzen 5 (7520U) 4.3 Ghz</t>
  </si>
  <si>
    <t>HP Chromebook x360 13b-ca0006MU (7E8Z7PA) Laptop (MediaTek Octa Core/8 GB/256 GB SSD/Google Chrome) price in India</t>
  </si>
  <si>
    <t>8 GB LPDDR4X RAM, 256 GB SSD</t>
  </si>
  <si>
    <t>13.3" (33.78 cm), 1920 x 1080 px, IPS LCD Display</t>
  </si>
  <si>
    <t>Slim 16.7 mm</t>
  </si>
  <si>
    <t>Acer Nitro 5 AN515-47 (NH.QL3SI.001) Laptop (AMD Hexa Core Ryzen 5/8 GB/512 GB SSD/Windows 11/4) price in India</t>
  </si>
  <si>
    <t>Asus VivoBook Go E1504FA-LK522WS Laptop (AMD Quad Core Ryzen 5/8 GB/512 GB SSD/Windows 11) price in India</t>
  </si>
  <si>
    <t>Asus Vivobook 16 M1605YA-MB541WS Laptop (AMD Hexa Core Ryzen 5/16 GB/512 GB SSD/Windows 11) price in India</t>
  </si>
  <si>
    <t>Asus Zenbook 14 OLED UM3402YA-KM551WS Laptop (AMD Hexa Core Ryzen 5/16 GB/1 TB SSD/Windows 11) price in India</t>
  </si>
  <si>
    <t>HP Pavilion Aero 13-be2047AU (7S450PA) Laptop (AMD Octa Core Ryzen 7/16 GB/1 TB SSD/Windows 11) price in India</t>
  </si>
  <si>
    <t>13.3" (33.78 cm), 1920 x 1200 px, IPS LCD Display</t>
  </si>
  <si>
    <t>Asus Vivobook 16 M1605YA-MB531WS Laptop (AMD Hexa Core Ryzen 5/8 GB/1 TB SSD/Windows 11) price in India</t>
  </si>
  <si>
    <t>Samsung Galaxy Book 3 NP750XFG-KA3IN Laptop (Core i7 13th Gen/16 GB/512 GB SSD/Windows 11) price in India</t>
  </si>
  <si>
    <t>Samsung Galaxy Book 3 NP750XFG-KA2IN Laptop (Core i5 13th Gen/16 GB/512 GB SSD/Windows 11) price in India</t>
  </si>
  <si>
    <t>HP Victus 15-fb0888AX (7K0C4PA) Laptop (AMD Hexa Core Ryzen 5/8 GB/512 GB SSD/Windows 11/4 GB) price in India</t>
  </si>
  <si>
    <t>Apple M2 3.5 Ghz, Octa-Core</t>
  </si>
  <si>
    <t>MSI Katana 15 B12VFK-299IN Laptop (Core i7 12th Gen/16 GB/1 TB SSD/Windows 11/8 GB) price in India</t>
  </si>
  <si>
    <t>Asus VivoBook Go 15 OLED E1504FA-LK321WS Laptop (AMD Quad Core Ryzen 3/8 GB/512 GB SSD/Windows 11) price in India</t>
  </si>
  <si>
    <t>Asus VivoBook Go 15 OLED E1504FA-LK523WS Laptop (AMD Quad Core Ryzen 5/8 GB/512 GB SSD/Windows 11) price in India</t>
  </si>
  <si>
    <t>MSI GF65 Thin 10UE-410IN Laptop (Core i7 10th Gen/16 GB/1 TB SSD/Windows 10/6 GB) price in India</t>
  </si>
  <si>
    <t>Apple M2 Max 3.7 Ghz</t>
  </si>
  <si>
    <t>Dell Inspiron 14 5406 (D560384WIN9S) Laptop (Core i3 11th Gen/8 GB/512 GB SSD/Windows 10) price in India</t>
  </si>
  <si>
    <t>HP Pavilion x360 14-dy0053TU (3X8X2PA) Laptop (Core i5 11th Gen/16 GB/512 GB SSD/Windows 10) price in India</t>
  </si>
  <si>
    <t>Apple M2 Pro 3.5 Ghz</t>
  </si>
  <si>
    <t>Acer Aspire 3 A315-23 (NX.HVUSI.00K) Laptop (AMD Quad Core Ryzen 5/8 GB/512 GB SSD/Windows 10) price in India</t>
  </si>
  <si>
    <t>MSI GP76 Leopard 11UG-609IN Laptop (Core i7 11th Gen/16 GB/1 TB SSD/Windows 10/8 GB) price in India</t>
  </si>
  <si>
    <t>MSI GS66 Stealth 11UG-418IN Laptop (Core i7 11th Gen/16 GB/1 TB SSD/Windows 10/16 GB) price in India</t>
  </si>
  <si>
    <t>15.6" (39.62 cm), 2560 x 1440 px, LED Display</t>
  </si>
  <si>
    <t>Slim 19.8 mm</t>
  </si>
  <si>
    <t>Asus VivoBook 15 OLED X1505ZA-L1311WS Laptop (Core i3 12th Gen/8 GB/512 GB SSD/Windows 11) price in India</t>
  </si>
  <si>
    <t>Dell Inspiron 14 7420 (D560918WIN9S) Laptop (Core i5 12th Gen/8 GB/512 GB SSD/Windows 11) price in India</t>
  </si>
  <si>
    <t>Apple M2 Pro 3.5 Ghz, Deca-Core</t>
  </si>
  <si>
    <t>Asus Vivobook 16X M1603QA-MB712WS Laptop (AMD Octa Core Ryzen 7/16 GB/512 GB SSD/Windows 11) price in India</t>
  </si>
  <si>
    <t>Apple M2, Octa-Core</t>
  </si>
  <si>
    <t>Asus TUF Gaming A15 FA506QM-HN008W Laptop (AMD Octa Core Ryzen 7/16 GB/512 GB SSD/Windows 11/6 GB) price in India</t>
  </si>
  <si>
    <t>Asus VivoBook 14 X1402ZA-EK391WS Laptop (Core i3 12th Gen/8 GB/256 GB SSD/Windows 11) price in India</t>
  </si>
  <si>
    <t>Apple M3 4.1 Ghz, Octa-Core</t>
  </si>
  <si>
    <t>MSI Crosshair 15 B12UGZ-1012IN Laptop (Core i7 12th Gen/16 GB/1 TB SSD/Windows 11/8 GB) price in India</t>
  </si>
  <si>
    <t>MSI GF63 Thin 11SC-1046IN Laptop (Core i5 11th Gen/8 GB/512 GB SSD/Windows 11/4 GB) price in India</t>
  </si>
  <si>
    <t>MSI Pulse GL66 12UEK-898IN Laptop (Intel Core i9 12th Gen/16 GB/1 TB SSD/Windows 11/6 GB) price in India</t>
  </si>
  <si>
    <t>Asus TUF Gaming F15 FX506LHB-HN358W Laptop (Core i5 10th Gen/8 GB/512 GB SSD/Windows 11/4 GB) price in India</t>
  </si>
  <si>
    <t>Asus VivoBook Pro 15 OLED K6500ZC-L502WS Laptop (Core i5 12th Gen/16 GB/512 GB SSD/Windows 11/4 GB) price in India</t>
  </si>
  <si>
    <t>HP Omen 16-n0050AX (6H4N6PA) Laptop (AMD Octa Core Ryzen 7/16 GB/512 GB SSD/Windows 11/4 GB) price in India</t>
  </si>
  <si>
    <t>Asus ZenBook Pro 14 Duo OLED UX8402ZA-M501WS Laptop (Core i5 12th Gen/16 GB/512 GB SSD/Windows 11) price in India</t>
  </si>
  <si>
    <t>Lenovo Ideapad Slim 3 15IIL05 (81WE01QSIN) Laptop (Core i3 10th Gen/4 GB/256 GB SSD/Windows 11) price in India</t>
  </si>
  <si>
    <t>MSI Modern 14 B5M-242IN Laptop (AMD Hexa Core Ryzen 5/8 GB/512 GB SSD/Windows 11) price in India</t>
  </si>
  <si>
    <t>Slim 18.1 mm</t>
  </si>
  <si>
    <t>Asus VivoBook Pro 15 OLED K6500ZC-L501WS Laptop (Core i5 12th Gen/16 GB/512 GB SSD/Windows 11/4 GB) price in India</t>
  </si>
  <si>
    <t>Dell Vostro 5620 (D552268WIN9S) Laptop (Core i5 12th Gen/8 GB/512 GB SSD/Windows 11) price in India</t>
  </si>
  <si>
    <t>MSI Katana GF66 12UC-636IN Laptop (Core i5 12th Gen/8 GB/512 GB SSD/Windows 11/4 GB) price in India</t>
  </si>
  <si>
    <t>Asus VivoBook 15 X712EA-AU511WS Laptop (Core i5 11th Gen/16 GB/1 TB 256 GB SSD/Windows 11) price in India</t>
  </si>
  <si>
    <t>Slim 21.4 mm</t>
  </si>
  <si>
    <t>Asus Vivobook K15 OLED KM513UA-L511WS Laptop (AMD Hexa Core Ryzen 5/16 GB/512 GB SSD/Windows 11) price in India</t>
  </si>
  <si>
    <t>Asus ROG Flow X13 GV301RA-LJ031WS Laptop (AMD Octa Core Ryzen 7/16 GB/1 TB SSD/Windows 11) price in India</t>
  </si>
  <si>
    <t>Asus ROG Zephyrus G15 GA503RM-HQ142WS Laptop (AMD Octa Core Ryzen 7/16 GB/1 TB SSD/Windows 11/6 GB) price in India</t>
  </si>
  <si>
    <t>HP Pavilion 14-dv2054TU (6K9C7PA) Laptop (Core i5 12th Gen/16 GB/512 GB SSD/Windows 11) price in India</t>
  </si>
  <si>
    <t>Asus VivoBook Flip 14 TP470EA-EC511WS Laptop (Core i5 11th Gen/8 GB/512 GB SSD/Windows 11) price in India</t>
  </si>
  <si>
    <t>Asus TUF Gaming F15 FX506LHB-HN355WS Laptop (Core i5 10th Gen/8 GB/512 GB SSD/Windows 11/4 GB) price in India</t>
  </si>
  <si>
    <t>Dell Inspiron 15 3511 (D560783WIN9BD) Laptop (Core i3 11th Gen/8 GB/512 GB SSD/Windows 11) price in India</t>
  </si>
  <si>
    <t>Asus ROG Strix G15 G513IE-HN040WS Laptop (AMD Octa Core Ryzen 7/16 GB/1 TB SSD/Windows 11/4 GB) price in India</t>
  </si>
  <si>
    <t>Asus TUF Gaming F17 FX777ZE-HX052WS Laptop (Core i7 12th Gen/16 GB/1 TB SSD/Windows 11/4 GB) price in India</t>
  </si>
  <si>
    <t>Asus ROG Flow Z13 GZ301ZC-LD123WS Laptop (Core i7 12th Gen/16 GB/512 GB SSD/Windows 11/4 GB) price in India</t>
  </si>
  <si>
    <t>Asus ROG Strix G15 G513QY-HQ032WS Laptop (AMD Octa Core Ryzen 9/16 GB/1 TB SSD/Windows 11/12 GB) price in India</t>
  </si>
  <si>
    <t>Lenovo LOQ 15ARP9 (83JC00CLIN) Laptop (AMD Quad Core Ryzen 5/12 GB/512 GB SSD/Windows 11/6 GB) price in India</t>
  </si>
  <si>
    <t>Asus ExpertBook P1 P1503CVA-S70611WS Laptop (Core i5 13th Gen/16 GB/512 GB SSD/Windows 11) price in India</t>
  </si>
  <si>
    <t>Apple M3 Pro 4.1 Ghz</t>
  </si>
  <si>
    <t>Asus ExpertBook P1 P1403CVA-S60939WS Laptop (Core i5 13th Gen/32 GB/512 GB SSD/Windows 11) price in India</t>
  </si>
  <si>
    <t>32 GB DDR5 RAM, 512 GB SSD</t>
  </si>
  <si>
    <t>Slim 19.7 mm</t>
  </si>
  <si>
    <t>Asus VivoBook 15 X1504VA-NJ2217WS Laptop (Core i5 13th Gen/16 GB/512 GB SSD/Windows 11) price in India</t>
  </si>
  <si>
    <t>Asus VivoBook 15 X1504VA-NJ1765WS Laptop (Core i5 13th Gen/8 GB/512 GB SSD/Windows 11) price in India</t>
  </si>
  <si>
    <t>Asus VivoBook 15 X515JA-BQ322WS Laptop (Core i3 10th Gen/8 GB/512 GB SSD/Windows 11) price in India</t>
  </si>
  <si>
    <t>Acer Aspire 3 A324-53 (UN.34RSI.007) Laptop (Core i5 13th Gen/16 GB/1 TB SSD/Windows 11) price in India</t>
  </si>
  <si>
    <t>Acer Aspire 3 A324-53 (UN.34RSI.004) Laptop (Core i5 13th Gen/16 GB/512 GB SSD/Windows 11) price in India</t>
  </si>
  <si>
    <t>Apple M3, Octa-Core</t>
  </si>
  <si>
    <t>Acer Aspire 3 A324-53 (UN.34RSI.006) Laptop (Core i5 13th Gen/8 GB/512 GB SSD/Windows 11) price in India</t>
  </si>
  <si>
    <t>Acer Aspire 7 A715-79G (UN.34NSI.001) Laptop (Core i5 13th Gen/8 GB/512 GB SSD/Windows 11/4 GB) price in India</t>
  </si>
  <si>
    <t>HP Victus 15-fa1351TX (A18QBPA) Laptop (Core i5 12th Gen/16 GB/512 GB SSD/Windows 11/4 GB) price in India</t>
  </si>
  <si>
    <t>Lenovo V15 Gen 3 (82TTA07QIH) Laptop (Core i5 12th Gen/8 GB/512 GB SSD/Windows 11) price in India</t>
  </si>
  <si>
    <t>Dell Vostro 3520 (VN3520VMN67002ORG1) Laptop (Core i3 12th Gen/8 GB/512 GB SSD/Windows 11) price in India</t>
  </si>
  <si>
    <t>Apple M4 4.4 Ghz, Deca-Core</t>
  </si>
  <si>
    <t>Lenovo LOQ 15IAX9 (83GS00CJIN) Laptop (Core i5 12th Gen/24 GB/512 GB SSD/Windows 11/6 GB) price in India</t>
  </si>
  <si>
    <t>Asus ExpertBook P1 P1403CVA-S60940WS Laptop (Core i7 13th Gen/32 GB/512 GB SSD/Windows 11) price in India</t>
  </si>
  <si>
    <t>Asus ExpertBook P1 P1503CVA-S71042WS Laptop (Core i7 13th Gen/16 GB/512 GB SSD/Windows 11) price in India</t>
  </si>
  <si>
    <t>Asus VivoBook 15 X1504VA-NJ2324WS Laptop (Core i3 13th Gen/16 GB/512 GB SSD/Windows 11) price in India</t>
  </si>
  <si>
    <t>Infinix INBook Y3 Max YL613 (71008301495) Laptop (Core i5 12th Gen/16 GB/512 GB SSD/Windows 11) price in India</t>
  </si>
  <si>
    <t>Dell Vostro 15 3568 (A553502HIN9) Laptop (Core i3 6th Gen/4 GB/1 TB/Windows 10) price in India</t>
  </si>
  <si>
    <t>Acer Swift Go 14 SFG14-41 (NX.KG3SI.008) Laptop (AMD Octa Core Ryzen 7/16 GB/1 TB SSD/Windows 11) price in India</t>
  </si>
  <si>
    <t>Asus TUF Gaming A15 FA566NFR-HN259W Laptop (AMD Octa Core Ryzen 7/16 GB/512 GB SSD/Windows 11/4 GB) price in India</t>
  </si>
  <si>
    <t>Infinix INBook Y3 Max YL613 (71008301492) Laptop (Core i3 12th Gen/8 GB/256 GB SSD/Windows 11) price in India</t>
  </si>
  <si>
    <t>Asus TUF Gaming A15 FA566NCR-HN075W Laptop (AMD Octa Core Ryzen 7/16 GB/512 GB SSD/Windows 11/4 GB) price in India</t>
  </si>
  <si>
    <t>HP 15-be015tx (1HQ28PA) Laptop (Core i5 6th Gen/4 GB/1 TB/DOS/2 GB) price in India</t>
  </si>
  <si>
    <t>MSI Modern 14 C12MO-1021IN Laptop (Core i5 12th Gen/8 GB/512 GB SSD/Windows 11) price in India</t>
  </si>
  <si>
    <t>MSI Modern 14 C12M-439IN Laptop (Core i5 12th Gen/16 GB/512 GB SSD/Windows 11) price in India</t>
  </si>
  <si>
    <t>Acer Nitro V ANV15-41 (NH.QPFSI.004) Laptop (AMD Hexa Core Ryzen 5/16 GB/512 GB SSD/Windows 11/6 GB) price in India</t>
  </si>
  <si>
    <t>HP Victus 15-fb0180AX (B20DDPA) Laptop (AMD Hexa Core Ryzen 5/8 GB/512 GB SSD/Windows 11/4 GB) price in India</t>
  </si>
  <si>
    <t>Acer Swift Go OLED SFG14-71 (NX.KF1SI.007) Laptop (Core i7 13th Gen/16 GB/1 TB SSD/Windows 11) price in India</t>
  </si>
  <si>
    <t>Lenovo IdeaPad Slim 3 15IAH8 (83ER00H3IN) Laptop (Core i5 12th Gen/8 GB/512 GB SSD/Windows 11) price in India</t>
  </si>
  <si>
    <t>Dell Inspiron 15 3535 (IN3535HF8X1003ORB1) Laptop (AMD Quad Core Ryzen 3/8 GB/512 GB SSD/Windows 11) price in India</t>
  </si>
  <si>
    <t>Lenovo IdeaPad 3 15IAU7 (82RK018RIN) Laptop (Core i3 12th Gen/8 GB/512 GB SSD/Windows 11) price in India</t>
  </si>
  <si>
    <t>Apple M4 4.5 Ghz</t>
  </si>
  <si>
    <t>Acer Swift Go 14 SFG14-41 (NX.KG3SI.006) Laptop (AMD Hexa Core Ryzen 5/16 GB/512 GB SSD/Windows 11) price in India</t>
  </si>
  <si>
    <t>Apple M4 Max 4.5 Ghz</t>
  </si>
  <si>
    <t>Asus TUF Gaming A15 FA566NFR-HN260W Laptop (AMD Octa Core Ryzen 7/8 GB/512 GB SSD/Windows 11/4 GB) price in India</t>
  </si>
  <si>
    <t>Apple M4 Pro 4.5 Ghz</t>
  </si>
  <si>
    <t>HP Victus 15-fa0333TX (A03GZPA) Laptop (Core i5 12th Gen/16 GB/512 GB SSD/Windows 11/4 GB) price in India</t>
  </si>
  <si>
    <t>Acer Swift Go 14 SFG14-41 (NX.KG3SI.007) Laptop (AMD Octa Core Ryzen 7/16 GB/512 GB SSD/Windows 11) price in India</t>
  </si>
  <si>
    <t>Lenovo LOQ 15ARP9 Gen 9 (83JC00EHIN) Laptop (AMD Octa Core Ryzen 7/24 GB/512 GB SSD/Windows 11/8 GB) price in India</t>
  </si>
  <si>
    <t>Lenovo LOQ 15ARP9 (83JC00EGIN) Laptop (AMD Octa Core Ryzen 7/24 GB/512 GB SSD/Windows 11/6 GB) price in India</t>
  </si>
  <si>
    <t>HP 14s-ef1000tu (511C6PA) Laptop (Core i3 11th Gen/8 GB/512 GB SSD/Windows 11) price in India</t>
  </si>
  <si>
    <t>Asus VivoBook 15 X1504ZA-NJ520WS Laptop (Core i5 12th Gen/8 GB/512 GB SSD/Windows 11) price in India</t>
  </si>
  <si>
    <t>Apple M4, Deca-Core</t>
  </si>
  <si>
    <t>MSI Modern 14 C12M-671IN Laptop (Core i7 12th Gen/16 GB/512 GB SSD/Windows 11) price in India</t>
  </si>
  <si>
    <t>Dell Inspiron 15 3505 (D560392WIN9BE) Laptop (AMD Dual Core Ryzen 3/8 GB/256 GB SSD/Windows 10) price in India</t>
  </si>
  <si>
    <t>Asus Vivobook S15 K5504VAB-BN416WS Laptop (Core i5 13th Gen/16 GB/512 GB SSD/Windows 11) price in India</t>
  </si>
  <si>
    <t>Apple MacBook Pro M4 MX2E3HN/A Ultrabook (Apple M4 Pro/24 GB/512 GB SSD/macOS Sequoia) price in India</t>
  </si>
  <si>
    <t>HP Omen 16-wd0011TX (A1NW1PA) Laptop (Core i7 13th Gen/16 GB/1 TB SSD/Windows 11/6 GB) price in India</t>
  </si>
  <si>
    <t>Infinix Zero Book Ultra AI PC ZL514 (71008301677) Laptop (Core Ultra 7/16 GB/512 GB SSD/Windows 11) price in India</t>
  </si>
  <si>
    <t>HP Pavilion x360 14-dy1049TU (67G62PA) Laptop (Intel Core i5 11th Gen/16 GB/512 GB SSD/Windows 11) price in India</t>
  </si>
  <si>
    <t>HP Pavilion x360 14-dy0003TU (3W2A5PA) Laptop (Core i5 11th Gen/8 GB/512 GB SSD/Windows 10) price in India</t>
  </si>
  <si>
    <t>Intel Celeron Dual-Core 1.0 Ghz, Dual-Core</t>
  </si>
  <si>
    <t>HP 250 G8 (3D4T7PA) Laptop (Core i3 10th Gen/4 GB/512 GB SSD/Windows 10) price in India</t>
  </si>
  <si>
    <t>Intel Celeron Dual-Core 1.1 Ghz</t>
  </si>
  <si>
    <t>Asus VivoBook 15 X515EA-EJ312TS Laptop (Core i3 11th Gen/8 GB/256 GB SSD/Windows 10) price in India</t>
  </si>
  <si>
    <t>Intel Celeron Dual-Core 1.1 Ghz, Dual-Core</t>
  </si>
  <si>
    <t>Asus VivoBook S14 S433EA-AM701TS Laptop (Core i7 11th Gen/8 GB/512 GB SSD/Windows 10) price in India</t>
  </si>
  <si>
    <t>Asus Vivobook S410UA-EB267T Laptop (Core i5 8th Gen/8 GB/1 TB 128 GB SSD/Windows 10) price in India</t>
  </si>
  <si>
    <t>Dell Vostro 3520 (VN35200F59D001OSG1) Laptop (Core i5 11th Gen/8 GB/512 GB SSD/Windows 11) price in India</t>
  </si>
  <si>
    <t>Samsung Galaxy Book 4 Pro 360 NP960QGK-LG2IN Laptop (Core Ultra 7/16 GB/1 TB SSD/Windows 11) price in India</t>
  </si>
  <si>
    <t>Asus Vivobook Go 15 OLED E1504FAB-LK549WS Laptop (AMD Quad Core Ryzen 5/16 GB/512 GB SSD/Windows 11) price in India</t>
  </si>
  <si>
    <t>Samsung Galaxy Book 4 Pro 360 NP960QGK-KG2IN Laptop (Intel Core Ultra 7/16 GB/1 TB SSD/Windows 11) price in India</t>
  </si>
  <si>
    <t>Asus ROG Strix G15 G513QM-HF318TS Laptop (AMD Octa Core Ryzen 9/16 GB/1 TB SSD/Windows 10/6 GB) price in India</t>
  </si>
  <si>
    <t>Asus VivoBook Gaming F571LI-AL146T Laptop (Core i7 10th Gen/8 GB/1 TB 256 GB SSD/Windows 10/4 GB) price in India</t>
  </si>
  <si>
    <t>HP 14s-DR1010TU (227U3PA) Laptop (Core i7 10th Gen/8 GB/512 GB SSD/Windows 10) price in India</t>
  </si>
  <si>
    <t>Infinix Zero Book Ultra AI PC ZL514 (71008301614) Laptop (Core Ultra 9/32 GB/1 TB SSD/Windows 11) price in India</t>
  </si>
  <si>
    <t>Asus VivoBook S15 OLED S5506MA-MA951WS Laptop (Core Ultra 9/16 GB/1 TB SSD/Windows 11) price in India</t>
  </si>
  <si>
    <t>MSI Thin A15 B7UCX-216IN Laptop (AMD Hexa Core Ryzen 5/8 GB/512 GB SSD/Windows 11/4 GB) price in India</t>
  </si>
  <si>
    <t>Samsung Galaxy Book 4 360 NP750QGK-LG1IN Laptop (Core 5 Series 1 /16 GB/512 GB SSD/Windows 11) price in India</t>
  </si>
  <si>
    <t>HP Victus 15-fb2114AX (A85SGPA) Laptop (AMD Octa Core Ryzen 7/16 GB/512 GB SSD/Windows 11/6 GB) price in India</t>
  </si>
  <si>
    <t>Dell Inspiron 15 3530 (OIN353034011RINB1M) Laptop (Core i5 13th Gen/8 GB/512 GB SSD/Windows 11) price in India</t>
  </si>
  <si>
    <t>Dell Inspiron 15 3530 (OIN353010031RINS1M) Laptop (Core i7 13th Gen/16 GB/512 GB SSD/Windows 11) price in India</t>
  </si>
  <si>
    <t>Acer Aspire 3 A324-51 (UN.343SI.001) Laptop (Core i3 12th Gen/8 GB/512 GB SSD/Windows 11) price in India</t>
  </si>
  <si>
    <t>Acer Aspire 3 A324-51 (UN.343SI.006) Laptop (Core i3 12th Gen/8 GB/256 GB SSD/Windows 11) price in India</t>
  </si>
  <si>
    <t>MSI Modern 15 B12MO-612IN Laptop (Core i3 12th Gen/16 GB/512 GB SSD/Windows 11) price in India</t>
  </si>
  <si>
    <t>MSI Thin 15 B12UCX-1695IN Laptop (Core i5 12th Gen/16 GB/512 GB SSD/Windows 11/4 GB) price in India</t>
  </si>
  <si>
    <t>HP Omen 16-wf0179TX (9Q9M6PA) Laptop (Core i7 13th Gen/16 GB/512 GB SSD/Windows 11/6 GB) price in India</t>
  </si>
  <si>
    <t>Infinix INBook Y4 Max YL613 Laptop (Core i5 13th Gen/16 GB/512 GB SSD/Windows 11) price in India</t>
  </si>
  <si>
    <t>Lenovo Ideapad Slim 5 16IMH9 (83DC0042IN) Laptop (Intel Core Ultra 5/16 GB/1 TB SSD/Windows 11) price in India</t>
  </si>
  <si>
    <t>HP Victus 15-fb0136AX (87B82PA) Laptop (AMD Hexa Core Ryzen 5/16 GB/512 GB SSD/Windows 11/4 GB) price in India</t>
  </si>
  <si>
    <t>HP 15S-EQ2084AU (91R01PA) Laptop (AMD Octa Core Ryzen 7/16 GB/512 GB SSD/Windows 11) price in India</t>
  </si>
  <si>
    <t>Intel Celeron Dual-Core 2.1 Ghz, Dual-Core</t>
  </si>
  <si>
    <t>Asus VivoBook 14 X1400EA-EK543WS Laptop (Core i5 11th Gen/16 GB/512 GB SSD/Windows 11) price in India</t>
  </si>
  <si>
    <t>Intel Celeron Dual-Core 2.8 Ghz, Dual-Core</t>
  </si>
  <si>
    <t>Asus ROG Strix G15 G513RC-HN061W Laptop (AMD Octa Core Ryzen 7/16 GB/512 GB SSD/Windows 11/4 GB) price in India</t>
  </si>
  <si>
    <t>HP Pavilion 15-eg3036TU (7S4P3PA) Laptop (Core i7 13th Gen/16 GB/1 TB SSD/Windows 11) price in India</t>
  </si>
  <si>
    <t>Asus VivoBook 15 X515EA-EJ342WS Laptop (Core i3 11th Gen/16 GB/512 GB SSD/Windows 11) price in India</t>
  </si>
  <si>
    <t>Asus VivoBook S14 S3402ZA-LY542WS Laptop (Core i5 12th Gen/16 GB/512 GB SSD/Windows 11) price in India</t>
  </si>
  <si>
    <t>MSI GF63 Thin 12UC-846IN Laptop (Core i5 12th Gen/16 GB/512 GB SSD/Windows 11/4 GB) price in India</t>
  </si>
  <si>
    <t>Acer Aspire Lite AL15-51 (UN.431SI.253) Laptop (Core i3 11th Gen/8 GB/512 GB SSD/Windows 11) price in India</t>
  </si>
  <si>
    <t>8 GB LPDDR4 RAM, 512 GB SSD</t>
  </si>
  <si>
    <t>Lenovo ThinkBook 15 (21JF0026MJ) Laptop (AMD Octa Core Ryzen 7/16 GB/512 GB SSD/Windows 11) price in India</t>
  </si>
  <si>
    <t>Asus VivoBook 15 X1502ZA-EJ993WS Laptop (Core i3 12th Gen/16 GB/512 GB SSD/Windows 11) price in India</t>
  </si>
  <si>
    <t>HP Pavilion 15-eg3018TU (87B57PA) Laptop (Core i5 13th Gen/16 GB/1 TB SSD/Windows 11) price in India</t>
  </si>
  <si>
    <t>HP Pavilion 14-dv2153TU (8Y2S3PA) Laptop (Core i5 12th Gen/16 GB/1 TB SSD/Windows 11) price in India</t>
  </si>
  <si>
    <t>Lenovo Ideapad Gaming 3 15ARH7 (82SB00V5IN) Laptop (AMD Octa Core Ryzen 7/8 GB/512 GB SSD/Windows 11/4 GB) price in India</t>
  </si>
  <si>
    <t>Lenovo IdeaPad Gaming 3 15ARH7 (82SB00Y8IN) Laptop (AMD Octa Core Ryzen 7/16 GB/512 GB SSD/Windows 11/4 GB) price in India</t>
  </si>
  <si>
    <t>HP Victus 15-fb1015AX (8R0L0PA) Laptop (AMD Hexa Core Ryzen 5/8 GB/512 GB SSD/Windows 11/4 GB) price in India</t>
  </si>
  <si>
    <t>Lenovo Yoga Slim 6 14IRH8 (83E00006IN) Laptop (Core i5 13th Gen/16 GB/512 GB SSD/Windows 11) price in India</t>
  </si>
  <si>
    <t>Lenovo Yoga Slim 6 14IRH8 (83E00007IN) Laptop (Core i7 13th Gen/16 GB/512 GB SSD/Windows 11) price in India</t>
  </si>
  <si>
    <t>Asus TUF Gaming F15 FX506HF-HN075W Laptop (Core i5 11th Gen/8 GB/512 GB SSD/Windows 11/4 GB) price in India</t>
  </si>
  <si>
    <t>Asus TUF Gaming F15 FX506HF-HN076W Laptop (Core i5 11th Gen/16 GB/512 GB SSD/Windows 11/4 GB) price in India</t>
  </si>
  <si>
    <t>Infinix INBook X3 Slim XL422 Laptop (Core i7 12th Gen/16 GB/512 GB SSD/Windows 11) price in India</t>
  </si>
  <si>
    <t>Slim 14.8 mm</t>
  </si>
  <si>
    <t>HP Victus 15-fb0150AX (8F506PA) Laptop (AMD Hexa Core Ryzen 5/16 GB/512 GB SSD/Windows 11/4 GB) price in India</t>
  </si>
  <si>
    <t>MSI GF63 Thin 11UCX-1492IN Laptop (Core i5 11th Gen/16 GB/1 TB 256 GB SSD/Windows 11/4 GB) price in India</t>
  </si>
  <si>
    <t>Lenovo Ideapad Slim 5 16IAH8 (83BG000PIN) Laptop (Core i5 12th Gen/16 GB/512 GB SSD/Windows 11) price in India</t>
  </si>
  <si>
    <t>Asus VivoBook Flip 14 OLED UP5401ZA-KU741WS Laptop (Core i7 12th Gen/16 GB/512 GB SSD/Windows 11) price in India</t>
  </si>
  <si>
    <t>Intel Celeron Quad-Core 1.1 Ghz, Quad-Core</t>
  </si>
  <si>
    <t>14" (35.56 cm), 3840 x 2400 px, OLED Display</t>
  </si>
  <si>
    <t>Lenovo LOQ 15APH8 (82XT004HIN) Laptop (AMD Octa Core Ryzen 7/16 GB/512 GB SSD/Windows 11/6 GB) price in India</t>
  </si>
  <si>
    <t>Intel Celeron Quad-Core 2.8 Ghz, Quad-Core</t>
  </si>
  <si>
    <t>HP Victus 15-fb1016AX (8R0L2PA) Laptop (AMD Hexa Core Ryzen 5/8 GB/512 GB SSD/Windows 11/4 GB) price in India</t>
  </si>
  <si>
    <t>Intel Core 3 (Series 1) 4.7 Ghz, Hexa-Core</t>
  </si>
  <si>
    <t>Asus VivoBook 16 X1605VAB-MB544WS Laptop (Core i5 13th Gen/16 GB/512 GB SSD/Windows 11) price in India</t>
  </si>
  <si>
    <t>Intel Core 5 (Series 1) 5 Ghz, Deca-Core</t>
  </si>
  <si>
    <t>HP Victus 15-fb0134AX (87B80PA) Laptop (AMD Hexa Core Ryzen 5/16 GB/512 GB SSD/Windows 11/4 GB) price in India</t>
  </si>
  <si>
    <t>HP Omen 16-wd0880TX (88Y65PA) Laptop (Core i5 13th Gen/16 GB/512 GB SSD/Windows 11/6 GB) price in India</t>
  </si>
  <si>
    <t>16.1" (40.89 cm), 2560 x 1440 px, IPS LCD Display</t>
  </si>
  <si>
    <t>Lenovo Ideapad Gaming 3 15ACH6 (82K2022YIN) Laptop (AMD Hexa Core Ryzen 5/8 GB/512 GB SSD/Windows 11/4 GB) price in India</t>
  </si>
  <si>
    <t>HP Envy x360 15-fe0027TU (8C527PA) Laptop (Core i5 13th Gen/16 GB/512 GB SSD/Windows 11) price in India</t>
  </si>
  <si>
    <t>Lenovo Ideapad Gaming 3 15ACH6 (82K2025LIN) Laptop (AMD Hexa Core Ryzen 5/16 GB/512 GB SSD/Windows 11/4 GB) price in India</t>
  </si>
  <si>
    <t>Intel Core 5 (Series 1) 5.0 Ghz, Deca-Core</t>
  </si>
  <si>
    <t>HP Omen Transcend 16-u0005TX (834T6PA) Laptop (Core i7 13th Gen/16 GB/1 TB SSD/Windows 11/8 GB) price in India</t>
  </si>
  <si>
    <t>Intel Core 5 (Series 2) 4.8 Ghz, Octa-Core</t>
  </si>
  <si>
    <t>MSI Modern 14 C12M-444IN Laptop (Core i3 12th Gen/16 GB/512 GB SSD/Windows 11) price in India</t>
  </si>
  <si>
    <t>Lenovo Ideapad Gaming 3 15IHU6 (82K101LGIN) Laptop (Core i5 11th Gen/8 GB/512 GB SSD/Windows 11/4 GB) price in India</t>
  </si>
  <si>
    <t>MSI GF63 Thin 12VF-268IN Laptop (Core i5 12th Gen/16 GB/1 TB 256 GB SSD/Windows 11/8 GB) price in India</t>
  </si>
  <si>
    <t>Infinix INBook X2 Slim XL23 Laptop (Core i7 11th Gen/16 GB/512 GB SSD/Windows 11) price in India</t>
  </si>
  <si>
    <t>Asus VivoBook 15 X515EA-EJ542WS Laptop (Core i5 11th Gen/16 GB/512 GB SSD/Windows 11) price in India</t>
  </si>
  <si>
    <t>Intel Core 7 (Series 1) 5.4 Ghz, Deca-Core</t>
  </si>
  <si>
    <t>Asus VivoBook Pro 15 M6500QF-HN741WS Laptop (AMD Octa Core Ryzen 7/16 GB/512 GB SSD/Windows 11/4 GB) price in India</t>
  </si>
  <si>
    <t>MSI GF63 Thin 11UC-1475IN Laptop (Core i5 11th Gen/8 GB/512 GB SSD/Windows 11/4 GB) price in India</t>
  </si>
  <si>
    <t>HP 247 G8 (67U40PA) Laptop (AMD Quad Core Ryzen 5/8 GB/512 GB SSD/Windows 11) price in India</t>
  </si>
  <si>
    <t>Lenovo V15 ITL G2 (82KB00EWIN) Laptop (Core i3 11th Gen/4 GB/256 GB SSD/Windows 10) price in India</t>
  </si>
  <si>
    <t>Intel Core 7 (Series 2) 5.2 Ghz, Deca-Core</t>
  </si>
  <si>
    <t>Asus TUF Gaming F15 FX507ZV-LP094W Laptop (Core i7 12th Gen/16 GB/512 GB SSD/Windows 11/8 GB) price in India</t>
  </si>
  <si>
    <t>Asus TUF Gaming F15 FX507VU-LP083WS Laptop (Core i7 13th Gen/16 GB/512 GB SSD/Windows 11/6 GB) price in India</t>
  </si>
  <si>
    <t>Lenovo Legion 5 15ACH6 (82JW00PBIN) Laptop (AMD Octa Core Ryzen 7/16 GB/512 GB SSD/Windows 11/4 GB) price in India</t>
  </si>
  <si>
    <t>MSI GF63 Thin 11SC-1298IN Laptop (Core i7 11th Gen/16 GB/1 TB 256 GB SSD/Windows 11/4 GB) price in India</t>
  </si>
  <si>
    <t>MSI GF63 Thin 11UC-1294IN Laptop (Core i7 11th Gen/16 GB/1 TB 256 GB SSD/Windows 11/4 GB) price in India</t>
  </si>
  <si>
    <t>Intel Core i3 (10th Gen) 1.2 Ghz, Dual-Core</t>
  </si>
  <si>
    <t>HP 15-fd0024TU (7Q865PA) Laptop (Core i7 13th Gen/16 GB/512 GB SSD/Windows 11) price in India</t>
  </si>
  <si>
    <t>Asus VivoBook S15 OLED S5504VA-MA741WS Laptop (Core i7 13th Gen/16 GB/512 GB SSD/Windows 11) price in India</t>
  </si>
  <si>
    <t>MSI GF63 Thin 12UCX-269IN Laptop (Core i5 12th Gen/16 GB/1 TB 256 GB SSD/Windows 11/4 GB) price in India</t>
  </si>
  <si>
    <t>Acer Predator Helios Neo 16 PHN16-71 (NH.QLUSI.001) Laptop (Core i7 13th Gen/16 GB/1 TB SSD/Windows 11/8 GB) price in India</t>
  </si>
  <si>
    <t>MSI GF63 Thin 12UCX-266IN Laptop (Core i5 12th Gen/8 GB/512 GB SSD/Windows 11/4 GB) price in India</t>
  </si>
  <si>
    <t>MSI GF63 Thin 12UCX-265IN Laptop (Core i5 12th Gen/16 GB/512 GB SSD/Windows 11/4 GB) price in India</t>
  </si>
  <si>
    <t>MSI GF63 Thin 11UC-1296IN Laptop (Core i5 11th Gen/16 GB/512 GB SSD/Windows 11/4 GB) price in India</t>
  </si>
  <si>
    <t>MSI Katana GF66 12UC-1005IN Laptop (Core i5 12th Gen/16 GB/512 GB SSD/Windows 11/4 GB) price in India</t>
  </si>
  <si>
    <t>HP 15s-fr4001TU (7J3Z3PA) Laptop (Core i5 11th Gen/16 GB/512 GB SSD/Windows 11) price in India</t>
  </si>
  <si>
    <t>Asus VivoBook 15 X1502ZA-EJ953WS Laptop (Core i3 12th Gen/8 GB/512 GB SSD/Windows 11) price in India</t>
  </si>
  <si>
    <t>HP Pavilion 15-eg2017TU (6J8N3PA) Laptop (Core i3 12th Gen/8 GB/512 GB SSD/Windows 11) price in India</t>
  </si>
  <si>
    <t>HP 255 G9 (7B1L8PA) Laptop (AMD Hexa Core Ryzen 5/8 GB/512 GB SSD/Windows 11) price in India</t>
  </si>
  <si>
    <t>HP Pavilion 15-eg3079TU (86T11PA) Laptop (Core i5 13th Gen/16 GB/512 GB SSD/Windows 11) price in India</t>
  </si>
  <si>
    <t>HP Pavilion 15-eh2050AU (7Z1H8PA) Laptop (AMD Hexa Core Ryzen 5/8 GB/512 GB SSD/Windows 11) price in India</t>
  </si>
  <si>
    <t>Intel Core i3 (10th Gen) 2.1 Ghz</t>
  </si>
  <si>
    <t>Acer Swift Go OLED SFG14-71 (NX.KF1SI.002) Laptop (Core i5 13th Gen/16 GB/512 GB SSD/Windows 11) price in India</t>
  </si>
  <si>
    <t>Intel Core i3 (10th Gen) 2.1 Ghz, Dual-Core</t>
  </si>
  <si>
    <t>Asus ROG Zephyrus M16 GU604VZ-NM050WS Laptop (Core i9 13th Gen/32 GB/1 TB SSD/Windows 11/12 GB) price in India</t>
  </si>
  <si>
    <t>Acer Aspire 5 A515-58M (NX.KHGSI.002) Laptop (Core i5 13th Gen/16 GB/512 GB SSD/Windows 11) price in India</t>
  </si>
  <si>
    <t>Intel Core i3 (10th Gen) 3.3 Ghz</t>
  </si>
  <si>
    <t>MSI Modern 14 C7M-062IN Laptop (AMD Hexa Core Ryzen 5/16 GB/512 GB SSD/Windows 11) price in India</t>
  </si>
  <si>
    <t>Intel Core i3 (10th Gen) 3.4 Ghz, Dual-Core</t>
  </si>
  <si>
    <t>MSI Modern 14 C7M-063IN Laptop (AMD Hexa Core Ryzen 5/8 GB/512 GB SSD/Windows 11) price in India</t>
  </si>
  <si>
    <t>MSI Modern 14 C11M-031IN Laptop (Core i3 11th Gen/8 GB/512 GB SSD/Windows 11) price in India</t>
  </si>
  <si>
    <t>Asus VivoBook Go E1404FA-NK322WS Laptop (AMD Quad Core Ryzen 3/8 GB/512 GB SSD/Windows 11) price in India</t>
  </si>
  <si>
    <t>Asus VivoBook Go 15 E1504FA-NJ523WS Laptop (AMD Quad Core Ryzen 5/8 GB/512 GB SSD/Windows 11) price in India</t>
  </si>
  <si>
    <t>Intel Core i3 (10th Gen) 4.1 Ghz, Dual-Core</t>
  </si>
  <si>
    <t>HP 15s-eq2223AU (7W474PA) Laptop (AMD Hexa Core Ryzen 5/8 GB/512 GB SSD/Windows 11) price in India</t>
  </si>
  <si>
    <t>Intel Core i3 (11th Gen) 0.8 Ghz, Dual-Core</t>
  </si>
  <si>
    <t>MSI Modern 15 B7M-072IN Laptop (AMD Hexa Core Ryzen 5/16 GB/512 GB SSD/Windows 11) price in India</t>
  </si>
  <si>
    <t>Intel Core i3 (11th Gen) 1.7 Ghz</t>
  </si>
  <si>
    <t>Samsung Galaxy Book 3 NP750XFG-KB1IN Laptop (Core i5 13th Gen/8 GB/512 GB SSD/Windows 11) price in India</t>
  </si>
  <si>
    <t>Intel Core i3 (11th Gen) 1.7 Ghz, Dual-Core</t>
  </si>
  <si>
    <t>Asus VivoBook Pro 15 M6500QC-HN742WS Laptop (AMD Octa Core Ryzen 7/16 GB/512 GB SSD/Windows 11/4 GB) price in India</t>
  </si>
  <si>
    <t>HP Victus 15-fb0106AX (7K4W8PA) Laptop (AMD Hexa Core Ryzen 5/16 GB/512 GB SSD/Windows 11/4 GB) price in India</t>
  </si>
  <si>
    <t>HP Victus 15-fb0107AX (7K4W9PA) Laptop (AMD Octa Core Ryzen 7/16 GB/512 GB SSD/Windows 11/4 GB) price in India</t>
  </si>
  <si>
    <t>Lenovo ThinkBook 15 Gen 3 (21A4A08WIH) Laptop (AMD Quad Core Ryzen 3/8 GB/512 GB SSD/Windows 11) price in India</t>
  </si>
  <si>
    <t>Acer Nitro 5 AN515-45 (UN.QCLSI.009) Laptop (AMD Hexa Core Ryzen 5/16 GB/1 TB 512 GB SSD/Windows 11/4 GB) price in India</t>
  </si>
  <si>
    <t>Asus VivoBook Go 15 OLED E1504FA-LK542WS Laptop (AMD Quad Core Ryzen 5/16 GB/512 GB SSD/Windows 11) price in India</t>
  </si>
  <si>
    <t>MSI Raider GE78 HX 13VI-087IN Laptop (Core i9 13th Gen/64 GB/2 TB SSD/Windows 11/16 GB) price in India</t>
  </si>
  <si>
    <t>64 GB DDR5 RAM, 2 TB SSD</t>
  </si>
  <si>
    <t>17.3" (43.94 cm), 2560 x 1600 px, IPS LCD Display</t>
  </si>
  <si>
    <t>HP 14s-dq2649TU (7G6H0PA) Laptop (Core i3 11th Gen/8 GB/512 GB SSD/Windows 11) price in India</t>
  </si>
  <si>
    <t>Infinix INBook X2 Plus XL25 Laptop (Core i5 11th Gen/16 GB/512 GB SSD/Windows 11) price in India</t>
  </si>
  <si>
    <t>HP Envy x360 Intel Evo 13-bf0121TU (7H5D3PA) Laptop (Core i5 12th Gen/16 GB/512 GB SSD/Windows 11) price in India</t>
  </si>
  <si>
    <t>HP Pavilion 14-ec1005AU (67U19PA) Laptop (AMD Hexa Core Ryzen 5/16 GB/512 GB SSD/Windows 11) price in India</t>
  </si>
  <si>
    <t>HP 15s-fr4000TU (7J3Z2PA) Laptop (Core i5 11th Gen/8 GB/512 GB SSD/Windows 11) price in India</t>
  </si>
  <si>
    <t>Intel Core i3 (11th Gen) 2.0 Ghz, Quad-Core</t>
  </si>
  <si>
    <t>Gigabyte G5 GE-51IN213SH (RC55GE) Laptop (Core i5 12th Gen/8 GB/512 GB SSD/Windows 11/4 GB) price in India</t>
  </si>
  <si>
    <t>HP Victus 15-fb0121AX (81H55PA) Laptop (AMD Hexa Core Ryzen 5/8 GB/512 GB SSD/Windows 11/4 GB) price in India</t>
  </si>
  <si>
    <t>Intel Core i3 (11th Gen) 2.4 Ghz, Quad-Core</t>
  </si>
  <si>
    <t>Lenovo Ideapad Slim 3 (82H802XVIN) Laptop (Core i3 11th Gen/8 GB/256 GB SSD/Windows 11) price in India</t>
  </si>
  <si>
    <t>Intel Core i3 (11th Gen) 3.0 Ghz, Dual-Core</t>
  </si>
  <si>
    <t>HP 15s-eq2212AU (7G6H1PA) Laptop (AMD Quad Core Ryzen 3/8 GB/512 GB SSD/Windows 11) price in India</t>
  </si>
  <si>
    <t>Lenovo Ideapad 5 Pro 14ITL6 (82L3009LIN) Laptop (Core i5 11th Gen/16 GB/512 GB SSD/Windows 10) price in India</t>
  </si>
  <si>
    <t>14" (35.56 cm), 2240 x 1440 px, LED Display</t>
  </si>
  <si>
    <t>Dell Inspiron 15 3501 (D560437WIN9SE) Laptop (Core i5 11th Gen/4 GB/1 TB 256 GB SSD/Windows 10) price in India</t>
  </si>
  <si>
    <t>HP Pavilion 14-ec0035AU (4X7E1PA) Laptop (AMD Hexa Core Ryzen 5/8 GB/512 GB SSD/Windows 10) price in India</t>
  </si>
  <si>
    <t>Dell Inspiron 14 5410 (D560594WIN9S) Laptop (Core i5 11th Gen/8 GB/512 GB SSD/Windows 10) price in India</t>
  </si>
  <si>
    <t>Asus Vivobook K15 OLED KM513UA-L713WS Laptop (AMD Octa Core Ryzen 7/16 GB/512 GB SSD/Windows 11) price in India</t>
  </si>
  <si>
    <t>Gigabyte G5 KD-52IN123SE (RC45KD) Laptop (Core i5 11th Gen/16 GB/512 GB SSD/Windows 11/6 GB) price in India</t>
  </si>
  <si>
    <t>Asus VivoBook 14 X1402ZA-MW511WS Laptop (Core i5 12th Gen/16 GB/512 GB SSD/Windows 11) price in India</t>
  </si>
  <si>
    <t>Asus VivoBook 14 X1402ZA-EK521WS Laptop (Core i5 12th Gen/8 GB/512 GB SSD/Windows 11) price in India</t>
  </si>
  <si>
    <t>Asus VivoBook 14 X1402ZA-MW512WS Laptop (Core i5 12th Gen/16 GB/512 GB SSD/Windows 11) price in India</t>
  </si>
  <si>
    <t>Acer Nitro 5 AN515-45 (NH.QCLSI.004) Laptop (AMD Hexa Core Ryzen 5/8 GB/512 GB SSD/Windows 11/4 GB) price in India</t>
  </si>
  <si>
    <t>Lenovo Thinkpad E14 (21E3S04X00) Laptop (Core i5 12th Gen/8 GB/512 GB SSD/Windows 11) price in India</t>
  </si>
  <si>
    <t>Asus VivoBook 14 X1402ZA-EK522WS Laptop (Core i5 12th Gen/8 GB/512 GB SSD/Windows 11) price in India</t>
  </si>
  <si>
    <t>Asus VivoBook 15 X515JA-BQ521WS Laptop (Core i5 10th Gen/8 GB/512 GB SSD/Windows 11) price in India</t>
  </si>
  <si>
    <t>Asus ROG Flow X13 GV301RC-LJ073WS Laptop (AMD Octa Core Ryzen 9/16 GB/1 TB SSD/Windows 11/4 GB) price in India</t>
  </si>
  <si>
    <t>13.4" (34.04 cm), 1920 x 1200 px Display</t>
  </si>
  <si>
    <t>Slim 16 mm</t>
  </si>
  <si>
    <t>Asus VivoBook 15 X515JA-EJ312WS Laptop (Core i3 10th Gen/8 GB/256 GB SSD/Windows 11) price in India</t>
  </si>
  <si>
    <t>HP 14s-dy2508TU (6X360PA) Laptop (Core i3 11th Gen/8 GB/512 GB SSD/Windows 11) price in India</t>
  </si>
  <si>
    <t>Asus VivoBook 14 X415EA-EK322WS Laptop (Core i3 11th Gen/8 GB/512 GB SSD/Windows 11) price in India</t>
  </si>
  <si>
    <t>Lenovo Ideapad Gaming 3 (82K2012LIN) Laptop (AMD Hexa Core Ryzen 5/8 GB/512 GB SSD/Windows 11/4 GB) price in India</t>
  </si>
  <si>
    <t>Asus VivoBook Ultra 14 K413EA-EB303WS Laptop (Core i3 11th Gen/8 GB/512 GB SSD/Windows 11) price in India</t>
  </si>
  <si>
    <t>Asus VivoBook Ultra 14 K413EA-EB302WS Laptop (Core i3 11th Gen/8 GB/512 GB SSD/Windows 11) price in India</t>
  </si>
  <si>
    <t>Asus VivoBook Ultra 14 K413EA-EB301WS Laptop (Core i3 11th Gen/8 GB/512 GB SSD/Windows 11) price in India</t>
  </si>
  <si>
    <t>Asus VivoBook 15 X515EA-EJ522WS Laptop (Core i5 11th Gen/8 GB/512 GB SSD/Windows 11) price in India</t>
  </si>
  <si>
    <t>Asus TUF Gaming F15 FX506HC-HN119W Laptop (Core i5 11th Gen/8 GB/1 TB SSD/Windows 11/4 GB) price in India</t>
  </si>
  <si>
    <t>Asus VivoBook 14 X1402ZA-EB312WS Laptop (Core i3 12th Gen/8 GB/512 GB SSD/Windows 11) price in India</t>
  </si>
  <si>
    <t>HP 14s-dy2507TU (6N024PA) Laptop (Core i3 11th Gen/8 GB/256 GB SSD/Windows 11) price in India</t>
  </si>
  <si>
    <t>Lenovo Ideapad Gaming 3 15IHU6 (82K1019AIN) Laptop (Core i5 11th Gen/8 GB/1 TB 256 GB SSD/Windows 11/4 GB) price in India</t>
  </si>
  <si>
    <t>Lenovo Yoga Slim 7i Pro 14IHU5 (82NC00FSIN) Laptop (Core i5 11th Gen/16 GB/512 GB SSD/Windows 11) price in India</t>
  </si>
  <si>
    <t>14" (35.56 cm), 2880 x 1800 px, IPS LCD Display</t>
  </si>
  <si>
    <t>Asus VivoBook Flip 14 TP3402ZA-LZ511WS Laptop (Core i5 12th Gen/16 GB/512 GB SSD/Windows 11) price in India</t>
  </si>
  <si>
    <t>HP Pavilion x360 14-ek0078TU (6Q0Z1PA Laptop (Core i5 12th Gen/16 GB/512 GB SSD/Windows 11) price in India</t>
  </si>
  <si>
    <t>MSI GF63 Thin 11UC-867IN Laptop (Core i5 11th Gen/8 GB/512 GB SSD/Windows 10/4 GB) price in India</t>
  </si>
  <si>
    <t>HP Victus 15-fa0073TX (6Z2P3PA) Laptop (Core i7 12th Gen/8 GB/512 GB SSD/Windows 11/4 GB) price in India</t>
  </si>
  <si>
    <t>HP 15s-FR2511TU (6N049PA) Laptop (Core i3 11th Gen/8 GB/512 GB SSD/Windows 11) price in India</t>
  </si>
  <si>
    <t>Intel Core i3 (11th Gen) 3.4 Ghz, Quad-Core</t>
  </si>
  <si>
    <t>Lenovo Ideapad Gaming 3 15IHU6 (82K101EEIN) Laptop (Core i5 11th Gen/8 GB/512 GB SSD/Windows 11/4 GB) price in India</t>
  </si>
  <si>
    <t>Intel Core i3 (11th Gen) 4.0 Ghz, Dual-Core</t>
  </si>
  <si>
    <t>MSI Katana GF66 11UE-861IN Laptop (Core i7 11th Gen/16 GB/512 GB SSD/Windows 10/6 GB) price in India</t>
  </si>
  <si>
    <t>MSI Katana GF66 12UD-472IN Laptop (Core i5 12th Gen/16 GB/512 GB SSD/Windows 11/4 GB) price in India</t>
  </si>
  <si>
    <t>Lenovo Ideapad Slim 3i 15ITL6 (82H802L3IN) Laptop (Core i3 11th Gen/8 GB/512 GB SSD/Windows 11) price in India</t>
  </si>
  <si>
    <t>Lenovo Ideapad Gaming 3i (82K1019BIN) Laptop (Core i5 11th Gen/16 GB/512 GB SSD/Windows 11/4 GB) price in India</t>
  </si>
  <si>
    <t>HP Victus 16-e1060AX (6H5W0PA) Laptop (AMD Octa Core Ryzen 7/16 GB/512 GB SSD/Windows 11/4 GB) price in India</t>
  </si>
  <si>
    <t>Lenovo Ideapad Gaming 3 (82K101B7IN) Laptop (Core i5 11th Gen/16 GB/1 TB 256 GB SSD/Windows 11/4 GB) price in India</t>
  </si>
  <si>
    <t>Asus VivoBook 15 X515EA-EJ332WS Laptop (Core i3 11th Gen/8 GB/1 TB 256 GB SSD/Windows 11) price in India</t>
  </si>
  <si>
    <t>HP 15s-eq1560AU (6Q0M8PA) Laptop (AMD Dual Core Ryzen 3/8 GB/512 GB SSD/Windows 11) price in India</t>
  </si>
  <si>
    <t>Asus VivoBook 14 X1402ZA-EB311WS Laptop (Core i3 12th Gen/8 GB/512 GB SSD/Windows 11) price in India</t>
  </si>
  <si>
    <t>Asus Vivobook 16X M1603QA-MB711WS Laptop (AMD Octa Core Ryzen 7/16 GB/512 GB SSD/Windows 11) price in India</t>
  </si>
  <si>
    <t>16" (40.64 cm), 1920 x 1080 px, IPS LCD Display</t>
  </si>
  <si>
    <t>Asus VivoBook Go 14 E1404FA-NK3325WS Laptop (AMD Quad Core Ryzen 3/8 GB/512 GB SSD/Windows 11) price in India</t>
  </si>
  <si>
    <t>Asus Vivobook Go 15 E1504FA-NJ5542WS Laptop (AMD Quad Core Ryzen 5/16 GB/512 GB SSD/Windows 11) price in India</t>
  </si>
  <si>
    <t>Asus VivoBook 15 X1504ZA-NJ549WS Laptop (Core i5 12th Gen/16 GB/512 GB SSD/Windows 11) price in India</t>
  </si>
  <si>
    <t>Asus VivoBook 15 X1504ZA-NJ527WS Laptop (Core i5 12th Gen/8 GB/512 GB SSD/Windows 11) price in India</t>
  </si>
  <si>
    <t>Intel Core i3 (11th Gen) 4.0 Ghz, Quad-Core</t>
  </si>
  <si>
    <t>Asus VivoBook 15 X1504ZA-NJ540WS Laptop (Core i5 12th Gen/16 GB/512 GB SSD/Windows 11) price in India</t>
  </si>
  <si>
    <t>Intel Core i3 (11th Gen) 4.1 Ghz, Dual-Core</t>
  </si>
  <si>
    <t>Asus Vivobook Go 15 E1504FA-NJ131WS Laptop (AMD Quad Core Ryzen 3/8 GB/512 GB SSD/Windows 11) price in India</t>
  </si>
  <si>
    <t>15.6" (39.62 cm), 1920 x 1200 px Display</t>
  </si>
  <si>
    <t>Acer Aspire 3 A324-53 (UN.34RSI.00B) Laptop (Core i3 13th Gen/8 GB/256 GB SSD/Windows 11) price in India</t>
  </si>
  <si>
    <t>Acer Aspire 3 A324-53 (UN.34RSI.002) Laptop (Core i3 13th Gen/8 GB/512 GB SSD/Windows 11) price in India</t>
  </si>
  <si>
    <t>Asus Vivobook Go 15 E1504GA-NJ3322WS Laptop (Core i3 12th Gen/8 GB/512 GB SSD/Windows 11) price in India</t>
  </si>
  <si>
    <t>HP Pavilion 16-af0056TU (B13XTPA) Laptop (Core Ultra 5/16 GB/1 TB SSD/Windows 11) price in India</t>
  </si>
  <si>
    <t>Asus VivoBook 15 X1504VA-NJ2325WS Laptop (Core i3 13th Gen/16 GB/512 GB SSD/Windows 11) price in India</t>
  </si>
  <si>
    <t>Asus VivoBook Go 14 E1404FA-NK3321WS Laptop (AMD Quad Core Ryzen 3/8 GB/512 GB SSD/Windows 11) price in India</t>
  </si>
  <si>
    <t>Intel Core i3 (11th Gen) 4.1 Ghz, Quad-Core</t>
  </si>
  <si>
    <t>Lenovo IdeaPad 15ALC7 (82R4010DIN) Laptop (AMD Hexa Core Ryzen 5/16 GB/512 GB SSD/Windows 11) price in India</t>
  </si>
  <si>
    <t>Intel Core i3 (11th Gen) 4.2 Ghz, Dual-Core</t>
  </si>
  <si>
    <t>Asus Vivobook Go 15 E1504FA-NJ132WS Laptop (AMD Quad Core Ryzen 5/8 GB/512 GB SSD/Windows 11) price in India</t>
  </si>
  <si>
    <t>Intel Core i3 (11th Gen) 4.8 Ghz, Dual-Core</t>
  </si>
  <si>
    <t>Acer One 14 Z8-415 (UN.31VSI.006) Laptop (Core i3 11th Gen/16 GB/512 GB SSD/Windows 11) price in India</t>
  </si>
  <si>
    <t>Intel Core i3 (12th Gen) 0.8 Ghz</t>
  </si>
  <si>
    <t>Slim 21.6 mm</t>
  </si>
  <si>
    <t>Dell Vostro 3520 (VN3520HPCNX001ORB1) Laptop (Core i3 12th Gen/8 GB/512 GB SSD/Windows 11) price in India</t>
  </si>
  <si>
    <t>Intel Core i3 (12th Gen) 0.8 Ghz, Hexa-Core</t>
  </si>
  <si>
    <t>Dell Vostro 3520 (VN3520CYGGW001SDG1) Laptop (Core i5 12th Gen/16 GB/512 GB SSD/Windows 11) price in India</t>
  </si>
  <si>
    <t>Asus VivoBook Go 14 E1404FA-NK5542WS Laptop (AMD Quad Core Ryzen 5/16 GB/512 GB SSD/Windows 11) price in India</t>
  </si>
  <si>
    <t>Asus VivoBook Go 14 E1404FA-NK5541WS Laptop (AMD Quad Core Ryzen 5/16 GB/512 GB SSD/Windows 11) price in India</t>
  </si>
  <si>
    <t>Lenovo IdeaPad 3 14IAU7 (82RJ00FUIN) Laptop (Core i3 12th Gen/8 GB/512 GB SSD/Windows 11) price in India</t>
  </si>
  <si>
    <t>14" (35.56 cm), 1920 x 1080 px, TN LCD Display</t>
  </si>
  <si>
    <t>Samsung Galaxy Book 4 Pro NP940XGK-KS1IN Laptop (Core Ultra 5/16 GB/512 GB SSD/Windows 11) price in India</t>
  </si>
  <si>
    <t>HP 15-BE014tx (1HQ27PA) Laptop (Core i3 6th Gen/4 GB/1 TB/DOS/2 GB) price in India</t>
  </si>
  <si>
    <t>Intel Core i3 (12th Gen) 1.0 Ghz, Hexa-Core</t>
  </si>
  <si>
    <t>4 GB DDR3 RAM, 1 TB HDD</t>
  </si>
  <si>
    <t>Lenovo LOQ 15IAX9E (83LK0068IN) Laptop (Core i7 12th Gen/12 GB/512 GB SSD/Windows 11/6 GB) price in India</t>
  </si>
  <si>
    <t>Intel Core i3 (12th Gen) 1.1 Ghz, Deca-Core</t>
  </si>
  <si>
    <t>Lenovo IdeaPad Slim 1 Gen 7 (82R400EHIN) Laptop (AMD Octa Core Ryzen 7/16 GB/512 GB SSD/Windows 11) price in India</t>
  </si>
  <si>
    <t>Lenovo Yoga Slim 7 14IMH9 (83CV0047IN) Laptop (Core Ultra 7/16 GB/1 TB SSD/Windows 11) price in India</t>
  </si>
  <si>
    <t>Intel Core i3 (12th Gen) 1.2 Ghz, Hexa-Core</t>
  </si>
  <si>
    <t>Asus VivoBook 15 X543UB-DM581T Laptop (Core i5 8th Gen/8 GB/1 TB/Windows 10/2 GB) price in India</t>
  </si>
  <si>
    <t>MSI Cyborg 15 A12UDX-1468IN Laptop (Core i5 12th Gen/16 GB/512 GB SSD/Windows 11/6 GB) price in India</t>
  </si>
  <si>
    <t>MSI GF63 Thin 11UC-866IN Laptop (Core i7 11th Gen/8 GB/512 GB SSD/Windows 10/4 GB) price in India</t>
  </si>
  <si>
    <t>Asus Zenbook 14 OLED UX3405MA-PP555WS Laptop (Core Ultra 5/16 GB/1 TB SSD/Windows 11) price in India</t>
  </si>
  <si>
    <t>MSI GE62VR 7RF Apache Pro Laptop (Core i7 7th Gen/16 GB/1 TB 256 GB SSD/Windows 10/6 GB) price in India</t>
  </si>
  <si>
    <t>Intel Core i3 (12th Gen) 1.5 Ghz, Deca-Core</t>
  </si>
  <si>
    <t>HP 255 G10 (B15HZPT) Laptop (AMD Quad Core Ryzen 5/8 GB/512 GB SSD/Windows 11) price in India</t>
  </si>
  <si>
    <t>Lenovo IdeaPad Slim 3 (83EQ005TIN) Laptop (Core i5 12th Gen/8 GB/512 GB SSD/Windows 11) price in India</t>
  </si>
  <si>
    <t>Intel Core i3 (12th Gen) 1.8 Ghz, Octa-Core</t>
  </si>
  <si>
    <t>14.1" (35.81 cm), 1920 x 1080 px, TN LCD Display</t>
  </si>
  <si>
    <t>Dell Inspiron 15 3520 (0IN352010031RINB1M) Laptop (Core i5 12th Gen/8 GB/512 GB SSD/Windows 11) price in India</t>
  </si>
  <si>
    <t>Infinix INBook Y3 Max YL613 (71008301490) Laptop (Core i7 12th Gen/16 GB/512 GB SSD/Windows 11) price in India</t>
  </si>
  <si>
    <t>Asus VivoBook Go 14 E1404FA-NK5521WS Laptop (AMD Quad Core Ryzen 5/8 GB/512 SSD/Windows 11) price in India</t>
  </si>
  <si>
    <t>Intel Core i3 (12th Gen) 2.6 Ghz, Hexa-Core</t>
  </si>
  <si>
    <t>8 GB LPDDR5 RAM, 512 SSD</t>
  </si>
  <si>
    <t>Lenovo IdeaPad Slim 5 13ARP10 Gen 10 (83J2000HIN) Laptop (AMD Octa Core Ryzen 7/16 GB/512 GB SSD/Windows 11) price in India</t>
  </si>
  <si>
    <t>Intel Core i3 (12th Gen) 3.3 Ghz, Deca-Core</t>
  </si>
  <si>
    <t>Slim 14.3 mm</t>
  </si>
  <si>
    <t>HP Compaq 15-s103TX Laptop (Core i3 4th Gen/4 GB/1 TB/DOS/2 GB) price in India</t>
  </si>
  <si>
    <t>Intel Core i3 (12th Gen) 3.3 Ghz, Hexa-Core</t>
  </si>
  <si>
    <t>Lenovo ThinkBook 16 Gen 6 (21KKA0G1IN) Laptop (AMD Octa Core Ryzen 7/16 GB/512 GB SSD/Windows 11) price in India</t>
  </si>
  <si>
    <t>Asus Zenbook 14 OLED UX3405CA-PZ349WS Laptop (Core Ultra 9/32 GB/1 TB SSD/Windows 11) price in India</t>
  </si>
  <si>
    <t>Asus Zenbook 14 OLED UX3405CA-PZ164WS Laptop (Core Ultra 9/32 GB/1 TB SSD/Windows 11) price in India</t>
  </si>
  <si>
    <t>Asus TUF Gaming F15 FX507VV-LP487WS Laptop (Core i7 13th Gen/16 GB/1 TB SSD/Windows 11/8 GB) price in India</t>
  </si>
  <si>
    <t>Acer Aspire 3 A324-31 (UN.34DSI.002) Laptop (Core i3 12th Gen/8 GB/512 GB SSD/Windows 11) price in India</t>
  </si>
  <si>
    <t>Apple MacBook Air M3 MC8M4HN/A Ultrabook (Apple M3/24 GB/512 GB SSD/macOS Sequoia) price in India</t>
  </si>
  <si>
    <t>Acer Nitro V ANV15-41 (NH.QPFSI.006) Laptop (AMD Octa Core Ryzen 7/16 GB/512 GB SSD/Windows 11/6 GB) price in India</t>
  </si>
  <si>
    <t>Intel Core i3 (12th Gen) 3.4 Ghz, Octa-Core</t>
  </si>
  <si>
    <t>Dell Inspiron 14 5440 (OIN5440340401RINU1) Laptop (Core i5 13th Gen/16 GB/512 GB SSD/Windows 11) price in India</t>
  </si>
  <si>
    <t>Samsung Galaxy Book 3 Pro 360 Intel Evo NP960QFG-KA3IN Laptop (Core i7 13th Gen/16 GB/1 TB SSD/Windows 11) price in India</t>
  </si>
  <si>
    <t>Intel Core i3 (12th Gen) 3.8 Ghz, Octa-Core</t>
  </si>
  <si>
    <t>Slim 13 mm</t>
  </si>
  <si>
    <t>Lenovo Legion Y540 (81SY00UAIN) Laptop (Core i5 9th Gen/8 GB/1 TB 256 GB SSD/Windows 10/4 GB) price in India</t>
  </si>
  <si>
    <t>Asus TUF Gaming A15 FA506NF-HN578W Laptop (AMD Hexa Core Ryzen 5/8 GB/512 GB SSD/Windows 11/4 GB) price in India</t>
  </si>
  <si>
    <t>Asus VivoBook 14 M415DA-EB712WS Laptop (AMD Quad Core Ryzen 5/8 GB/512 GB SSD/Windows 11) price in India</t>
  </si>
  <si>
    <t>Dell Inspiron 15 3511 (D560649WIN9S) Laptop (Core i3 11th Gen/8 GB/256 GB SSD/Windows 11) price in India</t>
  </si>
  <si>
    <t>Asus Chromebook CX1400CKA-NK0488 Laptop (Intel Celeron Dual Core/4 GB/128 GB eMMC/Google Chrome) price in India</t>
  </si>
  <si>
    <t>Intel Core i3 (12th Gen) 4.2 Ghz, Deca-Core</t>
  </si>
  <si>
    <t>4 GB LPDDR4X RAM</t>
  </si>
  <si>
    <t>Lenovo Yoga 7 14AHP9 (83DK009LIN) Laptop (AMD Octa Core Ryzen 7/16 GB/1 TB SSD/Windows 11) price in India</t>
  </si>
  <si>
    <t>Intel Core i3 (12th Gen) 4.2 Ghz, Hexa-Core</t>
  </si>
  <si>
    <t>Slim 16.6 mm</t>
  </si>
  <si>
    <t>Gigabyte G5 MF5-52IN353SH Laptop (Core i5 13th Gen/16 GB/512 GB SSD/Windows 11/6 GB) price in India</t>
  </si>
  <si>
    <t>MSI Sword 16 HX B13VFKG-652IN Laptop (Core i9 13th Gen/32 GB/1 TB SSD/Windows 11/8 GB) price in India</t>
  </si>
  <si>
    <t>Lenovo IdeaPad Slim 5 14IMH9 (83DA0002IN) Laptop (Core Ultra 5/16 GB/512 GB SSD/Windows 11) price in India</t>
  </si>
  <si>
    <t>Lenovo Ideapad 320 (80XH01HAIN) Laptop (Core i3 6th Gen/4 GB/1 TB/DOS/2 GB) price in India</t>
  </si>
  <si>
    <t>Lenovo IdeaPad 5 14IRH9 (83KX0059IN) Laptop (Core i5 13th Gen/16 GB/512 GB SSD/Windows 11) price in India</t>
  </si>
  <si>
    <t>Asus TUF Gaming A16 FA617NSR-RL083W Laptop (AMD Octa Core Ryzen 7/16 GB/512 GB SSD/Windows 11/8 GB) price in India</t>
  </si>
  <si>
    <t>Intel Core i3 (12th Gen) 4.4 Ghz, Hexa-Core</t>
  </si>
  <si>
    <t>Lenovo IdeaPad 3 14IAU7 (82RJ00FFIN) Laptop (Core i3 12th Gen/16 GB/512 GB SSD/Windows 11) price in India</t>
  </si>
  <si>
    <t>Asus VivoBook S15 OLED S5506MA-MA751WS Laptop (Core Ultra 7/16 GB/1 TB SSD/Windows 11) price in India</t>
  </si>
  <si>
    <t>Asus VivoBook 15 X515JF-BQ521T Laptop (Core i5 10th Gen/8 GB/512 GB SSD/Windows 10) price in India</t>
  </si>
  <si>
    <t>Lenovo Ideapad (81WA00GLIN) Laptop (Core i3 10th Gen/8 GB/256 GB SSD/Windows 10) price in India</t>
  </si>
  <si>
    <t>HP Victus 15-fb0158AX Laptop (AMD Hexa Core Ryzen 5/8 GB/512 GB SSD/Windows 11/4 GB) price in India</t>
  </si>
  <si>
    <t>Samsung Galaxy Book 4 Pro NP940XGK-LS1IN Laptop (Core Ultra 5/16 GB/512 GB SSD/Windows 11) price in India</t>
  </si>
  <si>
    <t>Asus TUF Gaming A14 FA401WV-RG037WS Laptop (AMD Dodeca Core Ryzen 9/32 GB/2 TB SSD/Windows 11/8 GB) price in India</t>
  </si>
  <si>
    <t>HP Victus 15-fb0135AX (87B81PA) Laptop (AMD Hexa Core Ryzen 5/8 GB/512 GB SSD/Windows 11/4 GB) price in India</t>
  </si>
  <si>
    <t>Acer Aspire Lite AL15-52 (UN.33XSI.008) Laptop (Core i5 12th Gen/16 GB/1 TB SSD/Windows 11) price in India</t>
  </si>
  <si>
    <t>Asus VivoBook S15 OLED S5507QAD-MA751WS Laptop (Snapdragon X Elite/16 GB/1 TB SSD/Windows 11) price in India</t>
  </si>
  <si>
    <t>HP Pavilion x360 14-ba075tx (2FK62PA) Laptop (Core i3 7th Gen/4 GB/1 TB/Windows 10/2 GB) price in India</t>
  </si>
  <si>
    <t>Dell Vostro 15 3568 (A553505UIN9) Laptop (Core i5 7th Gen/8 GB/1 TB/Linux) price in India</t>
  </si>
  <si>
    <t>Lenovo LOQ 15IAX9 (83GS00CKIN) Laptop (Core i5 12th Gen/24 GB/512 GB SSD/Windows 11/4 GB) price in India</t>
  </si>
  <si>
    <t>HP Victus Special Edition (A9NC6PA) Laptop (Core i5 12th Gen/16 GB/1 TB SSD/Windows 11/4 GB RTX) price in India</t>
  </si>
  <si>
    <t>Lenovo IdeaPad 3 14IAU7 (82RJ00FGIN) Laptop (Core i3 12th Gen/8 GB/512 GB SSD/Windows 11) price in India</t>
  </si>
  <si>
    <t>Asus VivoBook 16 X1605ZAC-MB741WS Laptop (Core i7 12th Gen/16 GB/512 GB SSD/Windows 11) price in India</t>
  </si>
  <si>
    <t>Dell Inspiron 15 3530 (OIN353034071RINS1M) Laptop (Core i5 13th Gen/16 GB/512 GB SSD/Windows 11) price in India</t>
  </si>
  <si>
    <t>Dell Inspiron 15 3530 (OIN353034011RINS1M) Laptop (Core i5 13th Gen/8 GB/512 GB SSD/Windows 11) price in India</t>
  </si>
  <si>
    <t>Dell Inspiron 15 3530 (IN3530NM1NN001ORB1) Laptop (Core i5 13th Gen/8 GB/512 GB SSD/Windows 11) price in India</t>
  </si>
  <si>
    <t>Lenovo IdeaPad Slim 15AMN7 Gen 7 (82VG00EWIN) Laptop (AMD Quad Core Ryzen 5/8 GB/512 GB SSD/Windows 11) price in India</t>
  </si>
  <si>
    <t>Dell Vostro 15 3530 (VN3530F19VF001ORB1) Laptop (Core i3 13th Gen/8 GB/512 GB SSD/Windows 11) price in India</t>
  </si>
  <si>
    <t>HP 15-fd0186TU (91Q92PA) Laptop (Core i3 13th Gen/8 GB/512 GB SSD/Windows 11) price in India</t>
  </si>
  <si>
    <t>HP Victus 15-fa1227TX (A1QV2PA) Laptop (Core i5 12th Gen/16 GB/512 GB SSD/Windows 11/4 GB) price in India</t>
  </si>
  <si>
    <t>MSI Modern 15 B12MO-818IN Laptop (Core i5 12th Gen/8 GB/512 GB SSD/Windows 11) price in India</t>
  </si>
  <si>
    <t>Lenovo ThinkBook 16 Gen 6 (21KKA07RIN) Laptop (AMD Hexa Core Ryzen 5/16 GB/512 GB SSD/Windows 11) price in India</t>
  </si>
  <si>
    <t>HP Victus 15-fa1128TX (8U1H6PA) Laptop (Core i5 13th Gen/16 GB/512 GB SSD/Windows 11/4 GB) price in India</t>
  </si>
  <si>
    <t>HP 15s-fy5004TU (8K8J2PA) Laptop (Core i3 12th Gen/16 GB/512 GB SSD/Windows 11) price in India</t>
  </si>
  <si>
    <t>HP 15s-fy5002TU (6P132PA) Laptop (Core i5 12th Gen/8 GB/512 GB SSD/Windows 11) price in India</t>
  </si>
  <si>
    <t>HP 14s-dq5138tu (9D3M7PA) Laptop (Core i3 12th Gen/8 GB/512 GB SSD/Windows 11) price in India</t>
  </si>
  <si>
    <t>HP Pavilion 15-eh1047AU (9E5B9PA) Laptop (AMD Hexa Core Ryzen 5/16 GB/1 TB SSD/Windows 11) price in India</t>
  </si>
  <si>
    <t>Infinix INBook Y4 Max YL613 Laptop (Core i3 13th Gen/16 GB/512 GB SSD/Windows 11) price in India</t>
  </si>
  <si>
    <t>Lenovo Ideapad Slim 3 15ITL6 (82H803HQIN) Laptop (Core i5 11th Gen/8 GB/512 GB SSD/Windows 11) price in India</t>
  </si>
  <si>
    <t>Lenovo Ideapad Slim 1 15ALC7 (82R400ERIN) Laptop (AMD Hexa Core Ryzen 5/16 GB/512 GB SSD/Windows 11) price in India</t>
  </si>
  <si>
    <t>Lenovo Ideapad Slim 3 15ITL6 (82H803LKIN) Laptop (Core i5 11th Gen/16 GB/512 GB SSD/Windows 11) price in India</t>
  </si>
  <si>
    <t>Intel Core i3 (12th Gen) 4.7 Ghz, Deca-Core</t>
  </si>
  <si>
    <t>Lenovo Ideapad Gaming 3 15IAH7 (82S9017TIN) Laptop (Core i5 12th Gen/16 GB/512 GB SSD/Windows 11/4 GB) price in India</t>
  </si>
  <si>
    <t>Intel Core i3 (13th Gen) 4.5 Ghz</t>
  </si>
  <si>
    <t>Lenovo Ideapad Slim 5i 14IRL8 (82XD006GIN) Laptop (Core i5 13th Gen/16 GB/1 TB SSD/Windows 11) price in India</t>
  </si>
  <si>
    <t>Lenovo Ideapad 1 15AMN7 (82VG00EQIN) Laptop (AMD Dual Core Athlon/8 GB/512 GB SSD/Windows 11) price in India</t>
  </si>
  <si>
    <t>HP Victus 15-fa1145TX (918A8PA) Laptop (Core i5 12th Gen/16 GB/1 TB SSD/Windows 11/4 GB) price in India</t>
  </si>
  <si>
    <t>Lenovo Yoga Slim 6i 14IAP8 (82WU0095IN) Laptop (Core i5 12th Gen/16 GB/512 GB SSD/Windows 11) price in India</t>
  </si>
  <si>
    <t>Lenovo Ideapad Gaming 3 (82K2028QIN) Laptop (AMD Quad Core Ryzen 5/8 GB/512 GB SSD/Windows 11/4 GB) price in India</t>
  </si>
  <si>
    <t>Infinix INBook Y1 Plus XL28 Laptop (Core i5 10th Gen/8 GB/512 GB SSD/Windows 11) price in India</t>
  </si>
  <si>
    <t>HP 15s-eq1580AU (834S2PA) Laptop (AMD Dual Core Ryzen 3/8 GB/512 GB SSD/Windows 11) price in India</t>
  </si>
  <si>
    <t>MSI Bravo 15 B7ED-012IN Laptop (AMD Hexa Core Ryzen 5/8 GB/512 GB SSD/Windows 11/4 GB) price in India</t>
  </si>
  <si>
    <t>Lenovo Ideapad Slim 3 Chrome 14IAN8 (83BN001PHA) Laptop (Intel Pentium Quad Core/4 GB/128 GB eMMC/Google Chrome) price in India</t>
  </si>
  <si>
    <t>4 GB LPDDR5 RAM</t>
  </si>
  <si>
    <t>14" (35.56 cm), 1366 x 768 px, TN LCD Display</t>
  </si>
  <si>
    <t>Asus VivoBook Go 15 E1504FA-NJ321WS Laptop (AMD Quad Core Ryzen 3/8 GB/512 GB SSD/Windows 11) price in India</t>
  </si>
  <si>
    <t>Intel Core i3 (13th Gen) 4.5 Ghz, Hexa-Core</t>
  </si>
  <si>
    <t>Asus VivoBook 14 X1404VA-NK322WS Laptop (Core i3 13th Gen/8 GB/512 GB SSD/Windows 11) price in India</t>
  </si>
  <si>
    <t>Asus VivoBook 15 M1502QA-EJ741WS Laptop (AMD Octa Core Ryzen 7/16 GB/512 GB SSD/Windows 11) price in India</t>
  </si>
  <si>
    <t>Asus ROG Strix G16 G614JJ-N3088WS Laptop (Core i5 13th Gen/16 GB/1 TB SSD/Windows 11/6 GB) price in India</t>
  </si>
  <si>
    <t>Infinix INBook X2 Slim XL23 Laptop (Core i5 11th Gen/16 GB/1 TB SSD/Windows 11) price in India</t>
  </si>
  <si>
    <t>14" (35.56 cm), 1920 x 1020 px, IPS LCD Display</t>
  </si>
  <si>
    <t>MSI Katana 15 B12VEK-400IN Laptop (Core i7 12th Gen/16 GB/1 TB SSD/Windows 11/6 GB) price in India</t>
  </si>
  <si>
    <t>Asus VivoBook 15 X1500EA-EJ311W Laptop (Core i3 11th Gen/8 GB/256 GB SSD/Windows 11) price in India</t>
  </si>
  <si>
    <t>Acer Swift Go OLED (NX.KPZSI.002) Laptop (Core i5 13th Gen/16 GB/512 GB SSD/Windows 11) price in India</t>
  </si>
  <si>
    <t>Lenovo Ideapad Slim 3 15IAU7 (82RK00XDIN) Laptop (Core i3 12th Gen/8 GB/256 GB SSD/Windows 11) price in India</t>
  </si>
  <si>
    <t>Dell Inspiron 15 3530 (IN3530XCMNV001ORS1) Laptop (Core i3 13th Gen/8 GB/1 TB SSD/Windows 11) price in India</t>
  </si>
  <si>
    <t>8 GB LPDDR5 RAM, 1 TB SSD</t>
  </si>
  <si>
    <t>Lenovo Legion Pro 7i 16IRX8H (82WQ007TIN) Laptop (Core i9 13th Gen/32 GB/1 TB SSD/Windows 11/12 GB) price in India</t>
  </si>
  <si>
    <t>HP 15s-eq2132AU (8H968PA) Laptop (AMD Hexa Core Ryzen 5/16 GB/512 GB SSD/Windows 11) price in India</t>
  </si>
  <si>
    <t>Lenovo Ideapad Gaming 3 15IHU6 (82K101PCIN) Laptop (Core i5 11th Gen/8 GB/512 GB SSD/Windows 11/4 GB) price in India</t>
  </si>
  <si>
    <t>Lenovo IdeaPad Slim 5 14IRL8 (82XD005RIN) Laptop (Core i5 13th Gen/16 GB/512 GB SSD/Windows 11) price in India</t>
  </si>
  <si>
    <t>Lenovo Ideapad Slim 3 15ALC6 (82KU024JIN) Laptop (AMD Octa Core Ryzen 7/16 GB/512 GB SSD/Windows 11) price in India</t>
  </si>
  <si>
    <t>Dell Inspiron 15 3520 (IN3520RVTGV001ORB1) Laptop (Core i3 11th Gen/8 GB/512 GB SSD/Windows 11) price in India</t>
  </si>
  <si>
    <t>MSI GF63 Thin 11UCX-1491IN Laptop (Core i7 11th Gen/16 GB/1 TB 512 GB SSD/Windows 11/4 GB) price in India</t>
  </si>
  <si>
    <t>Lenovo Ideapad Slim 5 14IAH8 (83BF000UIN) Laptop (Core i5 12th Gen/16 GB/512 GB SSD/Windows 11) price in India</t>
  </si>
  <si>
    <t>Lenovo LOQ 15IRH8 (82XV00BRIN) Laptop (Core i7 13th Gen/16 GB/512 GB SSD/Windows 11/8 GB) price in India</t>
  </si>
  <si>
    <t>Lenovo LOQ 15IRH8 (82XV00F6IN) Laptop (Core i5 12th Gen/16 GB/512 GB SSD/Windows 11/6 GB) price in India</t>
  </si>
  <si>
    <t>Asus VivoBook 15 X1504ZA-NJ325WS Laptop (Core i3 12th Gen/8 GB/512 GB SSD/Windows 11) price in India</t>
  </si>
  <si>
    <t>Lenovo Ideapad Slim 5 14ABR8 (82XE004RIN) Laptop (AMD Hexa Core Ryzen 5/16 GB/512 GB SSD/Windows 11) price in India</t>
  </si>
  <si>
    <t>Lenovo Ideapad Slim 5 14IRL8 (82XD003NIN) Laptop (Core i5 13th Gen/16 GB/512 GB SSD/Windows 11) price in India</t>
  </si>
  <si>
    <t>Lenovo IdeaPad Flex 5 14ALC7 (82R900D9IN) Laptop (AMD Octa Core Ryzen 7/16 GB/512 GB SSD/Windows 11) price in India</t>
  </si>
  <si>
    <t>HP Victus 15-fb0108AX (7K8N1PA) Laptop (AMD Hexa Core Ryzen 5/8 GB/512 GB SSD/Windows 11/4 GB) price in India</t>
  </si>
  <si>
    <t>Infinix Zero Book 13 ZL513 Laptop (Core i7 13th Gen/32 GB/1 TB SSD/Windows 11) price in India</t>
  </si>
  <si>
    <t>Intel Core i3 (4th Gen) 1.7 Ghz, Dual-Core</t>
  </si>
  <si>
    <t>HP 15s-ey2001AU (8H969PA) Laptop (AMD Octa Core Ryzen 7/16 GB/512 GB SSD/Windows 11) price in India</t>
  </si>
  <si>
    <t>Intel Core i3 (6th Gen) 2.0 Ghz</t>
  </si>
  <si>
    <t>HP 14-gr0000TU (8K8J1PA) Laptop (Core i3 13th Gen/8 GB/512 GB SSD/Windows 11) price in India</t>
  </si>
  <si>
    <t>HP Pavilion Plus 14-eh1022TU (81B19PA) Laptop (Core i5 13th Gen/16 GB/512 GB SSD/Windows 11) price in India</t>
  </si>
  <si>
    <t>MSI Modern 14 C12M-670IN Laptop (Core i7 12th Gen/8 GB/512 GB SSD/Windows 11) price in India</t>
  </si>
  <si>
    <t>Acer Aspire 7 A715-76G (UN.QMESI.003) Laptop (Core i5 12th Gen/16 GB/512 GB SSD/Windows 11/4 GB) price in India</t>
  </si>
  <si>
    <t>Acer Aspire 7 A715-76G (UN.QMESI.004) Laptop (Core i5 12th Gen/16 GB/512 GB SSD/Windows 11/4 GB) price in India</t>
  </si>
  <si>
    <t>Infinix INBook X2 Slim XL23 Laptop (Core i3 11th Gen/8 GB/256 GB SSD/Windows 11) price in India</t>
  </si>
  <si>
    <t>HP Omen 17-cm2003TX (7K4K0PA) Laptop (Core i7 13th Gen/16 GB/1 TB SSD/Windows 11/8 GB) price in India</t>
  </si>
  <si>
    <t>Intel Core i3 (6th Gen) 2.0 Ghz, Dual-Core</t>
  </si>
  <si>
    <t>Lenovo Thinkpad E14 Gen 5 (21JRS00U00) Laptop (AMD Hexa Core Ryzen 5/16 GB/512 GB SSD/Windows 11) price in India</t>
  </si>
  <si>
    <t>Intel Core i3 (6th Gen) 2.1 Ghz</t>
  </si>
  <si>
    <t>Lenovo V15 G4 (82YU00W7IN) Laptop (AMD Quad Core Ryzen 3/8 GB/512 GB SSD/Windows 11) price in India</t>
  </si>
  <si>
    <t>Intel Core i3 (7th Gen) 2.0 Ghz, Dual-Core</t>
  </si>
  <si>
    <t>Lenovo V15 G4 (82YU00W6IN) Laptop (AMD Quad Core Ryzen 3/8 GB/512 GB SSD/DOS) price in India</t>
  </si>
  <si>
    <t>Intel Core i3 (7th Gen) 2.4 Ghz</t>
  </si>
  <si>
    <t>Acer Aspire 7 A715-76G (NH.QMESI.002) Laptop (Core i5 12th Gen/8 GB/512 GB SSD/Windows 11/4 GB) price in India</t>
  </si>
  <si>
    <t>Acer Aspire 7 A715-76G (NH.QMESI.003) Laptop (Core i5 12th Gen/8 GB/512 GB SSD/Windows 11/4 GB) price in India</t>
  </si>
  <si>
    <t>MSI GF63 Thin 11SC-1477IN Laptop (Core i5 11th Gen/8 GB/512 GB SSD/Windows 11/4 GB) price in India</t>
  </si>
  <si>
    <t>MSI GF63 Thin 11UCX-1471IN Laptop (Core i5 11th Gen/8 GB/512 GB SSD/Windows 11/4 GB) price in India</t>
  </si>
  <si>
    <t>Dell Inspiron 15 3530 (IN3530NM1NN001ORS1) Laptop (Core i5 13th Gen/8 GB/512 GB SSD/Windows 11) price in India</t>
  </si>
  <si>
    <t>Intel Core i3 (7th Gen) 2.7 Ghz</t>
  </si>
  <si>
    <t>Asus TUF Gaming A16 FA617XS-N3026WS Laptop (AMD Octa Core Ryzen 9/16 GB/1 TB SSD/Windows 11/8 GB) price in India</t>
  </si>
  <si>
    <t>Intel Core i3 (8th Gen) 2.2 Ghz</t>
  </si>
  <si>
    <t>Acer Predator Helios 16 PH16-71 (NH.QJQSI.003) Laptop (Core i7 13th Gen/16 GB/512 GB SSD/Windows 11/8 GB) price in India</t>
  </si>
  <si>
    <t>16" (40.64 cm), 2560 x 1600 px, LCD Display</t>
  </si>
  <si>
    <t>Dell Inspiron 15 3530 (IN3530GH7Y2001ORS1) Laptop (Core i3 13th Gen/8 GB/512 GB SSD/Windows 11) price in India</t>
  </si>
  <si>
    <t>Asus Vivobook 16X K3605ZC-MB541WS Laptop (Core i5 12th Gen/16 GB/512 GB SSD/Windows 11/4 GB) price in India</t>
  </si>
  <si>
    <t>Asus TUF Gaming A15 FA577NU-LP082W Laptop (AMD Octa Core Ryzen 7/16 GB/512 GB SSD/Windows 11/6 GB) price in India</t>
  </si>
  <si>
    <t>Intel Core i5 (10th Gen) 1.0 Ghz, Quad-Core</t>
  </si>
  <si>
    <t>Slim 10.2 mm</t>
  </si>
  <si>
    <t>Asus TUF Gaming F17 FX706HF-HX018W Laptop (Core i5 11th Gen/8 GB/512 GB SSD/Windows 11/4 GB) price in India</t>
  </si>
  <si>
    <t>HP 15-fd0013TU (7P705PA) Laptop (Core i5 13th Gen/16 GB/512 GB SSD/Windows 11) price in India</t>
  </si>
  <si>
    <t>HP 15-fd0006TU (7P6Z8PA) Laptop (Core i3 13th Gen/8 GB/512 GB SSD/Windows 11) price in India</t>
  </si>
  <si>
    <t>HP 15-fc0030AU (7L034PA) Laptop (AMD Quad Core Ryzen 5/16 GB/512 GB SSD/Windows 11) price in India</t>
  </si>
  <si>
    <t>HP 15-fd0011TU (7P703PA) Laptop (Core i5 13th Gen/8 GB/512 GB SSD/Windows 11) price in India</t>
  </si>
  <si>
    <t>MSI GF63 Thin 11UC-1295IN Laptop (Core i5 11th Gen/16 GB/1 TB 256 GB SSD/Windows 11/4 GB) price in India</t>
  </si>
  <si>
    <t>Intel Core i5 (10th Gen) 1.2 Ghz, Dual-Core</t>
  </si>
  <si>
    <t>Asus VivoBook Go 14 E1404GA-NK322WS Laptop (Core i3 12th Gen/8 GB/512 GB SSD/Windows 11) price in India</t>
  </si>
  <si>
    <t>Intel Core i5 (10th Gen) 1.6 Ghz</t>
  </si>
  <si>
    <t>MSI GF63 Thin 11UC-1293IN Laptop (Core i7 11th Gen/16 GB/512 GB SSD/Windows 11/4 GB) price in India</t>
  </si>
  <si>
    <t>Intel Core i5 (10th Gen) 1.6 Ghz, Quad-Core</t>
  </si>
  <si>
    <t>MSI GF63 Thin 11UC-1297IN Laptop (Core i5 11th Gen/8 GB/1 TB 256 GB SSD/Windows 11/4 GB) price in India</t>
  </si>
  <si>
    <t>Intel Core i5 (10th Gen) 1.7 Ghz, Quad-Core</t>
  </si>
  <si>
    <t>MSI GF63 Thin 11SC-1299IN Laptop (Core i5 11th Gen/8 GB/1 TB 256 GB SSD/Windows 11/4 GB) price in India</t>
  </si>
  <si>
    <t>Intel Core i5 (10th Gen) 2.5 Ghz, Quad-Core</t>
  </si>
  <si>
    <t>MSI Katana 15 B12UDXK-1006IN Laptop (Core i5 12th Gen/8 GB/512 GB SSD/Windows 11/6 GB) price in India</t>
  </si>
  <si>
    <t>MSI Katana 15 B12UDXK-1005IN Laptop (Core i5 12th Gen/16 GB/512 GB SSD/Windows 11/6 GB) price in India</t>
  </si>
  <si>
    <t>HP 15s-fy5003TU (7Q700PA) Laptop (Core i3 12th Gen/8 GB/512 GB SSD/Windows 11) price in India</t>
  </si>
  <si>
    <t>Asus VivoBook Go 14 E1404GA-NK321WS Laptop (Core i3 12th Gen/8 GB/512 GB SSD/Windows 11) price in India</t>
  </si>
  <si>
    <t>Intel Core i5 (10th Gen) 3.4 Ghz, Quad-Core</t>
  </si>
  <si>
    <t>Asus VivoBook 14 X1400EA-EK322WS Laptop (Core i3 11th Gen/8 GB/512 GB SSD/Windows 11) price in India</t>
  </si>
  <si>
    <t>Intel Core i5 (10th Gen) 4.1 Ghz, Quad-Core</t>
  </si>
  <si>
    <t>Asus VivoBook S15 OLED K5504VA-LK542WS Laptop (Core i5 13th Gen/16 GB/512 GB SSD/Windows 11) price in India</t>
  </si>
  <si>
    <t>Intel Core i5 (10th Gen) 4.5 Ghz, Quad-Core</t>
  </si>
  <si>
    <t>Asus VivoBook Go 14 E1404FA-NK321WS Laptop (AMD Quad Core Ryzen 3/8 GB/512 GB SSD/Windows 11) price in India</t>
  </si>
  <si>
    <t>Intel Core i5 (11th Gen) 2.3 Ghz, Quad-Core</t>
  </si>
  <si>
    <t>14" (35.56 cm), x px Display</t>
  </si>
  <si>
    <t>Asus VivoBook 14 X1404VA-NK321WS Laptop (Core i3 13th Gen/8 GB/512 GB SSD/Windows 11) price in India</t>
  </si>
  <si>
    <t>Intel Core i5 (11th Gen) 2.4 Ghz, Quad-Core</t>
  </si>
  <si>
    <t>Asus VivoBook S15 OLED S5504VA-MA543WS Laptop (Core i5 13th Gen/16 GB/512 GB SSD/Windows 11) price in India</t>
  </si>
  <si>
    <t>Lenovo V15 G2 (82KDA022IH) Laptop (AMD Hexa Core Ryzen 5/8 GB/512 GB SSD/Windows 11) price in India</t>
  </si>
  <si>
    <t>Dell Vostro 3510 (ICC-D585064WIN8) Laptop (Core i3 11th Gen/8 GB/1 TB 256 GB SSD/Windows 11) price in India</t>
  </si>
  <si>
    <t>Asus VivoBook Pro 15 M6500QC-HN741WS Laptop (AMD Octa Core Ryzen 7/16 GB/512 GB SSD/Windows 11/4 GB) price in India</t>
  </si>
  <si>
    <t>Dell G15-5530 (GN5530VMMD9002ORB1) Laptop (Core i7 13th Gen/16 GB/512 GB SSD/Windows 11/6 GB) price in India</t>
  </si>
  <si>
    <t>15.6" (39.62 cm), x px Display</t>
  </si>
  <si>
    <t>Asus VivoBook Go 15 OLED E1504GA-NJ321WS Laptop (Core i3 12th Gen/8 GB/512 GB SSD/Windows 11) price in India</t>
  </si>
  <si>
    <t>Asus Vivobook 15X K3504VAB-NJ322WS Laptop (Core i3 13th Gen/8 GB/512 GB SSD/Windows 11) price in India</t>
  </si>
  <si>
    <t>Asus VivoBook S15 OLED S5504VA-MA554WS Laptop (Core i5 13th Gen/16 GB/1 TB SSD/Windows 11) price in India</t>
  </si>
  <si>
    <t>Asus Vivobook 15X K3504VAB-NJ321WS Laptop (Core i3 13th Gen/8 GB/512 GB SSD/Windows 11) price in India</t>
  </si>
  <si>
    <t>Acer Aspire 5 A515-57 (NX.K3JSI.003) Laptop (Core i5 12th Gen/8 GB/512 GB SSD/Windows 11) price in India</t>
  </si>
  <si>
    <t>Asus VivoBook Go 14 E1404GA-NK323WS Laptop (Core i3 12th Gen/8 GB/512 GB SSD/Windows 11) price in India</t>
  </si>
  <si>
    <t>Asus VivoBook S14 Flip TN3402YAB-LZ541WS Laptop (AMD Hexa Core Ryzen 5/16 GB/512 GB SSD/Windows 11) price in India</t>
  </si>
  <si>
    <t>MSI Modern 14 C12M-440IN Laptop (Core i5 12th Gen/8 GB/512 GB SSD/Windows 11) price in India</t>
  </si>
  <si>
    <t>MSI Modern 14 C11M-030IN Laptop (Core i5 11th Gen/8 GB/512 GB SSD/Windows 11) price in India</t>
  </si>
  <si>
    <t>Dell Vostro 5620 (M552319WIN9S) Laptop (Core i7 12th Gen/16 GB/512 GB SSD/Windows 11/2 GB) price in India</t>
  </si>
  <si>
    <t>Asus VivoBook Go 15 E1504FA-NJ322WS Laptop (AMD Quad Core Ryzen 3/8 GB/512 GB SSD/Windows 11) price in India</t>
  </si>
  <si>
    <t>Intel Core i5 (11th Gen) 2.5 Ghz, Quad-Core</t>
  </si>
  <si>
    <t>Asus VivoBook Go 15 E1504FA-NJ323WS Laptop (AMD Quad Core Ryzen 3/8 GB/512 GB SSD/Windows 11) price in India</t>
  </si>
  <si>
    <t>Primebook 4G Laptop (MediaTek Octa Core/4 GB/64 GB eMMC/Prime OS) price in India</t>
  </si>
  <si>
    <t>Prime OS</t>
  </si>
  <si>
    <t>4 GB LPDDR4 RAM</t>
  </si>
  <si>
    <t>11.6" (29.46 cm), 1366 x 768 px, IPS LCD Display</t>
  </si>
  <si>
    <t>Primebook 4G Laptop (MediaTek Octa Core/4 GB/128 GB eMMC/Prime OS) price in India</t>
  </si>
  <si>
    <t>Asus VivoBook 14 X415EA-EK326WS Laptop (Core i3 11th Gen/8 GB/512 GB SSD/Windows 11) price in India</t>
  </si>
  <si>
    <t>Infinix INBook Y1 Plus XL28 Laptop (Core i3 10th Gen/8 GB/256 GB SSD/Windows 11) price in India</t>
  </si>
  <si>
    <t>HP 14s-ef1002TU (6Q121PA) Laptop (Core i3 11th Gen/8 GB/512 GB SSD/Windows 11) price in India</t>
  </si>
  <si>
    <t>HP Victus 16-d0310TX (7K4X0PA) Laptop (Core i5 11th Gen/8 GB/512 GB SSD/Windows 11/4 GB) price in India</t>
  </si>
  <si>
    <t>HP Victus 16-e0333TX (7K4H5PA) Laptop (AMD Hexa Core Ryzen 5/16 GB/512 GB SSD/Windows 11/6 GB) price in India</t>
  </si>
  <si>
    <t>Intel Core i5 (11th Gen) 2.7 Ghz, Hexa-Core</t>
  </si>
  <si>
    <t>MSI Katana 17 B13VFK-253IN Laptop (Core i7 13th Gen/16 GB/1 TB SSD/Windows 11/8 GB) price in India</t>
  </si>
  <si>
    <t>Infinix Zero Book ZL12 Laptop (Core i5 12th Gen/16 GB/512 GB SSD/Windows 11) price in India</t>
  </si>
  <si>
    <t>Infinix Zero Book Ultra ZL12 Laptop (Core i9 12th Gen/32 GB/1 TB SSD/Windows 11) price in India</t>
  </si>
  <si>
    <t>Asus VivoBook Go 14 E1404FA-NK331W Laptop (AMD Quad Core Ryzen 3/8 GB/1 TB SSD/Windows 11) price in India</t>
  </si>
  <si>
    <t>Samsung Galaxy Book 3 Pro 360 NP960QFG-KA1IN Laptop (Core i7 13th Gen/16 GB/512 GB SSD/Windows 11) price in India</t>
  </si>
  <si>
    <t>Slim 12.7 mm</t>
  </si>
  <si>
    <t>Samsung Galaxy Book 3 Pro 360 NP960QFG-KA2IN Laptop (Core i5 13th Gen/16 GB/512 GB SSD/Windows 11) price in India</t>
  </si>
  <si>
    <t>HP 14s-dq5007TU (695R9PA) Laptop (Core i5 12th Gen/8 GB/512 GB SSD/Windows 11) price in India</t>
  </si>
  <si>
    <t>Infinix Zero Book Ultra Laptop (Core i9 12th Gen/16 GB/512 GB SSD/Windows 11) price in India</t>
  </si>
  <si>
    <t>Asus VivoBook 15 X515EA-EJ701WS Laptop (Core i7 11th Gen/16 GB/512 GB SSD/Windows 11) price in India</t>
  </si>
  <si>
    <t>HP 15s-fq2717TU (7G6H3PA) Laptop (Core i3 11th Gen/8 GB/512 GB SSD/Windows 11) price in India</t>
  </si>
  <si>
    <t>HP Victus 16-d0311TX (7K4X1PA) Laptop (Core i5 11th Gen/16 GB/512 GB SSD/Windows 11/4 GB) price in India</t>
  </si>
  <si>
    <t>HP Envy x360 Intel Evo 15-ew0040TU (7G6F2PA) Laptop (Core i5 12th Gen/16 GB/512 GB SSD/Windows 11) price in India</t>
  </si>
  <si>
    <t>Dell Inspiron 15 3520 (D560869WIN9B) Laptop (Core i3 12th Gen/8 GB/256 GB SSD/Windows 11) price in India</t>
  </si>
  <si>
    <t>Intel Core i5 (11th Gen) 2.9 Ghz, Hexa-Core</t>
  </si>
  <si>
    <t>Lenovo V15 (82KBA03HIH) Laptop (Core i3 11th Gen/8 GB/1 TB 256 GB SSD/Windows 11) price in India</t>
  </si>
  <si>
    <t>HP 15s-fq5007TU (67V50PA) Laptop (Core i3 12th Gen/8 GB/512 GB SSD/Windows 11) price in India</t>
  </si>
  <si>
    <t>Intel Core i5 (11th Gen) 3.0 Ghz, Quad-Core</t>
  </si>
  <si>
    <t>HP Envy x360 Intel Evo 13-bf0085TU (726X6PA) Laptop (Core i5 12th Gen/8 GB/512 GB SSD/Windows 11) price in India</t>
  </si>
  <si>
    <t>Intel Core i5 (11th Gen) 3.1 Ghz, Quad-Core</t>
  </si>
  <si>
    <t>Slim 16.1 mm</t>
  </si>
  <si>
    <t>Acer Aspire 5 A515-56 (NX.A1GSI.00D) Laptop (Core i5 11th Gen/8 GB/512 GB SSD/Windows 11) price in India</t>
  </si>
  <si>
    <t>Asus TUF Gaming F15 FX566HM-AZ096TS Laptop (Core i9 11th Gen/16 GB/1 TB SSD/Windows 10/6 GB) price in India</t>
  </si>
  <si>
    <t>Lenovo Legion 5 Pro 16ACH6H (82JQ011EIN) Laptop (AMD Octa Core Ryzen 7/32 GB/1 TB SSD/Windows 11/8 GB) price in India</t>
  </si>
  <si>
    <t>32 GB DDR4 RAM, 1 TB SSD</t>
  </si>
  <si>
    <t>Asus VivoBook Pro 15 OLED M3500QC-L1502WS Laptop (AMD Hexa Core Ryzen 5/16 GB/512 SSD/Windows 11) price in India</t>
  </si>
  <si>
    <t>16 GB DDR4 RAM, 512 SSD</t>
  </si>
  <si>
    <t>Lenovo V15 Gen 2 (82KBA02UIH) Laptop (Core i3 11th Gen/8 GB/256 GB SSD/Windows 11) price in India</t>
  </si>
  <si>
    <t>Intel Core i5 (11th Gen) 3.3 Ghz, Quad-Core</t>
  </si>
  <si>
    <t>Asus ROG Zephyrus G14 GA401QM-K2330TS Laptop (AMD Octa Core Ryzen 9/16 GB/1 TB SSD/Windows 10/6 GB) price in India</t>
  </si>
  <si>
    <t>14" (35.56 cm), 2560 x 1440 px, IPS LCD Display</t>
  </si>
  <si>
    <t>Acer Swift Go SFG14-41 (NX.KG3SI.002) Laptop (AMD Hexa Core Ryzen 5/8 GB/512 GB SSD/Windows 11) price in India</t>
  </si>
  <si>
    <t>Infinix INBook X2 Plus XL25 Laptop (Core i3 11th Gen/8 GB/256 GB SSD/Windows 11) price in India</t>
  </si>
  <si>
    <t>Intel Core i5 (11th Gen) 4.2 Ghz, Hexa-Core</t>
  </si>
  <si>
    <t>Dell Vostro 3425 (D552306WIN9BE) Laptop (AMD Hexa Core Ryzen 5/8 GB/512 GB SSD/Windows 11) price in India</t>
  </si>
  <si>
    <t>Dell Vostro 5625 (D552295WIN9S) Laptop (AMD Hexa Core Ryzen 5/8 GB/512 GB SSD/Windows 11) price in India</t>
  </si>
  <si>
    <t>Gigabyte G5 GD-51IN123SE (RC45GD) Laptop (Core i5 11th Gen/16 GB/512 GB SSD/Windows 11/4 GB) price in India</t>
  </si>
  <si>
    <t>Dell Inspiron 15 3521 (D560757WIN9S) Laptop (Intel Pentium Quad Core/8 GB/256 GB SSD/Windows 11) price in India</t>
  </si>
  <si>
    <t>Fujitsu UH-X 4ZR1K06212 Laptop (Core i7 12th Gen/16 GB/512 GB SSD/Windows 11) price in India</t>
  </si>
  <si>
    <t>13.3" (33.78 cm), 1920 x 1080 px Display</t>
  </si>
  <si>
    <t>Dell Inspiron 15 3520 (D560879WIN9S) Laptop (Core i5 12th Gen/16 GB/512 GB SSD/Windows 11) price in India</t>
  </si>
  <si>
    <t>Lenovo V14 (82KA00LKIH) Laptop (Core i5 11th Gen/8 GB/256 GB SSD/Windows 10) price in India</t>
  </si>
  <si>
    <t>Dell Vostro 3401 (D552224WIN9D) Laptop (Core i3 10th Gen/8 GB/512 GB SSD/Windows 11) price in India</t>
  </si>
  <si>
    <t>MSI CreatorPro M16 A12UIS-634IN Laptop (Core i7 12th Gen/16 GB/1 TB SSD/Windows 11/4 GB) price in India</t>
  </si>
  <si>
    <t>16" (40.64 cm), 2560 x 1660 px Display</t>
  </si>
  <si>
    <t>MSI Vector GP76 12UGSO-868IN Laptop (Core i7 12th Gen/16 GB/1 TB SSD/Windows 11/8 GB) price in India</t>
  </si>
  <si>
    <t>Lenovo Thinkpad E14 (21E3S04W00) Laptop (Core i5 12th Gen/16 GB/512 GB SSD/Windows 11) price in India</t>
  </si>
  <si>
    <t>Lenovo Thinkpad E14 Gen 4 (21E3S04U00) Laptop (Core i5 12th Gen/16 GB/1 TB SSD/Windows 11) price in India</t>
  </si>
  <si>
    <t>Intel Core i5 (11th Gen) 4.2 Ghz, Quad-Core</t>
  </si>
  <si>
    <t>Lenovo Ideapad Gaming 3 (82SA00B2IN) Laptop (Core i7 12th Gen/16 GB/512 GB SSD/Windows 11/6 GB) price in India</t>
  </si>
  <si>
    <t>16" (40.64 cm), 1920 x 1200 px Display</t>
  </si>
  <si>
    <t>Asus VivoBook 14 X1402ZA-MW311WS Laptop (Core i3 12th Gen/8 GB/512 GB SSD/Windows 11) price in India</t>
  </si>
  <si>
    <t>Lenovo Ideapad Slim 5 Gen 6 (82LN00JSIN) Laptop (AMD Octa Core Ryzen 7/16 GB/512 GB SSD/Windows 11) price in India</t>
  </si>
  <si>
    <t>Dell Inspiron 15 3515 (D560702WIN9BE) Laptop (AMD Dual Core Athlon/4 GB/256 GB SSD/Windows 11) price in India</t>
  </si>
  <si>
    <t>Asus VivoBook Gaming F571LH-AL434T Laptop (Core i7 10th Gen/16 GB/1 TB 256 GB SSD/Windows 10/4 GB) price in India</t>
  </si>
  <si>
    <t>HP Pavilion x360 14-dy0212TU (6N0L9PA) Laptop (Core i3 11th Gen/8 GB/256 GB SSD/Windows 11) price in India</t>
  </si>
  <si>
    <t>HP 15s-ey1508AU (6Q0N0PA) Laptop (AMD Dual Core Ryzen 3/8 GB/256 GB SSD/Windows 11) price in India</t>
  </si>
  <si>
    <t>Asus Vivobook S14 Flip TN3402QA-LZ511WS Laptop (AMD Hexa Core Ryzen 5/16 GB/512 GB SSD/Windows 11) price in India</t>
  </si>
  <si>
    <t>Asus VivoBook 15 X1502ZA-EZ311WS Laptop (Core i3 12th Gen/8 GB/512 GB SSD/Windows 11) price in India</t>
  </si>
  <si>
    <t>Asus VivoBook 15 X1500EA-EJ322WS Laptop (Core i3 11th Gen/8 GB/512 GB SSD/Windows 11) price in India</t>
  </si>
  <si>
    <t>Asus ROG Flow X13 GV301RE-LJ199WS Laptop (AMD Octa Core Ryzen 7/32 GB/1 TB SSD/Windows 11/4 GB) price in India</t>
  </si>
  <si>
    <t>13.4" (34.04 cm), 1920 x 1080 px, IPS LCD Display</t>
  </si>
  <si>
    <t>Lenovo Legion 5i Gen 7 (82RB00K8IN) Laptop (Core i7 12th Gen/16 GB/512 GB SSD/Windows 11/6 GB) price in India</t>
  </si>
  <si>
    <t>Lenovo Ideapad 3 15IAU7 (82RK00EEIN) Laptop (Core i3 12th Gen/8 GB/512 GB SSD/Windows 11) price in India</t>
  </si>
  <si>
    <t>Lenovo Legion 5 Pro (82RG00AGIN) Laptop (AMD Octa Core Ryzen 7/32 GB/1 TB SSD/Windows 11/8 GB) price in India</t>
  </si>
  <si>
    <t>Intel Core i5 (11th Gen) 4.5 Ghz, Hexa-Core</t>
  </si>
  <si>
    <t>HP Pavilion x360 14-ek0086TU (6Q0Z5PA) Laptop (Core i5 12th Gen/8 GB/512 GB SSD/Windows 11) price in India</t>
  </si>
  <si>
    <t>Infinix INBook X1 Neo XL22 Laptop (Intel Celeron Quad Core/8 GB/256 GB SSD/Windows 11) price in India</t>
  </si>
  <si>
    <t>4 GB LPDDR4X RAM, 128 GB SSD</t>
  </si>
  <si>
    <t>HP Victus 15-fa0070TX (6Z2P5PA) Laptop (Core i5 12th Gen/8 GB/512 GB SSD/Windows 11/4 GB) price in India</t>
  </si>
  <si>
    <t>HP 15s-fq5111TU (6P129PA) Laptop (Core i5 12th Gen/8 GB/512 GB SSD/Windows 11) price in India</t>
  </si>
  <si>
    <t>Intel Core i5 (11th Gen) 4.5 Ghz, Quad-Core</t>
  </si>
  <si>
    <t>HP Envy x360 Intel Evo 13-bf0063TU (6L0L1PA) Laptop (Core i7 12th Gen/16 GB/1 TB SSD/Windows 11) price in India</t>
  </si>
  <si>
    <t>Intel Core i5 (11th Gen) 4.7 Ghz, Hexa-Core</t>
  </si>
  <si>
    <t>HP Envy x360 Intel Evo 13-bf0058TU (6L0K9PA) Laptop (Core i5 12th Gen/16 GB/512 GB SSD/Windows 11) price in India</t>
  </si>
  <si>
    <t>Intel Core i5 (11th Gen) 4.7 Ghz, Quad-Core</t>
  </si>
  <si>
    <t>Acer Aspire 3 A315-23 (UN.HVTSI.013) Laptop (AMD Dual Core Ryzen 3/8 GB/256 GB SSD/Windows 11) price in India</t>
  </si>
  <si>
    <t>HP Victus 15-fa0353TX (6N030PA) Laptop (Core i7 12th Gen/16 GB/512 GB SSD/Windows 11/4 GB) price in India</t>
  </si>
  <si>
    <t>Intel Core i5 (11th Gen), Quad-Core</t>
  </si>
  <si>
    <t>HP Victus 15-fa0165TX (6N027PA) Laptop (Core i5 12th Gen/8 GB/512 GB SSD/Windows 11/4 GB) price in India</t>
  </si>
  <si>
    <t>Intel Core i5 (12th Gen) 1.2 Ghz</t>
  </si>
  <si>
    <t>HP Victus 15-fb0040AX (6F9T7PA) Laptop (AMD Hexa Core Ryzen 5/8 GB/512 GB SSD/Windows 11/4 GB) price in India</t>
  </si>
  <si>
    <t>Intel Core i5 (12th Gen) 1.2 Ghz, Deca-Core</t>
  </si>
  <si>
    <t>Dell Inspiron 15 3511 (D560724WIN9SE) Laptop (Core i3 10th Gen/8 GB/512 GB SSD/Windows 11) price in India</t>
  </si>
  <si>
    <t>Intel Core i5 (12th Gen) 1.3 Ghz, Deca-Core</t>
  </si>
  <si>
    <t>HP 14s-fy1003AU (6K7V7PA) Laptop (AMD Hexa Core Ryzen 5/16 GB/512 GB SSD/Windows 11) price in India</t>
  </si>
  <si>
    <t>HP 14s-fy1005AU (6Y6R8PA) Laptop (AMD Octa Core Ryzen 7/16 GB/512 GB SSD/Windows 11) price in India</t>
  </si>
  <si>
    <t>Asus TUF Gaming A15 FA577RE-HN055WS Laptop (AMD Octa Core Ryzen 7/16 GB/512 GB SSD/Windows 11/4 GB) price in India</t>
  </si>
  <si>
    <t>Asus TUF Gaming F15 FX506HC-HN089WS Laptop (Core i5 11th Gen/8 GB/512 GB SSD/Windows 11/4 GB) price in India</t>
  </si>
  <si>
    <t>Lenovo V15 (82KBA01HIH) Laptop (Core i3 11th Gen/8 GB/256 GB SSD/Windows 11) price in India</t>
  </si>
  <si>
    <t>MSI Prestige 14 Intel Evo B13M-279IN Laptop (Core i7 13th Gen/16 GB/1 TB SSD/Windows 11) price in India</t>
  </si>
  <si>
    <t>Infinix INBook X1 Slim XL21 Laptop (Core i3 10th Gen/8 GB/256 GB SSD/Windows 11/128 MB) price in India</t>
  </si>
  <si>
    <t>Asus Vivobook 16X M1603QA-MB511WS Laptop (AMD Hexa Core Ryzen 5/16 GB/512 GB SSD/Windows 11) price in India</t>
  </si>
  <si>
    <t>Slim 14 mm</t>
  </si>
  <si>
    <t>Acer Aspire Lite AL15-52H (UN.347SI.007) Laptop (Core i5 12th Gen/12 GB/512 GB SSD/Windows 11) price in India</t>
  </si>
  <si>
    <t>12 GB LPDDR5 RAM, 512 GB SSD</t>
  </si>
  <si>
    <t>Acer Aspire Lite AL15-41 (UN.31ZSI.026) Laptop (AMD Hexa Core Ryzen 5/16 GB/512 GB SSD/Windows 11) price in India</t>
  </si>
  <si>
    <t>Acer Aspire Lite AL15-41 (UN.31ZSI.01B) Laptop (AMD Hexa Core Ryzen 5/16 GB/1 TB SSD/Windows 11) price in India</t>
  </si>
  <si>
    <t>Acer Aspire Lite AL15-41 (UN.31ZSI.00Y) Laptop (AMD Hexa Core Ryzen 5/16 GB/512 GB SSD/Windows 11) price in India</t>
  </si>
  <si>
    <t>Intel Core i5 (12th Gen) 1.5 Ghz, Octa-Core</t>
  </si>
  <si>
    <t>Dell Vostro 3520 (VN3520CYGGW002ORG1) Laptop (Core i5 12th Gen/16 GB/512 GB SSD/Windows 11) price in India</t>
  </si>
  <si>
    <t>Intel Core i5 (12th Gen) 1.7 Ghz, Deca-Core</t>
  </si>
  <si>
    <t>Dell Vostro 3520 (VN35205KF55002ORG1) Laptop (Core i5 12th Gen/8 GB/512 GB SSD/Windows 11) price in India</t>
  </si>
  <si>
    <t>Intel Core i5 (12th Gen) 2.0 Ghz, Octa-Core</t>
  </si>
  <si>
    <t>Lenovo Ideapad Slim 5x 14Q8X9 (83HL0035IN) Laptop (Snapdragon X Plus/16 GB/1 TB SSD/Windows 11) price in India</t>
  </si>
  <si>
    <t>Acer Aspire 3 A325-42 (UN.34QSI.002) Laptop (AMD Hexa Core Ryzen 5/16 GB/512 GB SSD/Windows 11) price in India</t>
  </si>
  <si>
    <t>15.8" (40.13 cm), 1920 x 1080 px, IPS LCD Display</t>
  </si>
  <si>
    <t>Acer Aspire 3 A325-42 (UN.34QSI.001) Laptop (AMD Hexa Core Ryzen 5/8 GB/512 GB SSD/Windows 11) price in India</t>
  </si>
  <si>
    <t>Acer Nitro V ANV15-41 (NH.QPESI.001) Laptop (AMD Octa Core Ryzen 7/16 GB/512 GB SSD/Windows 11/6 GB) price in India</t>
  </si>
  <si>
    <t>Acer Aspire 3 A325-42 (UN.34QSI.006) Laptop (AMD Quad Core Ryzen 3/8 GB/512 GB SSD/Windows 11) price in India</t>
  </si>
  <si>
    <t>Asus VivoBook 15 X543UA-DM582T Laptop (Core i5 8th Gen/8 GB/1 TB/Windows 10) price in India</t>
  </si>
  <si>
    <t>Dell G15 5530 (OGN55301106G201RINO) Laptop (Core i5 13th Gen/16 GB/1 TB SSD/Windows 11/6 GB) price in India</t>
  </si>
  <si>
    <t>Dell G15 5530 (OGN55301124G01RIN) Laptop (Core i5 13th Gen/16 GB/512 GB SSD/Windows 11/6 GB) price in India</t>
  </si>
  <si>
    <t>Acer Aspire E E5-576 (UN.GRSSI.005) Laptop (Core i3 7th Gen/4 GB/1 TB/Windows 10) price in India</t>
  </si>
  <si>
    <t>Intel Core i5 (12th Gen) 2.4 Ghz, Deca-Core</t>
  </si>
  <si>
    <t>Asus VivoBook 15 X1502VA-BQ837WS Laptop (Core i7 13th Gen/16 GB/512 GB SSD/Windows 11) price in India</t>
  </si>
  <si>
    <t>Asus VivoBook 15 X1502VA-BQ838WS Laptop (Core i7 13th Gen/16 GB/512 GB SSD/Windows 11) price in India</t>
  </si>
  <si>
    <t>Intel Core i5 (12th Gen) 2.5 Ghz</t>
  </si>
  <si>
    <t>Lenovo IdeaPad Slim 3 14IRU8 (82X6004GIN) Laptop (Core i3 13th Gen/8 GB/512 GB SSD/Windows 11) price in India</t>
  </si>
  <si>
    <t>HP 15-fd0315TU (A4KR7PA) Laptop (Core i5 13th Gen/16 GB/512 GB SSD/Windows 11) price in India</t>
  </si>
  <si>
    <t>Lenovo V15 (82TTA073IN) Laptop (Core i7 12th Gen/16 GB/512 GB SSD/Windows 11) price in India</t>
  </si>
  <si>
    <t>Acer Aspire Lite AL15-52 (UN.AA3SI.03N) Laptop (Core i3 12th Gen/8 GB/512 GB SSD/Windows 11) price in India</t>
  </si>
  <si>
    <t>HP 15-fd0063TU (A33FQPA) Laptop (Core i3 12th Gen/8 GB/512 GB SSD/Windows 11) price in India</t>
  </si>
  <si>
    <t>Asus VivoBook 16 X1605VA-MB5555WS Laptop (Core i5 13th Gen/16 GB/512 GB SSD/Windows 11) price in India</t>
  </si>
  <si>
    <t>Lenovo LOQ 15ARP9 (83JC00EFIN) Laptop (AMD Quad Core Ryzen 5/24 GB/512 GB SSD/Windows 11/6 GB) price in India</t>
  </si>
  <si>
    <t>Asus VivoBook 16 X1607QA-MB049WS Laptop (Qualcomm Snapdragon Octa Core/16 GB/512 GB SSD/Windows 11) price in India</t>
  </si>
  <si>
    <t>Asus VivoBook 16 X1607QA-MB050WS Laptop (Qualcomm Snapdragon Octa Core/16 GB/512 GB SSD/Windows 11) price in India</t>
  </si>
  <si>
    <t>Lenovo IdeaPad 14IGL7 (82V6009TIN) Laptop (Intel Celeron Dual Core/8 GB/512 GB SSD/Windows 11) price in India</t>
  </si>
  <si>
    <t>Asus VivoBook 16 X1605VA-MB1627WS Laptop (Core i5 13th Gen/16 GB/512 GB SSD/Windows 11) price in India</t>
  </si>
  <si>
    <t>HP 15-fd0111TU (A47CYPA) Laptop (Core i5 12th Gen/16 GB/512 GB SSD/Windows 11) price in India</t>
  </si>
  <si>
    <t>Asus VivoBook 16 X1605VA-MB9999WS Laptop (Core i9 13th Gen/16 GB/1 TB SSD/Windows 11) price in India</t>
  </si>
  <si>
    <t>Lenovo LOQ 15IRX9 (83DV00XCIN) Laptop (Core i5 13th Gen/16 GB/512 GB SSD/Windows 11/6 GB) price in India</t>
  </si>
  <si>
    <t>Intel Core i5 (12th Gen) 2.6 Ghz, Deca-Core</t>
  </si>
  <si>
    <t>Lenovo IdeaPad 3 14IAU7 (82RJ00FLIN) Laptop (Core i3 12th Gen/16 GB/512 GB SSD/Windows 11) price in India</t>
  </si>
  <si>
    <t>Intel Core i5 (12th Gen) 3.3 Ghz</t>
  </si>
  <si>
    <t>Asus VivoBook 16 X1605ZAC-MB541WS Laptop (Core i5 12th Gen/16 GB/512 GB SSD/Windows 11) price in India</t>
  </si>
  <si>
    <t>Asus Notebook 12 BR1100FKA-BP1104W Laptop (Intel Celeron Dual Core/4 GB/128 GB SSD/Windows 11) price in India</t>
  </si>
  <si>
    <t>4 GB DDR4 RAM, 128 GB SSD</t>
  </si>
  <si>
    <t>11.6" (29.46 cm), 1366 x 768 px Display</t>
  </si>
  <si>
    <t>Slim 20.0 mm</t>
  </si>
  <si>
    <t>Asus Expertbook P5 P5405CSA-NZ0583WS Laptop (Core Ultra 5 Series 2 /16 GB/1 TB SSD/Windows 11) price in India</t>
  </si>
  <si>
    <t>14" (35.56 cm), 2560 x 1600 px Display</t>
  </si>
  <si>
    <t>HP 15-bg003au (Z1D90PA) Laptop (AMD Quad Core E2/4 GB/500 GB/DOS) price in India</t>
  </si>
  <si>
    <t>Intel Core i5 (12th Gen) 3.3 Ghz, Deca-Core</t>
  </si>
  <si>
    <t>4 GB DDR3 RAM, 500 GB HDD</t>
  </si>
  <si>
    <t>Asus VivoBook 15 X1500EA-EJ121WS Laptop (Intel Pentium Gold/8 GB/512 GB SSD/Windows 11) price in India</t>
  </si>
  <si>
    <t>15" (38.1 cm), 1920 x 1080 px Display</t>
  </si>
  <si>
    <t>Acer Aspire Lite AL15-52 (UN.431SI.359) Laptop (Core i3 12th Gen/16 GB/512 GB SSD/Windows 11) price in India</t>
  </si>
  <si>
    <t>HP 15s-du0051TU (6YE07PA) Laptop (Core i5 8th Gen/8 GB/1 TB/Windows 10) price in India</t>
  </si>
  <si>
    <t>Dell Inspiron 15 (IN3520CM22P001ORB1) Laptop (Core i5 12th Gen/8 GB/512 GB SSD/Windows 11) price in India</t>
  </si>
  <si>
    <t>15" (38.1 cm), 1920 x 1080 px, IPS LCD Display</t>
  </si>
  <si>
    <t>Lenovo V15 (82KBA033IH) Laptop (Core i3 11th Gen/8 GB/512 GB SSD/Windows 11) price in India</t>
  </si>
  <si>
    <t>Lenovo ThinkBook 14s Yoga (20WEA01GIH) Laptop (Core i5 11th Gen/8 GB/512 GB SSD/Windows 10) price in India</t>
  </si>
  <si>
    <t>HP 15q-bu040tu (4TS72PA) Laptop (Core i3 7th Gen/4 GB/1 TB/Windows 10) price in India</t>
  </si>
  <si>
    <t>Lenovo IdeaPad 3 15IAU7 (82RK011FIN) Laptop (Core i7 12th Gen/16 GB/512 GB SSD/Windows 11) price in India</t>
  </si>
  <si>
    <t>Dell Inspiron 16 5630 (IN5630MV7F4001ORS1) Laptop (Core i7 13th Gen/16 GB/1 TB SSD/Windows 11) price in India</t>
  </si>
  <si>
    <t>Dell G15 5530 (OGN5530110601RIN) Laptop (Core i5 13th Gen/16 GB/1 TB SSD/Windows 11/6 GB) price in India</t>
  </si>
  <si>
    <t>Lenovo Ideapad Gaming 3 15ACH6 (82K201V2IN) Laptop (AMD Octa Core Ryzen 7/8 GB/512 GB SSD/Windows 11/4 GB) price in India</t>
  </si>
  <si>
    <t>Asus Chromebook C423NA-EC0521 Laptop (Celeron Dual Core/4 GB/64 GB SSD/Google Chrome) price in India</t>
  </si>
  <si>
    <t>4 GB LPDDR4 RAM, 64 GB SSD</t>
  </si>
  <si>
    <t>HP 15-bs615tu (3EJ43PA) Laptop (Core i3 6th Gen/4 GB/2 TB/DOS) price in India</t>
  </si>
  <si>
    <t>4 GB DDR4 RAM, 2 TB HDD</t>
  </si>
  <si>
    <t>Dell Inspiron 15 5578 (A564106SIN9) Laptop (Core i3 7th Gen/4 GB/1 TB/Windows 10) price in India</t>
  </si>
  <si>
    <t>Slim 20.2 mm</t>
  </si>
  <si>
    <t>HP 15q-bu039tu (4TS70PA) Laptop (Core i3 7th Gen/4 GB/1 TB/Windows 10) price in India</t>
  </si>
  <si>
    <t>HP 15q-bu008tx (2TZ24PA) Laptop (Core i3 6th Gen/4 GB/1 TB/DOS) price in India</t>
  </si>
  <si>
    <t>HP 15Q-by008AU (4FV83PA) Laptop (AMD Dual Core A6/4 GB/1 TB/Windows 10) price in India</t>
  </si>
  <si>
    <t>Dell Inspiron 14 5440 (OIN5440340501RINU1O) Laptop (Core i5 13th Gen/16 GB/1 TB SSD/Windows 11) price in India</t>
  </si>
  <si>
    <t>Dell G15-5525 (D560817WIN9B) Laptop (AMD Hexa Core Ryzen 5/8 GB/512 GB SSD/Windows 11/4 GB) price in India</t>
  </si>
  <si>
    <t>Lenovo Ideapad Slim 3i 15IML05 (81WB01BJIN) Laptop (Core i5 10th Gen/8 GB/512 GB SSD/Windows 10) price in India</t>
  </si>
  <si>
    <t>Intel Core i5 (12th Gen) 3.3 Ghz, Octa-Core</t>
  </si>
  <si>
    <t>HP Pavilion Gaming 15-ec0098ax (2Z324PA) Laptop (AMD Quad Core Ryzen 5/8 GB/1 TB/Windows 10/3 GB) price in India</t>
  </si>
  <si>
    <t>Acer Nitro 5 AN517-51 (NH.Q5CSI.003) Laptop (Core i7 9th Gen/8 GB/1 TB 256 GB SSD/Windows 10/4 GB) price in India</t>
  </si>
  <si>
    <t>HP Pavilion 15-cc134Tx (3CW27PA) Laptop (Core i7 8th Gen/8 GB/2 TB/Windows 10/4 GB) price in India</t>
  </si>
  <si>
    <t>Dell Inspiron 15 5570 (A560502WIN9) Laptop (Core i5 8th Gen/8 GB/2 TB/Windows 10/4 GB) price in India</t>
  </si>
  <si>
    <t>Lenovo IdeaPad Slim 5 16IRL8 (82XF007FIN) Laptop (Core i7 13th Gen/16 GB/1 TB SSD/Windows 11) price in India</t>
  </si>
  <si>
    <t>Infinix Zero Book Ultra AI PC ZL514 (71008301680) Laptop (Core Ultra 5/16 GB/512 GB SSD/Windows 11) price in India</t>
  </si>
  <si>
    <t>HP 14-gr1023TU (A4VJ1PA) Laptop (Core Ultra 7/16 GB/512 GB SSD/Windows 11) price in India</t>
  </si>
  <si>
    <t>Asus TUF Gaming A15 FA566NFR-HN045WS Laptop (AMD Octa Core Ryzen 7/16 GB/512 GB SSD/Windows 11/4 GB) price in India</t>
  </si>
  <si>
    <t>Lenovo LOQ 15IAX9I (83FQ000EIN) Laptop (Core i5 12th Gen/8 GB/512 GB SSD/Windows 11/4 GB) price in India</t>
  </si>
  <si>
    <t>HP Victus Special Edition (A9NC2PA) Laptop (Core i5 12th Gen/16 GB/512 GB SSD/Windows 11/4 GB RTX) price in India</t>
  </si>
  <si>
    <t>HP Pavilion 16-AF0015TU (A00V8PA) Laptop (Core Ultra 5/16 GB/512 GB SSD/Windows 11) price in India</t>
  </si>
  <si>
    <t>Dell Vostro 3510 (ICC-D585041WIN8) Laptop (Core i3 10th Gen/8 GB/1 TB 256 GB SSD/Windows 11) price in India</t>
  </si>
  <si>
    <t>Lenovo ThinkBook 16 Gen 6 (21KHA0J5IN) Laptop (Core i3 13th Gen/8 GB/512 GB SSD/Windows 11) price in India</t>
  </si>
  <si>
    <t>Dell G15-5530 (GN553064GRM001ORB1) Laptop (Core i5 13th Gen/8 GB/512 GB SSD/Windows 11/6 GB) price in India</t>
  </si>
  <si>
    <t>MSI Modern 14 H D13MG-072IN Laptop (Core i7 13th Gen/16 GB/1 TB SSD/Windows 11) price in India</t>
  </si>
  <si>
    <t>Lenovo ThinkBook 15 G5 (21JFA02KIN) Laptop (AMD Hexa Core Ryzen 5/16 GB/512 GB SSD/Windows 11) price in India</t>
  </si>
  <si>
    <t>Lenovo Ideapad Slim 1 15AMN7 (82VG00JJIN) Laptop (AMD Quad Core Ryzen 3/8 GB/512 GB SSD/Windows 11) price in India</t>
  </si>
  <si>
    <t>Lenovo LOQ (82XV00F4IN) Laptop (Core i5 12th Gen/16 GB/512 GB SSD/Windows 11/4 GB) price in India</t>
  </si>
  <si>
    <t>Intel Core i5 (12th Gen) 3.4 Ghz, Deca-Core</t>
  </si>
  <si>
    <t>Infinix Inbook Y2 Plus XL29 Laptop (Core i3 11th Gen/8 GB/512 GB SSD/Windows 11) price in India</t>
  </si>
  <si>
    <t>Lenovo Ideapad Slim 3 15IAU7 (82RK011DIN) Laptop (Core i3 12th Gen/8 GB/256 GB SSD/Windows 11) price in India</t>
  </si>
  <si>
    <t>Intel Core i5 (12th Gen) 4.2 Ghz</t>
  </si>
  <si>
    <t>Lenovo V15 G4 (82YUA017IN) Laptop (AMD Dual Core Athlon/8 GB/512 GB SSD/Windows 11) price in India</t>
  </si>
  <si>
    <t>Dell Inspiron 15 3530 (IN3530RMD8W001ORS1) Laptop (Core i5 13th Gen/16 GB/1 TB SSD/Windows 11) price in India</t>
  </si>
  <si>
    <t>Intel Core i5 (12th Gen) 4.2 Ghz, Deca-Core</t>
  </si>
  <si>
    <t>Lenovo Ideapad Gaming 3 (82K20289IN) Laptop (AMD Quad Core Ryzen 5/8 GB/512 GB SSD/Windows 11/4 GB) price in India</t>
  </si>
  <si>
    <t>HP 250 G9 (724X2EA) Laptop (Core i3 12th Gen/8 GB/256 GB SSD/Windows 11) price in India</t>
  </si>
  <si>
    <t>HP 250 G9 (7M657PA) Laptop (Core i3 12th Gen/8 GB/512 GB SSD/Windows 11) price in India</t>
  </si>
  <si>
    <t>Lenovo Ideapad Slim 3i (82RK00VWIN) Laptop (Core i3 12th Gen/8 GB/512 GB SSD/Windows 11) price in India</t>
  </si>
  <si>
    <t>Wings Nuvobook V1 Laptop (Core i5 11th Gen/8 GB/512 GB SSD/Windows 11) price in India</t>
  </si>
  <si>
    <t>15.6" (39.62 cm), 1920 x 1020 px, IPS LCD Display</t>
  </si>
  <si>
    <t>Wings Nuvobook S1 Laptop (Core i3 11th Gen/8 GB/256 GB SSD/Windows 11) price in India</t>
  </si>
  <si>
    <t>Wings Nuvobook Pro Laptop (Core i7 11th Gen/16 GB/512 GB SSD/Windows 11) price in India</t>
  </si>
  <si>
    <t>Slim 16.3 mm</t>
  </si>
  <si>
    <t>Wings Nuvobook S2 Laptop (Core i3 11th Gen/8 GB/512 GB SSD/Windows 11) price in India</t>
  </si>
  <si>
    <t>Lenovo V15 G3 (82TTA00UIH) Laptop (Core i3 12th Gen/8 GB/512 GB SSD/DOS) price in India</t>
  </si>
  <si>
    <t>Lenovo V15 G3 (82TTA08AIN) Laptop (Core i7 12th Gen/16 GB/512 GB SSD/Windows 11) price in India</t>
  </si>
  <si>
    <t>Lenovo Yoga 6 13ABR8 (83B2007UIN) Laptop (AMD Octa Core Ryzen 7/16 GB/1 TB SSD/Windows 11) price in India</t>
  </si>
  <si>
    <t>HP Victus 15-fb0131AX (87B77PA) Laptop (AMD Hexa Core Ryzen 5/8 GB/512 GB SSD/Windows 11/4 GB) price in India</t>
  </si>
  <si>
    <t>Dell Inspiron 15 3520 (IN352092K4N001ORS1) Laptop (Core i5 12th Gen/16 GB/512 GB SSD/Windows 11) price in India</t>
  </si>
  <si>
    <t>Asus VivoBook 16 X1605VA-MB946WS Laptop (Core i9 13th Gen/16 GB/512 GB SSD/Windows 11) price in India</t>
  </si>
  <si>
    <t>Dell Inspiron 15 3530 (IN3530RW8JY001ORS1) Laptop (Core i5 13th Gen/8 GB/1 TB SSD/Windows 11) price in India</t>
  </si>
  <si>
    <t>HP Victus 15-fb1001AX (8L083PA) Laptop (AMD Hexa Core Ryzen 5/8 GB/512 GB SSD/Windows 11/4 GB) price in India</t>
  </si>
  <si>
    <t>Lenovo Ideapad Gaming 3 (82K2028AIN) Laptop (AMD Quad Core Ryzen 5/8 GB/512 GB SSD/Windows 11/4 GB) price in India</t>
  </si>
  <si>
    <t>Lenovo Ideapad Gaming 3i 15IHU6 (82K101PBIN) Laptop (Core i5 11th Gen/8 GB/512 GB SSD/Windows 11/4 GB) price in India</t>
  </si>
  <si>
    <t>Lenovo ThinkBook 15 G4 (21DJA0Y0IN) Laptop (Core i7 12th Gen/16 GB/512 GB SSD/Windows 11) price in India</t>
  </si>
  <si>
    <t>Acer Travelmate TMP214-41-G3 (UN.VSQSI.007) Laptop (AMD Hexa Core Ryzen 5/16 GB/512 GB SSD/Windows 11) price in India</t>
  </si>
  <si>
    <t>14" (35.56 cm), 1366 x 768 px Display</t>
  </si>
  <si>
    <t>Acer Travelmate TMP214-41-G3 (UN.VSQSI.006) Laptop (AMD Hexa Core Ryzen 5/8 GB/512 GB SSD/Windows 11) price in India</t>
  </si>
  <si>
    <t>Intel Core i5 (12th Gen) 4.2 Ghz, Octa-Core</t>
  </si>
  <si>
    <t>Lenovo ThinkBook 15 (21DJA049IH) Laptop (Core i5 12th Gen/8 GB/512 GB SSD/Windows 11) price in India</t>
  </si>
  <si>
    <t>Lenovo LOQ 15APH8 (82XT004JIN) Laptop (AMD Octa Core Ryzen 7/16 GB/512 GB SSD/Windows 11/6 GB) price in India</t>
  </si>
  <si>
    <t>Infinix INBook X2 Plus XL25 Laptop (Core i7 11th Gen/16 GB/1 TB SSD/Windows 11) price in India</t>
  </si>
  <si>
    <t>Lenovo Ideapad Slim 5i 14IRL8 (82XD0040IN) Laptop (Core i7 13th Gen/16 GB/512 GB SSD/Windows 11) price in India</t>
  </si>
  <si>
    <t>Lenovo IdeaPad Flex 5 14ABR8 (82XX007KIN) Laptop (AMD Hexa Core Ryzen 5/16 GB/512 GB SSD/Windows 11) price in India</t>
  </si>
  <si>
    <t>Intel Core i5 (12th Gen) 4.4 Ghz</t>
  </si>
  <si>
    <t>Lenovo Ideapad Slim 5 16IRL8 (82XF003GIN) Laptop (Core i5 13th Gen/16 GB/512 GB SSD/Windows 11) price in India</t>
  </si>
  <si>
    <t>Lenovo Ideapad Slim 5 16IRL8 (82XF003JIN) Laptop (Core i7 13th Gen/16 GB/512 GB SSD/Windows 11) price in India</t>
  </si>
  <si>
    <t>Intel Core i5 (12th Gen) 4.4 Ghz, Deca-Core</t>
  </si>
  <si>
    <t>Infinix Zero Book 13 ZL513 Laptop (Core i7 13th Gen/16 GB/512 GB SSD/Windows 11) price in India</t>
  </si>
  <si>
    <t>Infinix Zero Book 13 ZL513 Laptop (Core i5 13th Gen/16 GB/512 GB SSD/Windows 11) price in India</t>
  </si>
  <si>
    <t>MSI Modern 14 C12M-459IN Laptop (Core i7 12th Gen/16 GB/512 GB SSD/Windows 11) price in India</t>
  </si>
  <si>
    <t>Lenovo Ideapad Gaming 3 15ARH7 (82SB00NXIN) Laptop (AMD Hexa Core Ryzen 5/16 GB/512 GB SSD/Windows 11/4 GB) price in India</t>
  </si>
  <si>
    <t>Asus VivoBook 15 X1504ZA-NJ521WS Laptop (Core i5 12th Gen/8 GB/512 GB SSD/Windows 11) price in India</t>
  </si>
  <si>
    <t>Asus VivoBook 15 X515EA-EJ328WS Laptop (Core i3 11th Gen/8 GB/512 GB SSD/Windows 11) price in India</t>
  </si>
  <si>
    <t>HP 15s-ey1509AU (832R0PA) Laptop (AMD Dual Core Athlon/8 GB/512 GB SSD/Windows 11) price in India</t>
  </si>
  <si>
    <t>Infinix INBook X2 Slim XL23 Laptop (Core i3 11th Gen/8 GB/512 GB SSD/Windows 11) price in India</t>
  </si>
  <si>
    <t>Lenovo Thinkpad E14 Gen 5 (21JRS00T00) Laptop (AMD Hexa Core Ryzen 5/8 GB/512 GB SSD/Windows 11) price in India</t>
  </si>
  <si>
    <t>HP ProBook 445 G8 (7K2K0PA) Laptop (AMD Octa Core Ryzen 7/8 GB/512 GB SSD/DOS) price in India</t>
  </si>
  <si>
    <t>HP 15-fd0019TU (7Q6Z0PA) Laptop (Core i3 13th Gen/8 GB/512 GB SSD/Windows 11) price in India</t>
  </si>
  <si>
    <t>MSI GF63 Thin 11SC-1401IN Laptop (Core i5 11th Gen/8 GB/512 GB SSD/Windows 11/4 GB) price in India</t>
  </si>
  <si>
    <t>HP 15-fc0031AU (7L035PA) Laptop (AMD Quad Core Ryzen 5/16 GB/512 GB SSD/Windows 11) price in India</t>
  </si>
  <si>
    <t>Asus VivoBook S15 OLED S5504VA-MA953WS Laptop (Core i9 13th Gen/16 GB/1 TB SSD/Windows 11) price in India</t>
  </si>
  <si>
    <t>Dell G15-5530 (GN5530D83M6001ORB1) Laptop (Core i5 13th Gen/16 GB/512 GB SSD/Windows 11/6 GB) price in India</t>
  </si>
  <si>
    <t>Asus Vivobook 15X K3504VAB-NJ541WS Laptop (Core i5 13th Gen/16 GB/512 GB SSD/Windows 11) price in India</t>
  </si>
  <si>
    <t>MSI Modern 15 B13M-290IN Laptop (Core i7 13th Gen/8 GB/512 GB SSD/Windows 11) price in India</t>
  </si>
  <si>
    <t>MSI Modern 14 C13M-435IN Laptop (Core i7 13th Gen/16 GB/512 GB SSD/Windows 11) price in India</t>
  </si>
  <si>
    <t>Dell Vostro 3425 (M552321WIN9S) Laptop (AMD Hexa Core Ryzen 5/16 GB/512 GB SSD/Windows 11) price in India</t>
  </si>
  <si>
    <t>14" (35.56 cm), x px, IPS LCD Display</t>
  </si>
  <si>
    <t>Lenovo V15 (82TTA00VIH) Laptop (Core i3 12th Gen/8 GB/512 GB SSD/Windows 11) price in India</t>
  </si>
  <si>
    <t>HP Pavilion Aero 13-be2055AU (7S458PA) Laptop (AMD Hexa Core Ryzen 5/16 GB/512 GB SSD/Windows 11) price in India</t>
  </si>
  <si>
    <t>HP Pavilion Aero 13-be2056AU (7S459PA) Laptop (AMD Hexa Core Ryzen 5/16 GB/512 GB SSD/Windows 11) price in India</t>
  </si>
  <si>
    <t>MSI Modern 15 B13M-288IN Laptop (Core i7 13th Gen/16 GB/512 GB SSD/Windows 11) price in India</t>
  </si>
  <si>
    <t>MSI Modern 14 C13M-438IN Laptop (Core i3 13th Gen/8 GB/512 GB SSD/Windows 11) price in India</t>
  </si>
  <si>
    <t>MSI Prestige 13 Intel Evo A13M-063IN Laptop (Core i7 13th Gen/16 GB/1 TB SSD/Windows 11) price in India</t>
  </si>
  <si>
    <t>Acer Extensa EX215-23 (NX.EH3SI.003) Laptop (AMD Quad Core Ryzen 5/8 GB/512 GB SSD/Windows 11) price in India</t>
  </si>
  <si>
    <t>MSI Katana 17 B13UDXK-255IN Laptop (Core i7 13th Gen/16 GB/512 GB SSD/Windows 11/6 GB) price in India</t>
  </si>
  <si>
    <t>Asus VivoBook 14 X1402ZA-EK312WS Laptop (Core i3 12th Gen/8 GB/512 GB SSD/Windows 11) price in India</t>
  </si>
  <si>
    <t>HP 245 G8 (689T3PA) Laptop (AMD Dual Core Ryzen 3/8 GB/512 GB SSD/Windows 11) price in India</t>
  </si>
  <si>
    <t>HP Envy x360 Intel Evo 15-ew0043TU (7F692PA) Laptop (Core i5 12th Gen/16 GB/512 GB SSD/Windows 11) price in India</t>
  </si>
  <si>
    <t>HP Pavilion x360 14-ek1010TU (7N760PA) Laptop (Core i5 13th Gen/16 GB/1 TB SSD/Windows 11) price in India</t>
  </si>
  <si>
    <t>HP 15s-eq2213AU (7G6H2PA) Laptop (AMD Quad Core Ryzen 3/8 GB/512 GB SSD/Windows 11) price in India</t>
  </si>
  <si>
    <t>Lenovo Legion 5 Pro 16ARH7H (82RG00ELIN) Laptop (AMD Octa Core Ryzen 7/16 GB/1 TB SSD/Windows 11/6 GB) price in India</t>
  </si>
  <si>
    <t>Dell Inspiron 14 7420 (D560903WIN9S) Laptop (Core i5 12th Gen/8 GB/512 GB SSD/Windows 11) price in India</t>
  </si>
  <si>
    <t>Intel Core i5 (12th Gen) 4.4 Ghz, Octa-Core</t>
  </si>
  <si>
    <t>HP Pavilion x360 14-ek0137TU (7C273PA) Laptop (Core i3 12th Gen/8 GB/512 GB SSD/Windows 11) price in India</t>
  </si>
  <si>
    <t>Dell Vostro 3510 (ICC-D585031WIN8) Laptop (Core i3 10th Gen/8 GB/1 TB 256 GB SSD/Windows 11) price in India</t>
  </si>
  <si>
    <t>Lenovo Ideapad Gaming 3i 15IHU6 (82K1004EIN) Laptop (Core i7 11th Gen/8 GB/512 GB SSD/Windows 10/4 GB) price in India</t>
  </si>
  <si>
    <t>Asus VivoBook 15 X1502ZA-EJ381WS Laptop (Core i3 12th Gen/8 GB/512 GB SSD/Windows 11) price in India</t>
  </si>
  <si>
    <t>Infinix INBook X2 Plus XL25 Laptop (Core i5 11th Gen/8 GB/512 GB SSD/Windows 11) price in India</t>
  </si>
  <si>
    <t>Dell G15-5520 (D560897WIN9S) Laptop (Core i9 12th Gen/16 GB/1 TB SSD/Windows 11/6 GB) price in India</t>
  </si>
  <si>
    <t>Gigabyte G5 MD-51IN123SE (RC45MD) Laptop (Core i5 11th Gen/16 GB/512 GB SSD/Windows 11/4 GB) price in India</t>
  </si>
  <si>
    <t>Lenovo V15 (82KDA00XIH) Laptop (AMD Hexa Core Ryzen 5/8 GB/512 GB SSD/Windows 11) price in India</t>
  </si>
  <si>
    <t>Dell Inspiron 15 3520 (D560896WIN9B) Laptop (Core i3 12th Gen/8 GB/512 GB SSD/Windows 11) price in India</t>
  </si>
  <si>
    <t>Dell Inspiron 13 5320 (D560853WIN9S) Laptop (Core i5 12th Gen/16 GB/512 GB SSD/Windows 11) price in India</t>
  </si>
  <si>
    <t>Lenovo Ideapad Gaming 3 Gen 6 (82K201UEIN) Laptop (AMD Hexa Core Ryzen 5/8 GB/512 GB SSD/Windows 11/4 GB) price in India</t>
  </si>
  <si>
    <t>HP Pavilion x360 14-ek0074TU (6Q0Y9PA) Laptop (Core i5 12th Gen/16 GB/512 GB SSD/Windows 11) price in India</t>
  </si>
  <si>
    <t>Asus VivoBook 15 X515JA-EJ382WS Laptop (Core i3 10th Gen/8 GB/512 GB SSD/Windows 11) price in India</t>
  </si>
  <si>
    <t>Lenovo Ideapad Slim 3 (81X800LCIN) Laptop (Core i3 11th Gen/8 GB/256 GB SSD/Windows 11) price in India</t>
  </si>
  <si>
    <t>HP Victus 15-fa0351TX (6N029PA) Laptop (Core i7 12th Gen/8 GB/512 GB SSD/Windows 11/4 GB) price in India</t>
  </si>
  <si>
    <t>Lenovo Ideapad Slim 3i (81X800LAIN) Laptop (Core i3 11th Gen/8 GB/512 GB SSD/Windows 11) price in India</t>
  </si>
  <si>
    <t>Asus VivoBook Pro 15 OLED M3500QC-L901WS Laptop (AMD Octa Core Ryzen 9/16 GB/1 TB SSD/Windows 11/4 GB) price in India</t>
  </si>
  <si>
    <t>HP 255 G8 (689T4PA) Laptop (AMD Dual Core Ryzen 3/8 GB/512 GB SSD/Windows 11) price in India</t>
  </si>
  <si>
    <t>Lenovo Ideapad Slim 3i (82RJ0040IN) Laptop (Core i3 12th Gen/8 GB/512 GB SSD/Windows 11) price in India</t>
  </si>
  <si>
    <t>Lenovo Ideapad Flex 5i (82R70068IN) Laptop (Core i5 12th Gen/8 GB/512 GB SSD/Windows 11) price in India</t>
  </si>
  <si>
    <t>HP 14s-fq0568AU (6C4A9PA) Laptop (AMD Dual Core Athlon/8 GB/256 GB SSD/Windows 11) price in India</t>
  </si>
  <si>
    <t>HP 14s-dy5005TU Laptop (Core i5 12th Gen/16 GB/512 GB SSD/Windows 11) price in India</t>
  </si>
  <si>
    <t>14" (35.56 cm), 1920 x 1080 px, OLED Display</t>
  </si>
  <si>
    <t>Lenovo Ideapad Slim 3i (82RK0085IN) Laptop (Core i5 12th Gen/16 GB/512 GB SSD/Windows 11) price in India</t>
  </si>
  <si>
    <t>HP Envy 13 x360 Intel Evo 13-bf0059TU (6K7X2PA) Laptop (Core i7 12th Gen/16 GB/512 GB SSD/Windows 11) price in India</t>
  </si>
  <si>
    <t>Asus Chromebook Flip C214MA-BU0704 Laptop (Intel Celeron Dual Core/4 GB/32 GB eMMC/Google Chrome) price in India</t>
  </si>
  <si>
    <t>Slim 20.1 mm</t>
  </si>
  <si>
    <t>Dell Inspiron 15 3511 (D560841WIN9S) Laptop (Core i3 11th Gen/8 GB/1 TB 256 GB SSD/Windows 11) price in India</t>
  </si>
  <si>
    <t>Lenovo Ideapad Gaming 3 15IHU6 (82K10198IN) Laptop (Core i5 11th Gen/8 GB/512 GB SSD/Windows 11/4 GB) price in India</t>
  </si>
  <si>
    <t>Intel Core i5 (12th Gen) 4.5 Ghz</t>
  </si>
  <si>
    <t>Dell Vostro 3400 (D552221WIN9BE) Laptop (Core i3 11th Gen/4 GB/1 TB 256 GB SSD/Windows 11) price in India</t>
  </si>
  <si>
    <t>Lenovo Ideapad Slim 3i 15ITL6 (82H801LHIN) Laptop (Core i3 11th Gen/8 GB/512 GB SSD/Windows 11) price in India</t>
  </si>
  <si>
    <t>Asus ROG Zephyrus G14 GA402RJZ-L4135WS Laptop (AMD Octa Core Ryzen 7/16 GB/1 TB SSD/Windows 11/8 GB) price in India</t>
  </si>
  <si>
    <t>Dell Vostro 3400 (D552260WIN9D) Laptop (Core i5 11th Gen/8 GB/512 GB SSD/Windows 11) price in India</t>
  </si>
  <si>
    <t>Asus VivoBook 15 X512DA-BQ302WS Laptop (AMD Dual Core Ryzen 3/8 GB/256 GB SSD/Windows 11) price in India</t>
  </si>
  <si>
    <t>Lenovo Ideapad Gaming 3 Gen 6 (82K201UNIN) Laptop (AMD Octa Core Ryzen 7/16 GB/512 GB SSD/Windows 11/6 GB) price in India</t>
  </si>
  <si>
    <t>Asus ROG Flow Z13 GZ301ZA-LD049WS Laptop (Core i5 12th Gen/16 GB/512 GB SSD/Windows 11) price in India</t>
  </si>
  <si>
    <t>Slim 12.0 mm</t>
  </si>
  <si>
    <t>Infinix INBook X1 Slim XL21 Laptop (Core i7 10th Gen/16 GB/512 GB SSD/Windows 11/128 MB) price in India</t>
  </si>
  <si>
    <t>Infinix INBook X1 Slim XL21 Laptop (Core i5 10th Gen/8 GB/512 GB SSD/Windows 11/128 MB) price in India</t>
  </si>
  <si>
    <t>Intel Core i5 (12th Gen) 4.7 Ghz</t>
  </si>
  <si>
    <t>Acer Aspire Lite AL15-53 (UN.34ESI.00D) Laptop (Core i3 13th Gen/16 GB/512 GB SSD/Windows 11) price in India</t>
  </si>
  <si>
    <t>15.6" (39.62 cm), 1920 x 1080 px, TFT Display</t>
  </si>
  <si>
    <t>Asus ExpertBook P1 P1403CVA-S60938WS Laptop (Core i3 13th Gen/16 GB/512 GB SSD/Windows 11) price in India</t>
  </si>
  <si>
    <t>Asus ExpertBook P1 P1503CVA-S71074WS Laptop (Core i3 13th Gen/16 GB/512 GB SSD/Windows 11) price in India</t>
  </si>
  <si>
    <t>Asus ExpertBook P1 P1503CVA-S70501WS Laptop (Core i3 13th Gen/8 GB/512 GB SSD/Windows 11) price in India</t>
  </si>
  <si>
    <t>Intel Core i5 (12th Gen) 4.7 Ghz, Deca-Core</t>
  </si>
  <si>
    <t>Asus ExpertBook P1 P1403CVA-S60343WS Laptop (Core i3 13th Gen/8 GB/512 GB SSD/Windows 11) price in India</t>
  </si>
  <si>
    <t>Asus Vivobook Go 15 E1504FA-NJ549WS Laptop (AMD Quad Core Ryzen 5/16 GB/512 GB SSD/Windows 11) price in India</t>
  </si>
  <si>
    <t>Lenovo IdeaPad Slim 3 14IAH8 (83EQ0072IN) Laptop (Core i5 12th Gen/16 GB/512 GB SSD/Windows 11) price in India</t>
  </si>
  <si>
    <t>Lenovo V15 (82TTA07RIH) Laptop (Core i5 12th Gen/16 GB/512 GB SSD/Windows 11) price in India</t>
  </si>
  <si>
    <t>Intel Core i5 (12th Gen) 4.7 Ghz, Octa-Core</t>
  </si>
  <si>
    <t>HP 255 G10 (B1FW9PT) Laptop (AMD Quad Core Ryzen 3/8 GB/512 GB SSD/DOS) price in India</t>
  </si>
  <si>
    <t>Intel Core i5 (13th Gen) 1.5 Ghz, Octa-Core</t>
  </si>
  <si>
    <t>Acer Aspire 3 A325-42 (UN.34QSI.004) Laptop (AMD Octa Core Ryzen 7/16 GB/1 TB SSD/Windows 11) price in India</t>
  </si>
  <si>
    <t>Intel Core i5 (13th Gen) 1.9 Ghz</t>
  </si>
  <si>
    <t>Acer Aspire 3 A325-42 (UN.34QSI.003) Laptop (AMD Octa Core Ryzen 7/16 GB/512 GB SSD/Windows 11) price in India</t>
  </si>
  <si>
    <t>Intel Core i5 (13th Gen) 3.4 Ghz</t>
  </si>
  <si>
    <t>HP Victus 15-fa2703TX (B7GP6PA) Laptop (Core i5 13th Gen/16 GB/512 GB SSD/Windows 11/4 GB) price in India</t>
  </si>
  <si>
    <t>Intel Core i5 (13th Gen) 4.4 Ghz, Deca-Core</t>
  </si>
  <si>
    <t>HP 15-fd0467TU (B61ZHPA) Laptop (Core i5 13th Gen/16 GB/512 GB SSD/Windows 11) price in India</t>
  </si>
  <si>
    <t>Acer Aspire 3 A325-45 (UN.344SI.005) Laptop (Intel Celeron Dual Core/8 GB/256 GB SSD/Windows 11) price in India</t>
  </si>
  <si>
    <t>Intel Core i5 (13th Gen) 4.6 Ghz</t>
  </si>
  <si>
    <t>15.6" (39.62 cm), 1366 x 768 px, TFT LCD Display</t>
  </si>
  <si>
    <t>HP 15-bg005au (1DF77PA) Laptop (AMD Quad Core A6/4 GB/1 TB/DOS) price in India</t>
  </si>
  <si>
    <t>HP 15-bg002AU (Z1D89PA) Laptop (AMD Quad Core A8/4 GB/1 TB/Windows 10) price in India</t>
  </si>
  <si>
    <t>Asus ROG Strix G16 G614JV-N4242WS Laptop (Core i9 13th Gen/16 GB/1 TB SSD/Windows 11/8 GB) price in India</t>
  </si>
  <si>
    <t>HP 15-fd0061TU (A33FPPA) Laptop (Core i3 12th Gen/8 GB/512 GB SSD/Windows 11) price in India</t>
  </si>
  <si>
    <t>Lenovo IdeaPad Slim 3 15IRU8 (82X700C8IN) Laptop (Core i3 13th Gen/8 GB/512 GB SSD/Windows 11) price in India</t>
  </si>
  <si>
    <t>Asus Vivobook 16X K3605ZF-RP458WS Laptop (Core i5 12th Gen/16 GB/512 GB SSD/Windows 11/4 GB) price in India</t>
  </si>
  <si>
    <t>Acer Swift Neo OLED AI PC SFN14-54H (UN.35GSI.002) Laptop (Core Ultra 5/16 GB/512 GB SSD/Windows 11) price in India</t>
  </si>
  <si>
    <t>Acer Swift Neo OLED AI PC SFN14-54H (UN.35GSI.004) Laptop (Core Ultra 5/16 GB/1 TB SSD/Windows 11) price in India</t>
  </si>
  <si>
    <t>Intel Core i5 (13th Gen) 4.6 Ghz, Deca-Core</t>
  </si>
  <si>
    <t>Acer Aspire 3 A324-45 (UN.342SI.003) Laptop (Intel Celeron Dual Core/8 GB/256 GB SSD/Windows 11) price in India</t>
  </si>
  <si>
    <t>Lenovo V15 Gen 4 (83CQ0006IN) Laptop (AMD Quad Core Ryzen 3/8 GB/512 GB SSD/Windows 11) price in India</t>
  </si>
  <si>
    <t>Lenovo IdeaPad 3 15IAU7 (82RK017PIN) Laptop (Core i3 12th Gen/8 GB/512 GB SSD/Windows 11) price in India</t>
  </si>
  <si>
    <t>Lenovo IdeaPad 3 14IAU7 (82RJ00FKIN) Laptop (Core i3 12th Gen/8 GB/512 GB SSD/Windows 11) price in India</t>
  </si>
  <si>
    <t>Asus TUF Gaming A15 FA577RM-HF031WS Laptop (AMD Octa Core Ryzen 7/16 GB/1 TB SSD/Windows 11/6 GB) price in India</t>
  </si>
  <si>
    <t>HP Pavilion 15-au620tx (Z4Q39PA) Laptop (Core i5 7th Gen/8 GB/1 TB/Windows 10/2 GB) price in India</t>
  </si>
  <si>
    <t>Dell Inspiron 15 3525 (D560765WIN9S) Laptop (AMD Dual Core Athlon/8 GB/256 GB SSD/Windows 11) price in India</t>
  </si>
  <si>
    <t>Slim 19.5 mm</t>
  </si>
  <si>
    <t>Asus Zenbook 14 OLED UX3405CA-PZ163WS Laptop (Core Ultra 7/32 GB/1 TB SSD/Windows 11) price in India</t>
  </si>
  <si>
    <t>Asus Zenbook 14 OLED UX3405CA-PZ348WS Laptop (Core Ultra 7/32 GB/1 TB SSD/Windows 11) price in India</t>
  </si>
  <si>
    <t>Asus VivoBook S15 OLED S5504VA-MA943WS Laptop (Core i9 13th Gen/16 GB/512 GB SSD/Windows 11) price in India</t>
  </si>
  <si>
    <t>Asus VivoBook 14 X412DA-EK140T Ultrabook (AMD Quad Core Ryzen 5/8 GB/1 TB/Windows 10) price in India</t>
  </si>
  <si>
    <t>Dell Inspiron 15 3567 (A561208HIN9) Laptop (Core i3 6th Gen/4 GB/1 TB/Windows 10) price in India</t>
  </si>
  <si>
    <t>Asus Vivobook X540YA-XO106T Laptop (AMD Quad Core A8/4 GB/1 TB/Windows 10) price in India</t>
  </si>
  <si>
    <t>HP 15-bs545tu (2EY87PA) Laptop (Pentium Quad Core/4 GB/1 TB/DOS) price in India</t>
  </si>
  <si>
    <t>HP OmniBook 5 16-AG1048AU (BH4K2PA) Laptop (AMD Octa Core Ryzen AI 7/16 GB/512 GB SSD/Windows 11) price in India</t>
  </si>
  <si>
    <t>Apple MacBook Pro M4 MW2V3HN/A Ultrabook (Apple M4/16 GB/1 TB SSD/macOS Sequoia) price in India</t>
  </si>
  <si>
    <t>HP Omen 16-C0138AX (4A3E3PA) Laptop (AMD Octa Core Ryzen 7/16 GB/512 GB SSD/Windows 11/4 GB) price in India</t>
  </si>
  <si>
    <t>Acer Aspire E5-576-31 (NX.GRSSI.001) Laptop (Core i3 6th Gen/4 GB/1 TB/DOS) price in India</t>
  </si>
  <si>
    <t>Asus Vivobook Max X541UJ-GO459 Laptop (Core i3 6th Gen/4 GB/1 TB/Linux/2 GB) price in India</t>
  </si>
  <si>
    <t>Asus Zenbook S 16 OLED UM5606KA-RJ109WS Laptop (AMD Octa Core Ryzen AI 7/24 GB/1 TB SSD/Windows 11) price in India</t>
  </si>
  <si>
    <t>16" (40.64 cm), 2880 x 1800 px, OLED Display</t>
  </si>
  <si>
    <t>Asus Zenbook S 16 OLED UM5606KA-RJ108WS Laptop (AMD Octa Core Ryzen AI 7/24 GB/1 TB SSD/Windows 11) price in India</t>
  </si>
  <si>
    <t>Asus VivoBook 16 X1605VA-MB1628WS Laptop (Core i7 13th Gen/16 GB/512 GB SSD/Windows 11) price in India</t>
  </si>
  <si>
    <t>Lenovo Yoga Pro 7 14ASP9 Gen 9 (83HN0027IN) Laptop (AMD Deca Core Ryzen 9/32 GB/1 TB SSD/Windows 11) price in India</t>
  </si>
  <si>
    <t>Lenovo IdeaPad Slim 3 14AMN8 (82XN006TIN) Laptop (AMD Quad Core Ryzen 5/8 GB/512 SSD/Windows 11) price in India</t>
  </si>
  <si>
    <t>Dell Inspiron 14 7440 (OIC7440134501RINU1) Laptop (Core i5 13th Gen/16 GB/512 GB SSD/Windows 11) price in India</t>
  </si>
  <si>
    <t>HP 240 G9 (6S6U4EA) Laptop (Core i7 12th Gen/16 GB/512 GB SSD/Windows 11) price in India</t>
  </si>
  <si>
    <t>HP 14-gr0001TU (A47CWPA) Laptop (Core i5 13th Gen/16 GB/512 GB SSD/Windows 11) price in India</t>
  </si>
  <si>
    <t>Asus Zenbook 14 Flip OLED UN5401QA-KN511WS Laptop (AMD Hexa Core Ryzen 7/16 GB/512 GB SSD/Windows 11) price in India</t>
  </si>
  <si>
    <t>HP 15q-BY004AU (2TZ87PA) Laptop (AMD Dual Core A6/4 GB/1 TB/DOS) price in India</t>
  </si>
  <si>
    <t>Apple MacBook Pro M4 MX2K3HN/A Ultrabook (Apple M4 Max/36 GB/1 TB SSD/macOS Sequoia) price in India</t>
  </si>
  <si>
    <t>Acer Chromebook CP713-2W (NX.HTZSI.007) Laptop (Core i5 10th Gen/8 GB/64 GB eMMC/Google Chrome) price in India</t>
  </si>
  <si>
    <t>8 GB DDR4 RAM</t>
  </si>
  <si>
    <t>Dell G15 5535 (OGN553549501RIN) Laptop (AMD Hexa Core Ryzen 5/16 GB/1 TB SSD/Windows 11/6 GB) price in India</t>
  </si>
  <si>
    <t>Lenovo ThinkPad E14 Gen 5 (21JKS13J00) Laptop (Core i7 13th Gen/16 GB/1 TB SSD/Windows 11) price in India</t>
  </si>
  <si>
    <t>MSI Modern 15 H C13M-217IN Laptop (Core i7 13th Gen/16 GB/1 TB SSD/Windows 11) price in India</t>
  </si>
  <si>
    <t>Microsoft Surface Pro 11 (ZHY-00032) Laptop (Snapdragon X Plus/16 GB/512 GB SSD/Windows 11) price in India</t>
  </si>
  <si>
    <t>HP Victus Special Edition (A9NC5PA) Laptop (Core i7 12th Gen/16 GB/512 GB SSD/Windows 11/4 GB RTX) price in India</t>
  </si>
  <si>
    <t>HP Victus Special Edition (A9NC8PA) Laptop (Core i7 12th Gen/16 GB/1 TB SSD/Windows 11/4 GB RTX) price in India</t>
  </si>
  <si>
    <t>Dell Vostro 3440 (OVN3440340401RING1) Laptop (Core i5 13th Gen/8 GB/512 GB SSD/Windows 11) price in India</t>
  </si>
  <si>
    <t>HP ZBook Firefly G11 (A1VX6PT) Laptop (Core Ultra 7/16 GB/1 TB SSD/Windows 11/4 GB) price in India</t>
  </si>
  <si>
    <t>Dell G15 5530 (GN5530N7HY001ORB1O) Laptop (Core i5 13th Gen/16 GB/1 TB SSD/Windows 11/6 GB) price in India</t>
  </si>
  <si>
    <t>MSI Cyborg 14 A13UDX-207IN Laptop (Core i5 13th Gen/8 GB/512 GB SSD/Windows 11/6 GB) price in India</t>
  </si>
  <si>
    <t>Dell Vostro 3510 (ICC-D585061WIN8) Laptop (Core i3 11th Gen/8 GB/512 GB SSD/Windows 11) price in India</t>
  </si>
  <si>
    <t>Asus Vivobook Go 15 E510MA-EJ021WS Laptop (Intel Celeron Dual Core/8 GB/512 GB SSD/Windows 11) price in India</t>
  </si>
  <si>
    <t>Samsung Galaxy Book 4 NP750XGJ-KG3IN Laptop (Core i7 13th Gen/16 GB/512 GB SSD/Windows 11) price in India</t>
  </si>
  <si>
    <t>HP Pavilion Plus 14-ew0116TU (9U100PA) Laptop (Core i5 13th Gen/16 GB/512 GB SSD/Windows 11) price in India</t>
  </si>
  <si>
    <t>HP 15-fd0221TU (9D3N1PA) Laptop (Core i5 13th Gen/16 GB/512 GB SSD/Windows 11) price in India</t>
  </si>
  <si>
    <t>HP 15s-fr5010TU (8Q3X5PA) Laptop (Core i5 12th Gen/8 GB/512 GB SSD/Windows 11) price in India</t>
  </si>
  <si>
    <t>Lenovo Ideapad Slim 3i 15IAH8 (83ER008GIN) Laptop (Core i5 12th Gen/16 GB/512 GB SSD/Windows 11) price in India</t>
  </si>
  <si>
    <t>Lenovo ThinkBook 14 G6 (21KG00AFIN) Laptop (Core i3 13th Gen/8 GB/512 GB SSD/Windows 11) price in India</t>
  </si>
  <si>
    <t>HP Victus 16-s0089AX (8L7Y4PA) Laptop (AMD Octa Core Ryzen 7/16 GB/1 TB SSD/Windows 11/6 GB) price in India</t>
  </si>
  <si>
    <t>Asus VivoBook 15 X1504ZA-NJ541WS Laptop (Core i5 12th Gen/16 GB/512 GB SSD/Windows 11) price in India</t>
  </si>
  <si>
    <t>HP Victus 15-fa1124TX (8U1H3PA) Laptop (Core i5 12th Gen/8 GB/512 GB SSD/Windows 11/4 GB) price in India</t>
  </si>
  <si>
    <t>Microsoft Surface Go 3 (XK1-00045) Laptop (Core i5 12th Gen/8 GB/256 GB SSD/Windows 11) price in India</t>
  </si>
  <si>
    <t>12.4" (31.5 cm), 1536 x 1024 px, LED Display</t>
  </si>
  <si>
    <t>Dell Inspiron 15 3520 (IN3520P9K46002ORS1) Laptop (Core i3 12th Gen/8 GB/512 GB SSD/Windows 11) price in India</t>
  </si>
  <si>
    <t>Gigabyte G5 MF-E2IN313SH Laptop (Core i5 12th Gen/8 GB/512 GB SSD/Windows 11/6 GB) price in India</t>
  </si>
  <si>
    <t>HP Omen 16-XD0007ax (90L48PA) Laptop (AMD Octa Core Ryzen 7/16 GB/1 TB SSD/Windows 11/6 GB) price in India</t>
  </si>
  <si>
    <t>HP Pavilion 14-ey0789AU (92U77PA) Laptop (AMD Octa Core Ryzen 7/16 GB/1 TB SSD/Windows 11) price in India</t>
  </si>
  <si>
    <t>Asus VivoBook Go 14 E410KA-EK013W Laptop (Intel Celeron Dual Core/8 GB/256 GB SSD/Windows 11) price in India</t>
  </si>
  <si>
    <t>Asus VivoBook 14 X1404VA-NK521WS Laptop (Core i5 13th Gen/8 GB/512 GB SSD/Windows 11) price in India</t>
  </si>
  <si>
    <t>HP 15s-fq5185TU (7Q6Z7PA) Laptop (Core i3 12th Gen/8 GB/512 GB SSD/Windows 11) price in India</t>
  </si>
  <si>
    <t>Acer Nitro V ANV15-51 (UN.QN8SI.001) Laptop (Core i5 13th Gen/16 GB/512 GB SSD/Windows 11/6 GB) price in India</t>
  </si>
  <si>
    <t>HP 14-em0025AU (7N8C2PA) Laptop (AMD Quad Core Ryzen 3/8 GB/512 GB SSD/Windows 11) price in India</t>
  </si>
  <si>
    <t>HP 255 G9 (841W6PA) Laptop (AMD Dual Core Ryzen 3/8 GB/512 GB SSD/DOS) price in India</t>
  </si>
  <si>
    <t>Fujitsu CH 4ZR1L82433 Laptop (Core i5 13th Gen/16 GB/512 GB SSD/Windows 11) price in India</t>
  </si>
  <si>
    <t>Lenovo Legion Pro 5 16IRX8 (82WK00LNIN) Laptop (Core i7 13th Gen/32 GB/1 TB SSD/Windows 11/8 GB) price in India</t>
  </si>
  <si>
    <t>Lenovo ThinkBook 15 G5 (21JFA00BIN) Laptop (AMD Octa Core Ryzen 7/8 GB/512 GB SSD/Windows 11) price in India</t>
  </si>
  <si>
    <t>Lenovo Thinkpad P14s Gen3 (21AKS02800) Laptop (Core i7 12th Gen/16 GB/512 GB SSD/Windows 11/4 GB) price in India</t>
  </si>
  <si>
    <t>Asus VivoBook Go 15 E510MA-EJ001W Laptop (Intel Celeron Dual Core/4 GB/256 GB SSD/Windows 11) price in India</t>
  </si>
  <si>
    <t>Asus VivoBook 14 X1404ZA-NK322WS Laptop (Core i3 12th Gen/8 GB/512 GB SSD/Windows 11) price in India</t>
  </si>
  <si>
    <t>Asus VivoBook 15 X1504ZA-NJ321WS Laptop (Core i3 12th Gen/8 GB/512 GB SSD/Windows 11) price in India</t>
  </si>
  <si>
    <t>MSI Stealth 16 Mercedes AMG A13VF-265IN Laptop (Core i9 13th Gen/32 GB/1 TB SSD/Windows 11/8 GB) price in India</t>
  </si>
  <si>
    <t>Lenovo Yoga Slim 6i 14IRP8 (82WV005JIN) Laptop (Core i5 13th Gen/16 GB/512 GB SSD/Windows 11) price in India</t>
  </si>
  <si>
    <t>Lenovo Yoga 6 13ABR8 (83B2005TIN) Laptop (AMD Hexa Core Ryzen 5/16 GB/512 GB SSD/Windows 11) price in India</t>
  </si>
  <si>
    <t>Infinix Y1 Plus Neo XL30 Laptop (Intel Celeron Quad Core/4 GB/128 GB SSD/Windows 11) price in India</t>
  </si>
  <si>
    <t>HP 255 G8 (6E3Z0PA) Laptop (AMD Dual Core Ryzen 3/8 GB/512 GB SSD/DOS) price in India</t>
  </si>
  <si>
    <t>HP Envy x360 15-fh0019AU (8C4S3PA) Laptop (AMD Octa Core Ryzen 7/16 GB/512 GB SSD/Windows 11) price in India</t>
  </si>
  <si>
    <t>Intel Core i5 (13th Gen) 4.6 Ghz, Octa-Core</t>
  </si>
  <si>
    <t>Infinix Zero Book 13 ZL513 Laptop (Core i9 13th Gen/32 GB/1 TB SSD/Windows 11) price in India</t>
  </si>
  <si>
    <t>MSI Modern 14 C11M-029IN Laptop (Core i5 11th Gen/16 GB/512 GB SSD/Windows 11) price in India</t>
  </si>
  <si>
    <t>Dell Inspiron 14 5430 (IN54303CRT9001SDS1) Laptop (Core i7 13th Gen/16 GB/512 GB SSD/Windows 11) price in India</t>
  </si>
  <si>
    <t>Slim 17.6 mm</t>
  </si>
  <si>
    <t>Lenovo Ideapad Slim 3 15IRU8 (82X70033IN) Laptop (Core i3 13th Gen/8 GB/512 GB SSD/Windows 11) price in India</t>
  </si>
  <si>
    <t>Asus EeeBook 15 E510MA-EJ011WS Laptop (Intel Celeron Dual Core/8 GB/256 GB SSD/Windows 11) price in India</t>
  </si>
  <si>
    <t>Asus VivoBook Go 14 E1404FA-NK323WS Laptop (AMD Quad Core Ryzen 3/8 GB/512 GB SSD/Windows 11) price in India</t>
  </si>
  <si>
    <t>MSI GF63 Thin 11UCX-1441IN Laptop (Core i7 11th Gen/16 GB/512 GB SSD/Windows 11/4 GB) price in India</t>
  </si>
  <si>
    <t>Lenovo V15 G3 (82TT004VIH) Laptop (Core i5 12th Gen/8 GB/512 GB SSD/DOS) price in India</t>
  </si>
  <si>
    <t>Asus VivoBook 15 X1502ZA-EJ544WS Laptop (Core i5 12th Gen/16 GB/512 GB SSD/Windows 11) price in India</t>
  </si>
  <si>
    <t>Acer Aspire 5 A515-58P (NX.KHJSI.001) Laptop (Core i3 13th Gen/8 GB/512 GB SSD/Windows 11) price in India</t>
  </si>
  <si>
    <t>Asus ROG Zephyrus G16 GU603VV-N4044WS Laptop (Core i9 13th Gen/16 GB/1 TB SSD/Windows 11/8 GB) price in India</t>
  </si>
  <si>
    <t>Asus TUF Gaming F15 FX507VV-LP071WS Laptop (Core i9 13th Gen/16 GB/1 TB SSD/Windows 11/8 GB) price in India</t>
  </si>
  <si>
    <t>HP 15-fc0028AU (7L032PA) Laptop (AMD Quad Core Ryzen 5/8 GB/512 GB SSD/Windows 11) price in India</t>
  </si>
  <si>
    <t>Asus VivoBook 15X OLED M3504YA-LK541WS Laptop (AMD Hexa Core Ryzen 5/16 GB/512 GB SSD/Windows 11) price in India</t>
  </si>
  <si>
    <t>Asus ROG Flow Z13 GZ301VV-MU014WS Laptop (Core i9 13th Gen/16 GB/1 TB SSD/Windows 11/8 GB) price in India</t>
  </si>
  <si>
    <t>Slim 14.2 mm</t>
  </si>
  <si>
    <t>Asus ROG Zephyrus G14 GA402NU-N2023WS Laptop (AMD Octa Core Ryzen 7/16 GB/1 TB SSD/Windows 11/6 GB) price in India</t>
  </si>
  <si>
    <t>Infinix Y1 Plus Neo XL30 Laptop (Intel Celeron Quad Core/8 GB/256 GB SSD/Windows 11) price in India</t>
  </si>
  <si>
    <t>Infinix Y1 Plus Neo XL30 Laptop (Intel Celeron Quad Core/8 GB/512 GB SSD/Windows 11) price in India</t>
  </si>
  <si>
    <t>MSI Cyborg 15 A12UCX-264IN Laptop (Core i5 12th Gen/16 GB/512 GB SSD/Windows 11/4 GB) price in India</t>
  </si>
  <si>
    <t>HP 15s-fq2738TU Laptop (Core i3 11th Gen/8 GB/512 GB SSD/Windows 11) price in India</t>
  </si>
  <si>
    <t>Asus VivoBook 14 X1404VA-NK541WS Laptop (Core i5 13th Gen/16 GB/512 GB SSD/Windows 11) price in India</t>
  </si>
  <si>
    <t>Asus VivoBook 14 X1404VA-NK522WS Laptop (Core i5 13th Gen/8 GB/512 GB SSD/Windows 11) price in India</t>
  </si>
  <si>
    <t>HP Victus 15-fb0133AX (87B79PA) Laptop (AMD Hexa Core Ryzen 5/16 GB/512 GB SSD/Windows 11/4 GB) price in India</t>
  </si>
  <si>
    <t>HP 250 G8 (7M6L7PA) Laptop (Core i3 11th Gen/8 GB/1 TB 256 GB SSD/DOS) price in India</t>
  </si>
  <si>
    <t>Lenovo V15 G2 (82QYA00MIN) Laptop (Intel Celeron Dual Core/8 GB/256 GB SSD/Windows 11) price in India</t>
  </si>
  <si>
    <t>Asus ROG Zephyrus M16 GU604VY-NM058WS Laptop (Core i9 13th Gen/32 GB/2 TB SSD/Windows 11/16 GB) price in India</t>
  </si>
  <si>
    <t>Asus ROG Strix Scar 16 G634JZ-N4062WS Laptop (Core i9 13th Gen/32 GB/1 TB SSD/Windows 11/12 GB) price in India</t>
  </si>
  <si>
    <t>MSI Modern 15 B13M-289IN Laptop (Core i5 13th Gen/16 GB/512 GB SSD/Windows 11) price in India</t>
  </si>
  <si>
    <t>MSI Modern 14 C13M-436IN Laptop (Core i5 13th Gen/16 GB/512 GB SSD/Windows 11) price in India</t>
  </si>
  <si>
    <t>Intel Core i5 (13th Gen) 4.7 Ghz</t>
  </si>
  <si>
    <t>MSI Modern 14 C13M-437IN Laptop (Core i5 13th Gen/8 GB/512 GB SSD/Windows 11) price in India</t>
  </si>
  <si>
    <t>Lenovo Thinkpad E15 (21E6S05B00) Laptop (Core i5 12th Gen/8 GB/512 GB SSD/Windows 11) price in India</t>
  </si>
  <si>
    <t>Asus VivoBook Go 15 E1504FA-NJ542WS Laptop (AMD Quad Core Ryzen 5/16 GB/512 GB SSD/Windows 11) price in India</t>
  </si>
  <si>
    <t>Acer Aspire 5 A515-57 (NX.K2VSI.002) Laptop (Core i3 12th Gen/8 GB/512 GB SSD/Windows 11) price in India</t>
  </si>
  <si>
    <t>MSI Modern 15 B13M-291IN Laptop (Core i5 13th Gen/8 GB/512 GB SSD/Windows 11) price in India</t>
  </si>
  <si>
    <t>Lenovo Thinkpad E14 (21E3S0AV00) Laptop (Core i3 12th Gen/8 GB/512 GB SSD/Windows 11) price in India</t>
  </si>
  <si>
    <t>Asus VivoBook 15 X1502ZA-EJ322WS Laptop (Core i3 12th Gen/8 GB/512 GB SSD/Windows 11) price in India</t>
  </si>
  <si>
    <t>Lenovo Thinkpad 14 G2 (20VDA0V1IH) Laptop (Core i3 11th Gen/8 GB/512 GB SSD/DOS) price in India</t>
  </si>
  <si>
    <t>Lenovo V15 (82KDA011IH) Laptop (AMD Hexa Core Ryzen 5/8 GB/512 GB SSD/Windows 11) price in India</t>
  </si>
  <si>
    <t>Apple MacBook Pro M2 Max MNWA3HN/A Ultrabook (Apple M2 Max/32 GB/1 TB SSD/macOS Ventura) price in India</t>
  </si>
  <si>
    <t>Asus VivoBook Go 15 E1504FA-NJ541WS Laptop (AMD Quad Core Ryzen 5/16 GB/512 GB SSD/Windows 11) price in India</t>
  </si>
  <si>
    <t>MSI Modern 15 B12M-226IN Laptop (Core i7 12th Gen/16 GB/512 GB SSD/Windows 11) price in India</t>
  </si>
  <si>
    <t>Asus Chromebook Flip C214MA-BU0452 Laptop (Celeron Dual Core/4 GB/64 GB SSD/Google Chrome) price in India</t>
  </si>
  <si>
    <t>4 GB LPDDR4X RAM, 64 GB SSD</t>
  </si>
  <si>
    <t>11.6" (29.46 cm), 1366 x 768 px, LED Display</t>
  </si>
  <si>
    <t>Dell Inspiron 15 3511 (D560611WIN9BE) Laptop (Core i3 11th Gen/8 GB/1 TB 256 GB SSD/Windows 10) price in India</t>
  </si>
  <si>
    <t>Dell Inspiron 14 5410 (D560596WIN9S) Laptop (Core i7 11th Gen/16 GB/512 GB SSD/Windows 10) price in India</t>
  </si>
  <si>
    <t>Intel Core i5 (13th Gen) 4.7 Ghz, Deca-Core</t>
  </si>
  <si>
    <t>Dell G15-5525 (D560894WIN9S) Laptop (AMD Octa Core Ryzen 7/16 GB/512 GB SSD/Windows 11/6 GB) price in India</t>
  </si>
  <si>
    <t>Intel Core i5 (13th Gen) 5.0 Ghz, Deca-Core</t>
  </si>
  <si>
    <t>Dell Inspiron 15 3511 (D560647WIN9S) Laptop (Core i5 11th Gen/8 GB/1 TB 256 GB SSD/Windows 11) price in India</t>
  </si>
  <si>
    <t>Intel Core i5 (6th Gen) 2.3 Ghz</t>
  </si>
  <si>
    <t>Dell G15-5525 (D560898WIN9S) Laptop (AMD Octa Core Ryzen 7/16 GB/1 TB SSD/Windows 11/8 GB) price in India</t>
  </si>
  <si>
    <t>Intel Core i5 (7th Gen) 2.5 Ghz</t>
  </si>
  <si>
    <t>Dell Inspiron 15 3520 (D560900WIN9B) Laptop (Core i5 12th Gen/8 GB/1 TB 256 GB SSD/Windows 11) price in India</t>
  </si>
  <si>
    <t>Asus ROG Zephyrus G15 GA503RM-HQ030WS Laptop (AMD Octa Core Ryzen 9/16 GB/1 TB SSD/Windows 11/6 GB) price in India</t>
  </si>
  <si>
    <t>Intel Core i5 (7th Gen) 2.5 Ghz, Dual-Core</t>
  </si>
  <si>
    <t>Dell Inspiron 15 3511 (D560842WIN9B) Laptop (Core i3 11th Gen/8 GB/512 GB SSD/Windows 11) price in India</t>
  </si>
  <si>
    <t>Intel Core i5 (8th Gen) 1.4 Ghz</t>
  </si>
  <si>
    <t>Lenovo IdeaPad Flex 5 Gen 7 (82R9008GIN) Laptop (AMD Hexa Core Ryzen 5/16 GB/512 GB SSD/Windows 11) price in India</t>
  </si>
  <si>
    <t>Intel Core i5 (8th Gen) 1.6 Ghz</t>
  </si>
  <si>
    <t>Dell Vostro 3425 (D552305WIN9BE) Laptop (AMD Quad Core Ryzen 3/8 GB/256 GB SSD/Windows 11) price in India</t>
  </si>
  <si>
    <t>HP 15s-fq5112TU (6Q2M3PA) Laptop (Core i5 12th Gen/16 GB/512 GB SSD/Windows 11) price in India</t>
  </si>
  <si>
    <t>HP Pavilion Plus 14-eh0025TU (6H2F4PA) Laptop (Core i5 12th Gen/16 GB/512 GB SSD/Windows 11) price in India</t>
  </si>
  <si>
    <t>Asus Zenbook Flip 14 OLED UP5401ZA-KN501WS Laptop (Core i5 12th Gen/16 GB/512 GB SSD/Windows 11) price in India</t>
  </si>
  <si>
    <t>Asus VivoBook 14 X415JA-EB531WS Laptop (Core i5 10th Gen/16 GB/512 GB SSD/Windows 11) price in India</t>
  </si>
  <si>
    <t>HP 15s-eq1559AU (6P9A3PA) Laptop (AMD Dual Core Athlon/8 GB/512 GB SSD/Windows 11) price in India</t>
  </si>
  <si>
    <t>Lenovo V15 (82KDA01BIH) Laptop (AMD Quad Core Ryzen 3/8 GB/512 GB SSD/Windows 11) price in India</t>
  </si>
  <si>
    <t>Dell G15-5525 (D560818WIN9B) Laptop (AMD Hexa Core Ryzen 5/16 GB/512 GB SSD/Windows 11/4 GB) price in India</t>
  </si>
  <si>
    <t>HP Pavilion x360 14-ek0072TU (6Q0Y7PA) Laptop (Core i5 12th Gen/16 GB/512 GB SSD/Windows 11) price in India</t>
  </si>
  <si>
    <t>HP Victus 15-fb0053AX (6F9U1PA) Laptop (AMD Octa Core Ryzen 7/16 GB/512 GB SSD/Windows 11/4 GB) price in India</t>
  </si>
  <si>
    <t>HP 15s-fq2671TU (6N044PA) Laptop (Core i3 11th Gen/8 GB/512 GB SSD/Windows 11) price in India</t>
  </si>
  <si>
    <t>Intel Core i5 (8th Gen) 1.6 Ghz, Quad-Core</t>
  </si>
  <si>
    <t>Dell Inspiron 15 3511 (D560745WIN9B) Laptop (Core i5 11th Gen/8 GB/512 GB SSD/Windows 11) price in India</t>
  </si>
  <si>
    <t>Intel Core i5 (8th Gen) 2.3 Ghz</t>
  </si>
  <si>
    <t>Lenovo V15 (82KBA03TIH) Laptop (Core i3 11th Gen/8 GB/1 TB 256 GB SSD/Windows 11) price in India</t>
  </si>
  <si>
    <t>Intel Core i5 (8th Gen) 3.4 Ghz, Quad-Core</t>
  </si>
  <si>
    <t>MSI Prestige 16 Intel Evo A13M-266IN Laptop (Core i7 13th Gen/16 GB/1 TB SSD/Windows 11) price in India</t>
  </si>
  <si>
    <t>Infinix INBook X1 Neo XL22 Laptop (Intel Celeron Quad Core/4 GB/128 GB SSD/Windows 11) price in India</t>
  </si>
  <si>
    <t>Asus TUF Gaming A15 FA566NCR-HN254WS Laptop (AMD Octa Core Ryzen 7/16 GB/512 GB SSD/Windows 11/4 GB) price in India</t>
  </si>
  <si>
    <t>Intel Core i5 (9th Gen) 2.4 Ghz, Quad-Core</t>
  </si>
  <si>
    <t>HP 15s-GR0007AU (21W93PA) Laptop (AMD Dual Core Ryzen 3/4 GB/1 TB/Windows 10) price in India</t>
  </si>
  <si>
    <t>Intel Core i5 (9th Gen) 2.6 Ghz, Quad-Core</t>
  </si>
  <si>
    <t>Lenovo 100e Chromebook Gen 4 (82W00004HA) Laptop (MediaTek Octa core/4 GB/32 GB eMMC/Google Chrome) price in India</t>
  </si>
  <si>
    <t>Intel Core i7 (10th Gen)</t>
  </si>
  <si>
    <t>Acer Aspire 3 A325-45 (UN.344SI.004) Laptop (Intel Celeron Dual Core/8 GB/512 GB SSD/Windows 11) price in India</t>
  </si>
  <si>
    <t>Intel Core i7 (10th Gen) 1.3 Ghz, Quad-Core</t>
  </si>
  <si>
    <t>Lenovo IdeaPad Slim 3 14IAH8 (83EQ0073IN) Laptop (Core i5 12th Gen/16 GB/512 GB SSD/Windows 11) price in India</t>
  </si>
  <si>
    <t>Asus VivoBook 14 X1404VA-NK760WS Laptop (Core i3 13th Gen/8 GB/512 GB SSD/Windows 11) price in India</t>
  </si>
  <si>
    <t>Intel Core i7 (10th Gen) 2.6 Ghz, Hexa-Core</t>
  </si>
  <si>
    <t>Asus VivoBook 14 X1404VA-NK761WS Laptop (Core i3 13th Gen/8 GB/512 GB SSD/Windows 11) price in India</t>
  </si>
  <si>
    <t>HP Pavilion Plus 14-EW1112TU (B6NX8PA) Laptop (Core Ultra 5/16 GB/512 GB SSD/Windows 11) price in India</t>
  </si>
  <si>
    <t>Intel Core i7 (10th Gen) 3.3 Ghz</t>
  </si>
  <si>
    <t>Acer Aspire 3 A324-45 (UN.342SI.004) Laptop (Intel Celeron Dual Core/8 GB/512 GB SSD/Windows 11) price in India</t>
  </si>
  <si>
    <t>Intel Core i7 (10th Gen) 4.8 Ghz, Octa-Core</t>
  </si>
  <si>
    <t>Asus Vivobook 16X K3605VC-RP413WS Laptop (Core i5 13th Gen/16 GB/512 GB SSD/Windows 11/4 GB) price in India</t>
  </si>
  <si>
    <t>Intel Core i7 (10th Gen) 5 Ghz, Hexa-Core</t>
  </si>
  <si>
    <t>Dell Inspiron 14 3467 (A561202SIN9) Laptop (Core i3 6th Gen/4 GB/1 TB/Windows 10) price in India</t>
  </si>
  <si>
    <t>Intel Core i7 (11th Gen) 2.3 Ghz, Octa-Core</t>
  </si>
  <si>
    <t>14.0" (35.56 cm), 1366 x 768 px, LED Display</t>
  </si>
  <si>
    <t>Asus VivoBook 15 X1502VA-BQ836WS Laptop (Core i5 13th Gen/16 GB/512 GB SSD/Windows 11) price in India</t>
  </si>
  <si>
    <t>Intel Core i7 (11th Gen) 2.8 Ghz</t>
  </si>
  <si>
    <t>Asus TUF Gaming A15 FA506NFR-HN259WS Laptop (AMD Octa Core Ryzen 7/16 GB/512 GB SSD/Windows 11/4 GB) price in India</t>
  </si>
  <si>
    <t>Intel Core i7 (11th Gen) 2.8 Ghz, Quad-Core</t>
  </si>
  <si>
    <t>Asus Gaming V16 V3607VU-RP550WS Laptop (Core 5 Series 2 /16 GB/512 GB SSD/Windows 11/6 GB) price in India</t>
  </si>
  <si>
    <t>HP 15q-bu100tu (3GP90PA) Laptop (Core i5 8th Gen/4 GB/1 TB/Windows 10) price in India</t>
  </si>
  <si>
    <t>Lenovo IdeaPad Slim 3 15IAH8 (83ER00KPIN) Laptop (Core i5 12th Gen/16 GB/512 GB SSD/Windows 11) price in India</t>
  </si>
  <si>
    <t>Lenovo Ideapad 330S (81F401FVIN) Laptop (Core i3 8th Gen/4 GB/1 TB/Windows 10) price in India</t>
  </si>
  <si>
    <t>HP 15-fd0070TU (A47CXPA) Laptop (Core i5 12th Gen/8 GB/512 GB SSD/Windows 11) price in India</t>
  </si>
  <si>
    <t>Lenovo Ideapad 3 15IML05 (81WB018UIN) Laptop (Core i3 10th Gen/8 GB/1 TB/Windows 11) price in India</t>
  </si>
  <si>
    <t>Asus VivoBook S15 OLED S5507QA-MA551WS Laptop (Snapdragon X Plus/16 GB/1 TB SSD/Windows 11) price in India</t>
  </si>
  <si>
    <t>Intel Core i7 (11th Gen) 3.0 Ghz, Octa-Core</t>
  </si>
  <si>
    <t>Asus TUF Gaming A15 FA506NCR-HN075WS Laptop (AMD Octa Core Ryzen 7/16 GB/512 GB SSD/Windows 11/4 GB) price in India</t>
  </si>
  <si>
    <t>Asus VivoBook S14 OLED M5406WA-PP962WS Laptop (AMD Dodeca Core Ryzen 9/24 GB/512 GB SSD/Windows 11) price in India</t>
  </si>
  <si>
    <t>Acer Aspire 5 A515-58M (NX.KHFSI.007) Laptop (Core i5 13th Gen/16 GB/512 GB SSD/Windows 11) price in India</t>
  </si>
  <si>
    <t>Intel Core i7 (11th Gen) 4.6 Ghz, Octa-Core</t>
  </si>
  <si>
    <t>Asus ZenBook 13 UX333FA-A5821TS Laptop (Core i5 10th Gen/8 GB/512 GB SSD/Windows 10) price in India</t>
  </si>
  <si>
    <t>8 GB LPDDR3 RAM, 512 GB SSD</t>
  </si>
  <si>
    <t>Asus ZenBook 13 UX333FA-A4117T Laptop (Core i5 8th Gen/8 GB/512 GB SSD/Windows 10) price in India</t>
  </si>
  <si>
    <t>Lenovo IdeaPad Slim 3 14AMN8 (82XN006MIN) Laptop (AMD Quad Core Ryzen 3/8 GB/512 GB SSD/Windows 11) price in India</t>
  </si>
  <si>
    <t>Asus Vivobook Go 15 E510KA-EJ011WS Laptop (Intel Celeron Dual Core/8 GB/512 GB SSD/Windows 11) price in India</t>
  </si>
  <si>
    <t>Lenovo IdeaPad Slim 3 (83EM008GIN) Laptop (Core i7 13th Gen/16 GB/512 GB SSD/Windows 11) price in India</t>
  </si>
  <si>
    <t>Intel Core i7 (11th Gen) 4.7 Ghz, Octa-Core</t>
  </si>
  <si>
    <t>Dell Inspiron 3525 (IN3525NV1XWS02ORS1) Laptop (AMD Hexa Core Ryzen 5/8 GB/512 GB SSD/Windows 11) price in India</t>
  </si>
  <si>
    <t>Samsung Galaxy Book 4 Pro NP960XGK-KG3IN Laptop (Core Ultra 7/32 GB/1 TB SSD/Windows 11) price in India</t>
  </si>
  <si>
    <t>HP Omen 16-wf1025TX (9Q9M9PA) Laptop (Core i7 14th Gen/16 GB/1 TB SSD/Windows 11/8 GB) price in India</t>
  </si>
  <si>
    <t>Lenovo Ideapad 3 15IAU7 (82RK00WXIN) Laptop (Core i3 12th Gen/8 GB/256 GB SSD/Windows 11) price in India</t>
  </si>
  <si>
    <t>Intel Core i7 (11th Gen) 4.7 Ghz, Quad-Core</t>
  </si>
  <si>
    <t>HP 15s- fr5011TU (8Q3X6PA) Laptop (Core i5 12th Gen/16 GB/512 GB SSD/Windows 11) price in India</t>
  </si>
  <si>
    <t>Lenovo ThinkBook 15 G4 (21DJA0FGIH) Laptop (Core i5 12th Gen/16 GB/512 GB SSD/Windows 11) price in India</t>
  </si>
  <si>
    <t>Intel Core i7 (11th Gen) 4.8 Ghz, Quad-Core</t>
  </si>
  <si>
    <t>Lenovo IdeaPad Slim 3 15IAH8 (83ER008DIN) Laptop (Core i5 12th Gen/16 GB/512 GB SSD/Windows 11) price in India</t>
  </si>
  <si>
    <t>Asus VivoBook 15X OLED M3504YA-LK552WS Laptop (AMD Hexa Core Ryzen 5/16 GB/1 TB SSD/Windows 11) price in India</t>
  </si>
  <si>
    <t>Zebronics Pro Series Y ZEB-NBC 2S Laptop (Core i5 11th Gen/8 GB/512 GB SSD/Windows 11) price in India</t>
  </si>
  <si>
    <t>Intel Core i7 (11th Gen) 5 Ghz, Quad-Core</t>
  </si>
  <si>
    <t>Zebronics Pro Series Z ZEB-NBC 4S Laptop (Core i5 12th Gen/8 GB/512 GB SSD/Windows 11) price in India</t>
  </si>
  <si>
    <t>Zebronics Pro Series Z ZEB-NBC 3S Laptop (Core i3 12th Gen/8 GB/512 GB SSD/Windows 11) price in India</t>
  </si>
  <si>
    <t>Intel Core i7 (12th Gen) 1.1 Ghz, Deca-Core</t>
  </si>
  <si>
    <t>Lenovo Yoga 7 14ARP8 (82YM0074IN) Laptop (AMD Octa Core Ryzen 7/16 GB/1 TB SSD/Windows 11) price in India</t>
  </si>
  <si>
    <t>Intel Core i7 (12th Gen) 1.7 Ghz</t>
  </si>
  <si>
    <t>Fujitsu UH-X 4ZR1M37246 Laptop (Core i5 13th Gen/16 GB/512 GB SSD/Windows 11) price in India</t>
  </si>
  <si>
    <t>Intel Core i7 (12th Gen) 1.7 Ghz, Deca-Core</t>
  </si>
  <si>
    <t>Lenovo Ideapad Slim 3 15AMN8 (82XQ008VIN) Laptop (AMD Quad Core Ryzen 5/16 GB/512 GB SSD/Windows 11) price in India</t>
  </si>
  <si>
    <t>Asus TUF Gaming F15 FX506HF-HN024WS Laptop (Core i5 11th Gen/8 GB/512 GB SSD/Windows 11/4 GB) price in India</t>
  </si>
  <si>
    <t>MSI Modern 15 B11M-063IN Laptop (Core i3 11th Gen/8 GB/512 GB SSD/Windows 11) price in India</t>
  </si>
  <si>
    <t>Intel Core i7 (12th Gen) 2.1 Ghz</t>
  </si>
  <si>
    <t>HP 255 G9 (840T7PA) Laptop (AMD Dual Core Athlon/4 GB/256 GB SSD/DOS) price in India</t>
  </si>
  <si>
    <t>Lenovo ThinkBook 15 G5 (21JFA00QIN) Laptop (AMD Octa Core Ryzen 7/8 GB/512 GB SSD/DOS) price in India</t>
  </si>
  <si>
    <t>Intel Core i7 (12th Gen) 2.3 Ghz</t>
  </si>
  <si>
    <t>Asus TUF Gaming F15 FX506HF-HN026W Laptop (Core i5 11th Gen/8 GB/1 TB SSD/Windows 11/4 GB) price in India</t>
  </si>
  <si>
    <t>Slim 10.6 mm</t>
  </si>
  <si>
    <t>Asus ROG Strix G16 G614JI-N4151WS Laptop (Core i9 13th Gen/16 GB/1 TB SSD/Windows 11/8 GB) price in India</t>
  </si>
  <si>
    <t>HP 250 G9 (7M659PA) Laptop (Core i3 12th Gen/8 GB/512 GB SSD/DOS) price in India</t>
  </si>
  <si>
    <t>HP Pavilion x360 14-ek1020TU (7Z1P8PA) Laptop (Core i7 13th Gen/16 GB/512 GB SSD/Windows 11) price in India</t>
  </si>
  <si>
    <t>HP 15-fc0025AU (7L029PA) Laptop (AMD Quad Core Ryzen 3/8 GB/512 GB SSD/Windows 11) price in India</t>
  </si>
  <si>
    <t>Acer Aspire 3 A315-510P (NX.KDHSI.001) Laptop (Core i3 12th Gen/8 GB/512 GB SSD/Windows 11) price in India</t>
  </si>
  <si>
    <t>HP Chromebook 15a-na0008TU (72K10PA) Laptop (Intel Celeron Dual Core/4 GB/128 GB eMMC/Google Chrome) price in India</t>
  </si>
  <si>
    <t>Infinix Zero Book ZL12 Laptop (Core i7 12th Gen/16 GB/512 GB SSD/Windows 11) price in India</t>
  </si>
  <si>
    <t>Lenovo V15 (82KBA01TIH) Laptop (Core i5 11th Gen/8 GB/512 GB SSD/Windows 11) price in India</t>
  </si>
  <si>
    <t>HP Victus 15-fb0777AX (7K0C1PA) Laptop (AMD Hexa Core Ryzen 5/8 GB/512 GB SSD/Windows 11/4 GB) price in India</t>
  </si>
  <si>
    <t>HP Envy x360 15-ew0021TX (7N6V9PA) Laptop (Core i5 12th Gen/16 GB/512 GB SSD/Windows 11/4 GB) price in India</t>
  </si>
  <si>
    <t>MSI Modern 15 B12M-227IN Laptop (Core i5 12th Gen/16 GB/512 GB SSD/Windows 11) price in India</t>
  </si>
  <si>
    <t>Intel Core i7 (12th Gen) 2.3 Ghz, Deca-Core</t>
  </si>
  <si>
    <t>Lenovo E41-55 (82FJ00BLIH) Laptop (AMD Dual Core Athlon/4 GB/256 GB SSD/Windows 10) price in India</t>
  </si>
  <si>
    <t>Intel Core i7 (12th Gen) 2.5 Ghz</t>
  </si>
  <si>
    <t>Lenovo V15 ITL (82KBA03JIH) Laptop (Core i3 11th Gen/8 GB/512 GB SSD/Windows 11) price in India</t>
  </si>
  <si>
    <t>Intel Core i7 (12th Gen) 2.7 Ghz, Deca-Core</t>
  </si>
  <si>
    <t>HP Pavilion Plus 14-eh0037TU (77S54PA) Laptop (Core i5 12th Gen/16 GB/512 GB SSD/Windows 11) price in India</t>
  </si>
  <si>
    <t>Intel Core i7 (12th Gen) 3.1 Ghz, Deca-Core</t>
  </si>
  <si>
    <t>Microsoft Surface Pro 9 (QIL-00031) Laptop (Core i7 12th Gen/16 GB/256 GB SSD/Windows 11) price in India</t>
  </si>
  <si>
    <t>Slim 9.3 mm</t>
  </si>
  <si>
    <t>Lenovo V15 (82KB00M0IH) Laptop (Core i3 11th Gen/4 GB/256 GB SSD/Windows 10) price in India</t>
  </si>
  <si>
    <t>Dell Inspiron 15 3515 (D560523WIN9BE) Laptop (AMD Dual Core Ryzen 3/8 GB/256 GB SSD/Windows 10) price in India</t>
  </si>
  <si>
    <t>Lenovo Ideapad 3 15IGL05 (81WQ00B6IN) Laptop (Celeron Dual Core/4 GB/256 GB SSD/Windows 10) price in India</t>
  </si>
  <si>
    <t>Intel Core i7 (12th Gen) 3.3 Ghz, Deca-Core</t>
  </si>
  <si>
    <t>Dell Inspiron 15 3520 (D560920WIN9G) Laptop (Core i3 12th Gen/8 GB/512 GB SSD/Windows 11) price in India</t>
  </si>
  <si>
    <t>Intel Core i7 (12th Gen) 3.4 Ghz</t>
  </si>
  <si>
    <t>Infinix INBook X2 Plus XL25 Laptop (Core i7 11th Gen/16 GB/512 GB SSD/Windows 11) price in India</t>
  </si>
  <si>
    <t>Dell Inspiron 14 7420 (D560776WIN9S) Laptop (Core i5 12th Gen/16 GB/512 GB SSD/Windows 11) price in India</t>
  </si>
  <si>
    <t>Dell Inspiron 15 3520 (D560866WIN9S) Laptop (Core i5 12th Gen/8 GB/512 GB SSD/Windows 11) price in India</t>
  </si>
  <si>
    <t>Lenovo V15 IGL (82C3A00DIH) Laptop (Intel Celeron Dual Core/4 GB/256 GB SSD/Windows 11) price in India</t>
  </si>
  <si>
    <t>Lenovo Thinkpad E14 Gen 4 (21E3S05B00) Laptop (Core i7 12th Gen/16 GB/512 GB SSD/Windows 11) price in India</t>
  </si>
  <si>
    <t>HP Chromebook 15a-na0012TU (743A1PA) Laptop (Intel Celeron Dual Core/4 GB/128 GB eMMC/Google Chrome) price in India</t>
  </si>
  <si>
    <t>Lenovo Ideapad Slim 5 (82SF008YIN) Laptop (Core i5 12th Gen/16 GB/512 GB SSD/Windows 11) price in India</t>
  </si>
  <si>
    <t>Intel Core i7 (12th Gen) 3.4 Ghz, Deca-Core</t>
  </si>
  <si>
    <t>Lenovo Yoga 7i Gen 7 Intel Evo (82QE0060IN) Laptop (Core i7 12th Gen/16 GB/512 GB SSD/Windows 11) price in India</t>
  </si>
  <si>
    <t>HP 247 G8 (6B5R3PA) Laptop (AMD Quad Core Ryzen 3/8 GB/512 GB SSD/DOS) price in India</t>
  </si>
  <si>
    <t>Dell G15-5525 (D560819WIN9B) Laptop (AMD Octa Core Ryzen 7/16 GB/512 GB SSD/Windows 11/4 GB) price in India</t>
  </si>
  <si>
    <t>HP Victus 15-fa0354TX (6N031PA) Laptop (Core i7 12th Gen/16 GB/512 GB SSD/Windows 11/4 GB) price in India</t>
  </si>
  <si>
    <t>Dell Inspiron 15 3511 (D560816WIN9S) Laptop (Core i5 11th Gen/16 GB/512 GB SSD/Windows 11) price in India</t>
  </si>
  <si>
    <t>Acer Aspire 3 A311-45 (UN.354SI.004) Laptop (Intel Celeron Dual Core/8 GB/256 GB SSD/Windows 11) price in India</t>
  </si>
  <si>
    <t>11.6" (29.46 cm), 1366 x 768 px, TFT LCD Display</t>
  </si>
  <si>
    <t>Acer Aspire 3 A311-45 (UN.354SI.002) Laptop (Intel Celeron Dual Core/8 GB/512 GB SSD/Windows 11) price in India</t>
  </si>
  <si>
    <t>Intel Core i7 (12th Gen) 4.7 Ghz</t>
  </si>
  <si>
    <t>Acer Aspire 3 A311-45 (UN.354SI.006) Laptop (Celeron Dual Core/8 GB/128 GB SSD/Windows 11) price in India</t>
  </si>
  <si>
    <t>8 GB DDR4 RAM, 128 GB SSD</t>
  </si>
  <si>
    <t>HP Victus 15-FA1198TX (9Q039PA) Laptop (Core i5 13th Gen/16 GB/512 GB SSD/Windows 11/6 GB) price in India</t>
  </si>
  <si>
    <t>16 GB LPDDR4 RAM, 512 GB SSD</t>
  </si>
  <si>
    <t>HP 15-fd0316TU (A4KF0PA) Laptop (Core i5 13th Gen/16 GB/512 GB SSD/Windows 11) price in India</t>
  </si>
  <si>
    <t>Acer Chromebook Plus CB514-4H (NX.KUTSI.002) Laptop (Core i3 12th Gen/8 GB/256 GB SSD/Google Chrome) price in India</t>
  </si>
  <si>
    <t>14" (35.56 cm), 1920 x 1080 px, LCD Display</t>
  </si>
  <si>
    <t>Samsung Galaxy Book 4 Pro NP940XGK-LG3IN Laptop (Core Ultra 7/32 GB/1 TB SSD/Windows 11) price in India</t>
  </si>
  <si>
    <t>Acer Aspire Lite AL15-52 (UN.431SI.361) Laptop (Core i5 12th Gen/16 GB/1 TB SSD/Windows 11) price in India</t>
  </si>
  <si>
    <t>Lenovo Ideapad Slim 3i (81WE00S2IN) Laptop (Core i3 10th Gen/4 GB/1 TB/DOS) price in India</t>
  </si>
  <si>
    <t>HP 15-fd0465TU (B61ZFPA) Laptop (Core i3/8 GB/512 GB SSD/Windows 11) price in India</t>
  </si>
  <si>
    <t>Samsung Galaxy Book 4 Pro NP940XGK-KG3IN Laptop (Core Ultra 7/32 GB/1 TB SSD/Windows 11) price in India</t>
  </si>
  <si>
    <t>HP Pavilion 15-eh3036AU Laptop (AMD Hexa Core Ryzen 5/8 GB/512 GB SSD/Windows 11) price in India</t>
  </si>
  <si>
    <t>HP Pavilion x360 14-ek1149TU (B6PA2PA) Laptop (Core i5 13th Gen/16 GB/1 TB SSD/Windows 11) price in India</t>
  </si>
  <si>
    <t>Intel Core i7 (12th Gen) 4.7 Ghz, Deca-Core</t>
  </si>
  <si>
    <t>Lenovo IdeaPad Slim 1i 15IGL7 Gen 7 (82V700L2IN) Laptop (Celeron Dual Core/8 GB/512 GB SSD/Windows 11) price in India</t>
  </si>
  <si>
    <t>15.6" (39.62 cm), 1366 x 768 px, TN LCD Display</t>
  </si>
  <si>
    <t>Asus VivoBook S15 OLED S5504VA-MA941WS Laptop (Core i9 13th Gen/16 GB/512 GB SSD/Windows 11) price in India</t>
  </si>
  <si>
    <t>Dell Inspiron 14 Plus 7440 (OIN74402204A1RINU1) Laptop (Core Ultra 7/16 GB/1 TB SSD/Windows 11) price in India</t>
  </si>
  <si>
    <t>Dell Inspiron 14 5409 (D560374WIN9PE) Laptop (Core i7 11th Gen/8 GB/512 GB SSD/Windows 10/2 GB) price in India</t>
  </si>
  <si>
    <t>Asus Vivobook 14 Flip OLED TP3407SA-QL024WS Laptop (Core Ultra 5/16 GB/512 GB SSD/Windows 11) price in India</t>
  </si>
  <si>
    <t>Slim 17.1 mm</t>
  </si>
  <si>
    <t>Asus VivoBook 15 X1504VA-NJ322WS Laptop (Core i3 13th Gen/8 GB/512 GB SSD/Windows 11) price in India</t>
  </si>
  <si>
    <t>Dell Inspiron 15 3520 (IN3520KMJ5V001ORS1) Laptop (Core i5 12th Gen/16 GB/512 GB SSD/Windows 11) price in India</t>
  </si>
  <si>
    <t>Avita NS12T5IN001P Laptop (Celeron Dual Core/4 GB/64 GB SSD/Windows 10) price in India</t>
  </si>
  <si>
    <t>4 GB DDR3 RAM, 64 GB SSD</t>
  </si>
  <si>
    <t>12.5" (31.75 cm), 1920 x 1080 px, LED Display</t>
  </si>
  <si>
    <t>Acer Swift 3 SF315-51-50B5 (NX.GSKSI.003) Laptop (Core i5 8th Gen/8 GB/1 TB/Linux) price in India</t>
  </si>
  <si>
    <t>Lenovo ThinkPad E14 Gen 5 (21JRS0H200) Laptop (AMD Hexa Core Ryzen 5/16 GB/1 TB SSD/Windows 11) price in India</t>
  </si>
  <si>
    <t>HP Pavilion TouchSmart 14 x360 14-cd0080tu (4LS22PA) Laptop (Core i5 8th Gen/8 GB/1 TB 8 GB SSD/Windows 10) price in India</t>
  </si>
  <si>
    <t>HP 14-GR1022TU (A4VJ0PA) Laptop (Core Ultra 5/16 GB/512 GB SSD/Windows 11) price in India</t>
  </si>
  <si>
    <t>Lenovo IdeaPad Gaming 3 15ARH7 (82SB00QSIN) Laptop (AMD Octa Core Ryzen 7/16 GB/512 GB SSD/Windows 11/6 GB) price in India</t>
  </si>
  <si>
    <t>Lenovo IdeaPad 14IGL7 (82V6009HIN) Laptop (Intel Celeron Dual Core/8 GB/512 GB SSD/Windows 11) price in India</t>
  </si>
  <si>
    <t>Asus Chromebook CX1400CKA-NK0453 Laptop (Intel Celeron Dual Core/4 GB/64 GB eMMC/Google Chrome) price in India</t>
  </si>
  <si>
    <t>Asus Chromebook CX1500CKA-NJ0395 Laptop (Intel Celeron Dual Core/8 GB/128 GB eMMC/Google Chrome) price in India</t>
  </si>
  <si>
    <t>Asus Chromebook CX1500CKA-NJ0393 Laptop (Intel Celeron Dual Core/4 GB/64 GB eMMC/Google Chrome) price in India</t>
  </si>
  <si>
    <t>Asus VivoBook S15 OLED S5504VA-MA553WS Laptop (Core i5 13th Gen/16 GB/1 TB SSD/Windows 11) price in India</t>
  </si>
  <si>
    <t>MSI Modern 14 H D13MG-071IN Laptop (Core i9 13th Gen/16 GB/1 TB SSD/Windows 11) price in India</t>
  </si>
  <si>
    <t>Asus Chromebook Plus CX3402CBA-PQ0173 Laptop (Core i3 12th Gen/8 GB/128 GB eMMC/Google Chrome) price in India</t>
  </si>
  <si>
    <t>8 GB LPDDR5 RAM</t>
  </si>
  <si>
    <t>Lenovo Legion Pro 5 16ARX8 (82WM00B7IN) Laptop (AMD Octa Core Ryzen 7/16 GB/1 TB SSD/Windows 11/8 GB) price in India</t>
  </si>
  <si>
    <t>HP Victus 15-fa1134TX (8X059PA) Laptop (Core i7 12th Gen/16 GB/512 GB SSD/Windows 11/6 GB) price in India</t>
  </si>
  <si>
    <t>Asus Chromebook CX1500CKA-EJ0275 Laptop (Intel Celeron Dual Core/8 GB/64 GB eMMC/Google Chrome) price in India</t>
  </si>
  <si>
    <t>Lenovo Legion Slim 5 16APH8 (82Y9009JIN) Laptop (AMD Octa Core Ryzen 7/16 GB/1 TB SSD/Windows 11/8 GB) price in India</t>
  </si>
  <si>
    <t>Dell Inspiron 14 5430 (IN54308DXWP001ORS1) Laptop (Core i7 13th Gen/16 GB/1 TB SSD/Windows 11) price in India</t>
  </si>
  <si>
    <t>14.1" (35.81 cm), 1920 x 1080 px, IPS LCD Display</t>
  </si>
  <si>
    <t>Acer Aspire 5 A515-56G (NX.AT2SI.001) Laptop (Core i5 11th Gen/8 GB/512 GB SSD/Windows 11/2 GB) price in India</t>
  </si>
  <si>
    <t>Lenovo IdeaPad Slim 3 15AMN8 (82XQ008DIN) Laptop (AMD Quad Core Ryzen 3/8 GB/512 GB SSD/Windows 11) price in India</t>
  </si>
  <si>
    <t>Lenovo Ideapad Slim 3 15AMN8 (82XQ008GIN) Laptop (AMD Quad Core Ryzen 5/8 GB/512 GB SSD/Windows 11) price in India</t>
  </si>
  <si>
    <t>HP 15s-fy5005TU (8K8J3PA) Laptop (Core i3 12th Gen/8 GB/1 TB SSD/Windows 11) price in India</t>
  </si>
  <si>
    <t>Asus VivoBook 15 X1502ZA-EJ542WS Laptop (Core i5 12th Gen/16 GB/512 GB SSD/Windows 11) price in India</t>
  </si>
  <si>
    <t>HP Victus 16-d0333TX (81H59PA) Laptop (Core i5 11th Gen/16 GB/512 GB SSD/Windows 11/4 GB) price in India</t>
  </si>
  <si>
    <t>Lenovo V15 G3 (82TTA01EIN) Laptop (Core i3 12th Gen/8 GB/512 GB SSD/DOS) price in India</t>
  </si>
  <si>
    <t>MSI Titan GT77 HX 13VH-093IN Laptop (Core i9 13th Gen/64 GB/2 TB SSD/Windows 11/12 GB) price in India</t>
  </si>
  <si>
    <t>17.3" (43.94 cm), 3840 x 2160 px, Mini LED Display</t>
  </si>
  <si>
    <t>Asus VivoBook 15 X1500EA-EJ3379WS Laptop (Core i3 11th Gen/8 GB/512 GB SSD/Windows 11) price in India</t>
  </si>
  <si>
    <t>HP Omen 16-n0091AX (7K4X2PA) Laptop (AMD Octa Core Ryzen 7/16 GB/512 GB SSD/Windows 11/4 GB) price in India</t>
  </si>
  <si>
    <t>Intel Core i7 (12th Gen) 4.8 Ghz</t>
  </si>
  <si>
    <t>16.2" (41.15 cm), 1920 x 1080 px, IPS LCD Display</t>
  </si>
  <si>
    <t>HP 245 G8 (689T5PA) Laptop (AMD Hexa Core Ryzen 5/8 GB/512 GB SSD/Windows 11) price in India</t>
  </si>
  <si>
    <t>Asus VivoBook 15 X1500EA-EJ3381WS Laptop (Core i3 11th Gen/8 GB/512 GB SSD/Windows 11) price in India</t>
  </si>
  <si>
    <t>Intel Core i7 (13th Gen) 2.2 Ghz</t>
  </si>
  <si>
    <t>Lenovo V15 (82KDA01UIH) Laptop (AMD Quad Core Ryzen 3/8 GB/512 GB SSD/DOS) price in India</t>
  </si>
  <si>
    <t>Intel Core i7 (13th Gen) 3.4 Ghz</t>
  </si>
  <si>
    <t>Dell Inspiron 15 3525 (D560863WIN9B) Laptop (AMD Hexa Core Ryzen 5/8 GB/512 GB SSD/Windows 11) price in India</t>
  </si>
  <si>
    <t>Intel Core i7 (13th Gen) 3.6 Ghz</t>
  </si>
  <si>
    <t>Dell Inspiron 15 3511 (D560505WIN9S) Laptop (Core i5 11th Gen/8 GB/1 TB 256 GB SSD/Windows 10/2 GB) price in India</t>
  </si>
  <si>
    <t>Intel Core i7 (13th Gen) 3.7 Ghz, Deca-Core</t>
  </si>
  <si>
    <t>Dell Inspiron 13 5320 (D560754WIN9S) Laptop (Core i7 12th Gen/16 GB/512 GB SSD/Windows 11) price in India</t>
  </si>
  <si>
    <t>Intel Core i7 (13th Gen) 4.6 Ghz, Deca-Core</t>
  </si>
  <si>
    <t>Dell Inspiron 15 3525 (D560788WIN9BD) Laptop (AMD Hexa Core Ryzen 5/8 GB/512 GB SSD/Windows 11) price in India</t>
  </si>
  <si>
    <t>Intel Core i7 (13th Gen) 4.7 Ghz, Deca-Core</t>
  </si>
  <si>
    <t>Dell Inspiron 15 3520 (D560880WIN9S) Laptop (Core i5 12th Gen/8 GB/512 GB SSD/Windows 11/2 GB) price in India</t>
  </si>
  <si>
    <t>Intel Core i7 (13th Gen) 4.9 Ghz</t>
  </si>
  <si>
    <t>Lenovo V15 (82KDA01DIH) Laptop (AMD Quad Core Ryzen 3/8 GB/256 GB SSD/Windows 11) price in India</t>
  </si>
  <si>
    <t>Asus ZenBook Pro 14 Duo OLED Intel Evo UX8402ZE-LM921WS Laptop (Core i9 12th Gen/32 GB/1 TB SSD/Windows 45234 GB) price in India</t>
  </si>
  <si>
    <t>HP 15s-eq1561AU (6Q0M9PA) Laptop (AMD Dual Core Ryzen 3/8 GB/256 GB SSD/Windows 11) price in India</t>
  </si>
  <si>
    <t>HP Pavilion Plus 14-eh0021TU (6H1Q2PA) Laptop (Core i5 12th Gen/16 GB/512 GB SSD/Windows 11) price in India</t>
  </si>
  <si>
    <t>Intel Core i7 (13th Gen) 4.9 Ghz, Deca-Core</t>
  </si>
  <si>
    <t>Lenovo Ideapad Flex 5i Gen 7 (82R70069IN) Laptop (Core i5 12th Gen/16 GB/512 GB SSD/Windows 11) price in India</t>
  </si>
  <si>
    <t>Lenovo Yoga 6 Gen 7 (82UD0068IN) Laptop (AMD Octa Core Ryzen 7/16 GB/512 GB SSD/Windows 11) price in India</t>
  </si>
  <si>
    <t>13.3" (33.78 cm), 1920 x 1200 px Display</t>
  </si>
  <si>
    <t>Asus ROG Zephyrus Duo 16 GX650RM-LS019WS Laptop (AMD Octa Core Ryzen 7/32 GB/2 TB SSD/Windows 11/6 GB) price in India</t>
  </si>
  <si>
    <t>Dell Vostro 3420 (D552299WIN9BE) Laptop (Core i3 11th Gen/8 GB/256 GB SSD/Windows 11) price in India</t>
  </si>
  <si>
    <t>HP 250 G8 (6G9R1PA) Laptop (Core i3 11th Gen/8 GB/512 GB SSD/DOS) price in India</t>
  </si>
  <si>
    <t>Asus ROG Zephyrus G14 GA402RJ-L8181WS Laptop (AMD Octa Core Ryzen 7/16 GB/1 TB SSD/Windows 11/8) price in India</t>
  </si>
  <si>
    <t>Dell Inspiron 15 3525 (D560760WIN9B) Laptop (AMD Quad Core Ryzen 3/8 GB/512 GB SSD/Windows 11) price in India</t>
  </si>
  <si>
    <t>Lenovo IdeaPad Slim 3 14AMN8 (82XN006JIN) Laptop (AMD Quad Core Ryzen 3/8 GB/512 GB SSD/Windows 11) price in India</t>
  </si>
  <si>
    <t>HP 255 G10 (B15J0PT) Laptop (AMD Quad Core Ryzen 5/8 GB/512 GB SSD/DOS) price in India</t>
  </si>
  <si>
    <t>Lenovo IdeaPad Slim 3 15IRH8 (83EM00H0IN) Laptop (Core i5 13th Gen/16 GB/512 GB SSD/Windows 11) price in India</t>
  </si>
  <si>
    <t>Asus ROG Flow Z13 GZ302EA-RU420WS Laptop (AMD Dodeca Core Ryzen AI Max/32 GB/1 TB SSD/Windows 11) price in India</t>
  </si>
  <si>
    <t>13.4" (34.04 cm), 2560 x 1600 px, IPS LCD Display</t>
  </si>
  <si>
    <t>HP OmniBook 5 16-AG1037AU (BP0J7PA) Laptop (AMD Hexa Core Ryzen AI 5/16 GB/512 GB SSD/Windows 11) price in India</t>
  </si>
  <si>
    <t>Asus TUF Gaming A14 FA401UU-RG033WS Laptop (AMD Octa Core Ryzen 7/16 GB/1 TB SSD/Windows 11/6 GB) price in India</t>
  </si>
  <si>
    <t>Dell Inspiron 15 3567 (A561222SIN9) Laptop (Core i3 6th Gen/4 GB/1 TB/Windows 10) price in India</t>
  </si>
  <si>
    <t>Acer Aspire 5 A515-51 (UN.GSZSI.005) Laptop (Core i5 8th Gen/4 GB/1 TB/Windows 10) price in India</t>
  </si>
  <si>
    <t>Slim 20.9 mm</t>
  </si>
  <si>
    <t>HP 245 G9 (8M397PA) Laptop (AMD Hexa Core Ryzen 5/8 GB/512 GB SSD/DOS) price in India</t>
  </si>
  <si>
    <t>HP 245 G10 (B0WM2PT) Laptop (AMD Quad Core Ryzen 5/8 GB/512 GB SSD/Windows 11) price in India</t>
  </si>
  <si>
    <t>MSI Modern 14 C12MO-1211IN Laptop (Core i7 13th Gen/16 GB/512 GB SSD/Windows 11) price in India</t>
  </si>
  <si>
    <t>HP Omen 16-wf0055TX (834T9PA) Laptop (Core i7 13th Gen/16 GB/512 GB SSD/Windows 11/8 GB) price in India</t>
  </si>
  <si>
    <t>Acer Predator Triton 700 PT715-51 (NH.Q2KSI.002) Laptop (Core i7 7th Gen/16 GB/1 TB SSD/Windows 10/6 GB) price in India</t>
  </si>
  <si>
    <t>Lenovo IdeaPad Slim 5 16IRL8 (82XF003HIN) Laptop (Core i7 13th Gen/16 GB/512 GB SSD/Windows 11) price in India</t>
  </si>
  <si>
    <t>Dell Vostro 3520 (VN3520VMN67001SDB1) Laptop (Core i3 12th Gen/8 GB/512 GB SSD/Windows 11) price in India</t>
  </si>
  <si>
    <t>Lenovo IdeaPad Slim 14IGL7 (82V6009LIN) Laptop (Intel Celeron Dual Core/8 GB/512 GB SSD/Windows 11) price in India</t>
  </si>
  <si>
    <t>Intel Core i7 (13th Gen) 5 Ghz</t>
  </si>
  <si>
    <t>Dell Alienware m16 R2 (OANM162129001RIN) Laptop (Core Ultra 9/16 GB/1 TB SSD/Windows 11/8 GB) price in India</t>
  </si>
  <si>
    <t>Dell Alienware m16 R2 (OANM162126701RIN) Laptop (Core Ultra 7/16 GB/1 TB SSD/Windows 11/6 GB) price in India</t>
  </si>
  <si>
    <t>HP Omen 16-xd0015AX (9X649PA) Laptop (AMD Octa Core Ryzen 7/16 GB/1 TB SSD/Windows 11/6 GB) price in India</t>
  </si>
  <si>
    <t>16.1" (40.89 cm), x px, IPS LCD Display</t>
  </si>
  <si>
    <t>Dell Inspiron 14 5430 (IN5430FR0KC001ORS1) Laptop (Core i3 12th Gen/8 GB/512 GB SSD/Windows 11) price in India</t>
  </si>
  <si>
    <t>14" (35.56 cm), 2220 x 1080 px Display</t>
  </si>
  <si>
    <t>Lenovo IdeaPad Slim 3 14M868 (82XJ002RHA) Laptop (MediaTek Octa core/8 GB/128 GB eMMC/Google Chrome) price in India</t>
  </si>
  <si>
    <t>HP Omen 16-wf1026TX (9Q9T0PA) Laptop (Core i7 14th Gen/16 GB/1 TB SSD/Windows 11/8 GB) price in India</t>
  </si>
  <si>
    <t>Asus Chromebook 14 CX1400CKA-EK0266 Laptop (Intel Celeron Dual Core/8 GB/128 GB eMMC/Google Chrome) price in India</t>
  </si>
  <si>
    <t>Intel Core i7 (13th Gen) 5 Ghz, Deca-Core</t>
  </si>
  <si>
    <t>HP 15s-fq3066TU (7W475PA) Laptop (Intel Celeron Dual Core/8 GB/512 GB SSD/Windows 11) price in India</t>
  </si>
  <si>
    <t>Asus Chromebook CX1400FKA-EC0158 Laptop (Intel Celeron Dual Core/4 GB/64 GB eMMC/Google Chrome) price in India</t>
  </si>
  <si>
    <t>Asus Chromebook CX1400CKA-EK0335 Laptop (Intel Celeron Dual Core/4 GB/128 GB eMMC/Google Chrome) price in India</t>
  </si>
  <si>
    <t>Lenovo Yoga 7 14IRL8 (82YL0099IN) Laptop (Core i7 13th Gen/16 GB/1 TB SSD/Windows 11) price in India</t>
  </si>
  <si>
    <t>Dell Inspiron 14 5430 (IN5430JNH1P001ORS1) Laptop (Core i5 13th Gen/16 GB/1 TB SSD/Windows 11) price in India</t>
  </si>
  <si>
    <t>Asus VivoBook 15 X1502ZA-EJ532WS Laptop (Core i5 12th Gen/8 GB/512 GB SSD/Windows 11) price in India</t>
  </si>
  <si>
    <t>Intel Core i7 (13th Gen) 5.0 Ghz</t>
  </si>
  <si>
    <t>Dell Inspiron 14 5430 (IN54308TR2G001ORS1) Laptop (Core i5 13th Gen/16 GB/512 GB SSD/Windows 11) price in India</t>
  </si>
  <si>
    <t>HP Pavilion 14-ep0068TU (80D23PA) Laptop (Core i3 12th Gen/8 GB/512 GB SSD/Windows 11) price in India</t>
  </si>
  <si>
    <t>MSI Stealth 17 Studio A13VH-055IN Laptop (Core i9 13th Gen/64 GB/2 TB SSD/Windows 11/12 GB) price in India</t>
  </si>
  <si>
    <t>17.3" (43.94 cm), 3840 x 2160 px, IPS LCD Display</t>
  </si>
  <si>
    <t>MSI Pulse 17 B13VGK-252IN Laptop (Core i7 13th Gen/16 GB/1 TB SSD/Windows 11/8 GB) price in India</t>
  </si>
  <si>
    <t>MSI Stealth 16 Studio A13VF-023IN Laptop (Core i7 13th Gen/32 GB/1 TB SSD/Windows 11/8 GB) price in India</t>
  </si>
  <si>
    <t>MSI GF63 Thin 12VE-080IN Laptop (Core i5 12th Gen/8 GB/512 GB SSD/Windows 11/6 GB) price in India</t>
  </si>
  <si>
    <t>Samsung Galaxy Book 3 360 NP730QFG-KA2IN Laptop (Core i7 13th Gen/16 GB/512 GB SSD/Windows 11) price in India</t>
  </si>
  <si>
    <t>13.3" (33.78 cm), 2880 x 1800 px, AMOLED Display</t>
  </si>
  <si>
    <t>Samsung Galaxy Book 3 Pro Intel Evo NP940XFG-KC5IN Laptop (Core i7 13th Gen/16 GB/1 TB SSD/Windows 11) price in India</t>
  </si>
  <si>
    <t>Slim 11.1 mm</t>
  </si>
  <si>
    <t>Samsung Galaxy Book 3 360 NP750QFG-KA3IN Laptop (Core i7 13th Gen/16 GB/1 TB SSD/Windows 11) price in India</t>
  </si>
  <si>
    <t>15.6" (39.62 cm), 2880 x 1800 px, AMOLED Display</t>
  </si>
  <si>
    <t>Samsung Galaxy Book 3 360 NP750QFG-KA1IN Laptop (Core i7 13th Gen/16 GB/512 GB SSD/Windows 11) price in India</t>
  </si>
  <si>
    <t>Samsung Galaxy Book 3 Pro NP960XFG-KC1IN Laptop (Core i7 13th Gen/16 GB/512 GB SSD/Windows 11) price in India</t>
  </si>
  <si>
    <t>Samsung Galaxy Book 3 360 NP730QFG-KA1IN Laptop (Core i5 13th Gen/16 GB/512 GB SSD/Windows 11) price in India</t>
  </si>
  <si>
    <t>Samsung Galaxy Book 3 360 NP750QFG-KA2IN Laptop (Core i5 13th Gen/16 GB/512 GB SSD/Windows 11) price in India</t>
  </si>
  <si>
    <t>Samsung Galaxy Book 3 360 NP730QFG-KA3IN Laptop (Core i7 13th Gen/16 GB/1 TB SSD/Windows 11) price in India</t>
  </si>
  <si>
    <t>Samsung Galaxy Book 3 Pro NP940XFG-KC4IN Laptop (Core i7 13th Gen/16 GB/512 GB SSD/Windows 11) price in India</t>
  </si>
  <si>
    <t>Samsung Galaxy Book 3 Pro NP960XFG-KC2IN Laptop (Core i7 13th Gen/16 GB/1 TB SSD/Windows 11) price in India</t>
  </si>
  <si>
    <t>Samsung Galaxy Book 3 Pro NP940XFG-KC1IN Laptop (Core i5 13th Gen/16 GB/512 GB SSD/Windows 11) price in India</t>
  </si>
  <si>
    <t>Acer Aspire 3 A315-24 (NX.KDESI.004) Laptop (AMD Quad Core Ryzen 5/8 GB/512 GB SSD/Windows 11) price in India</t>
  </si>
  <si>
    <t>Lenovo V14 (82C40182IN) Laptop (Core i3 10th Gen/4 GB/1 TB/DOS) price in India</t>
  </si>
  <si>
    <t>Lenovo V15 (82KDA012iH) Laptop (AMD Hexa Core Ryzen 5/8 GB/512 GB SSD/Windows 11) price in India</t>
  </si>
  <si>
    <t>Lenovo Ideapad Flex 3 CB 11IJL6 (82N3000DHA) Laptop (Celeron Dual Core/4 GB/128 GB SSD/Google Chrome) price in India</t>
  </si>
  <si>
    <t>Asus Vivobook K15 OLED K513EA-L302WS Laptop (Core i3 11th Gen/8 GB/256 GB SSD/Windows 11) price in India</t>
  </si>
  <si>
    <t>MSI GF63 Thin 12HW-004IN Laptop (Core i5 12th Gen/8 GB/512 GB SSD/Windows 11) price in India</t>
  </si>
  <si>
    <t>Dell Vostro 5620 (D552269WIN9S) Laptop (Core i5 12th Gen/16 GB/512 GB SSD/Windows 11) price in India</t>
  </si>
  <si>
    <t>MSI Creator M16 A12UD-633IN Laptop (Core i7 12th Gen/16 GB/512 GB SSD/Windows 11/4 GB) price in India</t>
  </si>
  <si>
    <t>HP Chromebook 14a-na1004TU Laptop (Intel Celeron Dual Core/4 GB/64 GB eMMC/Google Chrome) price in India</t>
  </si>
  <si>
    <t>HP 14s-dq3037TU (681Y5PA) Laptop (Intel Celeron Dual Core/8 GB/256 GB SSD/Windows 11) price in India</t>
  </si>
  <si>
    <t>Dell Vostro 5625 (D552238WIN9S) Laptop (AMD Octa Core Ryzen 7/16 GB/512 GB SSD/Windows 11) price in India</t>
  </si>
  <si>
    <t>HP 245 G8 (365R8PA) Laptop (AMD Quad Core Ryzen 5/8 GB/1 TB/Windows 10) price in India</t>
  </si>
  <si>
    <t>Lenovo Ideapad Slim 3 (82RK00EDIN) Laptop (Core i5 12th Gen/8 GB/512 GB SSD/Windows 11) price in India</t>
  </si>
  <si>
    <t>Asus ROG Zephyrus G15 GA503RS-HQ027WS Laptop (AMD Octa Core Ryzen 9/16 GB/1 TB SSD/Windows 11/8 GB) price in India</t>
  </si>
  <si>
    <t>Asus EeeBook 12 E210MA-GJ012W Laptop (Intel Celeron Dual Core/4 GB/64 GB eMMC/Windows 11) price in India</t>
  </si>
  <si>
    <t>4 GB DDR4 RAM</t>
  </si>
  <si>
    <t>HP 15s-er1501AU (6Q0N8PA) Laptop (AMD Dual Core Ryzen 3/8 GB/256 GB SSD/Windows 11) price in India</t>
  </si>
  <si>
    <t>Dell Inspiron 15 3525 (D560764WIN9S) Laptop (AMD Quad Core Ryzen 3/8 GB/512 GB SSD/Windows 11) price in India</t>
  </si>
  <si>
    <t>Intel Core i7 (13th Gen) 5.0 Ghz, Deca-Core</t>
  </si>
  <si>
    <t>Asus Vivobook S15 OLED Intel Evo S3502ZA-L702WS Laptop (Core i7 12th Gen/16 GB/512 GB SSD/Windows 11) price in India</t>
  </si>
  <si>
    <t>Dell Inspiron 15 3525 (D560782WIN9S) Laptop (AMD Octa Core Ryzen 7/8 GB/512 GB SSD/Windows 11) price in India</t>
  </si>
  <si>
    <t>Asus VivoBook 15 X515EA-BR391WS Laptop (Core i3 11th Gen/8 GB/1 TB/Windows 11) price in India</t>
  </si>
  <si>
    <t>Lenovo IdeaPad Slim 5 16IMH9 (83DC008VIN) Laptop (Core Ultra 7/16 GB/1 TB SSD/Windows 11) price in India</t>
  </si>
  <si>
    <t>Lenovo IdeaPad Slim 5 14AKP10 Gen 10 (83HX001NIN) Laptop (AMD Octa Core Ryzen AI 7/24 GB/1 TB SSD/Windows 11) price in India</t>
  </si>
  <si>
    <t>24 GB DDR5 RAM, 1 TB SSD</t>
  </si>
  <si>
    <t>Asus Vivobook X515MA-BR004T Laptop (Celeron Dual Core/4 GB/1 TB/Windows 10) price in India</t>
  </si>
  <si>
    <t>Asus VivoBook 14 X1404VA-NK804WS Laptop (Core i5 13th Gen/8 GB/512 GB SSD/Windows 11) price in India</t>
  </si>
  <si>
    <t>Lenovo Ideapad 330 (81F400PEIN) Laptop (Core i3 8th Gen/4 GB/1 TB 16 GB SSD/Windows 10) price in India</t>
  </si>
  <si>
    <t>HP Pavilion TouchSmart 14 X360 14-cd0051TU (4LR30PA) Laptop (Core i5 8th Gen/8 GB/1 TB 8 GB SSD/Windows 10/2 GB) price in India</t>
  </si>
  <si>
    <t>HP Pavilion Plus 14-ew1082TU (A3WE3PA) Laptop (Core Ultra 5/16 GB/512 GB SSD/Windows 11) price in India</t>
  </si>
  <si>
    <t>Lenovo LOQ 15IAX9I (83FQ0009IN) Laptop (Core i5 12th Gen/8 GB/512 GB SSD/Windows 11/4 GB) price in India</t>
  </si>
  <si>
    <t>Lenovo Ideapad Slim 1i 15IGL7 (82V700BSIN) Laptop (Intel Celeron Dual Core/8 GB/256 GB SSD/Windows 11) price in India</t>
  </si>
  <si>
    <t>Acer TravelMate P2 TMP214-53 (UN.VTKSI.173) Laptop (Core i7 11th Gen/16 GB/512 GB SSD/Windows 11) price in India</t>
  </si>
  <si>
    <t>Zebronics Pro Series Y ZEB-NBC 1S Laptop (Core i3 11th Gen/8 GB/512 GB SSD/Windows 11) price in India</t>
  </si>
  <si>
    <t>Acer TravelMate P2 TMP214-53 (UN.VTKSI.174) Laptop (Core i7 11th Gen/16 GB/1 TB SSD/Windows 11) price in India</t>
  </si>
  <si>
    <t>Intel Core i7 (13th Gen) 5.5 Ghz</t>
  </si>
  <si>
    <t>HP 255 G9 (724N9EA) Laptop (AMD Dual Core Athlon/4 GB/256 GB SSD/Windows 11) price in India</t>
  </si>
  <si>
    <t>Intel Core i7 (14th Gen) 5.2 Ghz</t>
  </si>
  <si>
    <t>Lenovo ThinkBook 15 G4 (21DJA0D9IH) Laptop (Core i5 12th Gen/16 GB/1 TB SSD/Windows 11) price in India</t>
  </si>
  <si>
    <t>Intel Core i7 (14th Gen) 5.5 Ghz</t>
  </si>
  <si>
    <t>Acer Chromebook CB314-3H (NX.K04SI.008) Laptop (Intel Celeron Dual Core/8 GB/64 GB eMMC/Google Chrome) price in India</t>
  </si>
  <si>
    <t>HP Victus 15-fb0147AX (8F503PA) Laptop (AMD Hexa Core Ryzen 5/8 GB/512 GB SSD/Windows 11/4 GB) price in India</t>
  </si>
  <si>
    <t>Lenovo S14 Gen 3 (82TW001CIH) Laptop (Core i5 12th Gen/8 GB/512 GB SSD/Windows 11) price in India</t>
  </si>
  <si>
    <t>Intel Core i7 (7th Gen) 2.8 Ghz</t>
  </si>
  <si>
    <t>Asus VivoBook 15 X1504VA-NJ524WS Laptop (Core i5 13th Gen/8 GB/512 GB SSD/Windows 11) price in India</t>
  </si>
  <si>
    <t>Asus VivoBook 15 X1504VA-NJ523WS Laptop (Core i5 13th Gen/8 GB/512 GB SSD/Windows 11) price in India</t>
  </si>
  <si>
    <t>Intel Core i7 (8th Gen) 1.8 Ghz</t>
  </si>
  <si>
    <t>Microsoft Surface Pro 9 (QCB-00014) Laptop (Core i5 12th Gen/8 GB/128 GB SSD/Windows 11) price in India</t>
  </si>
  <si>
    <t>8 GB LPDDR5 RAM, 128 GB SSD</t>
  </si>
  <si>
    <t>Microsoft Surface Pro 9 Intel Evo (QEZ-00048) Laptop (Core i5 12th Gen/8 GB/256 GB SSD/Windows 11) price in India</t>
  </si>
  <si>
    <t>Lenovo Ideapad Gaming 3 15ACH6 (82K200XNIN) Laptop (AMD Hexa Core Ryzen 5/8 GB/512 GB SSD/Windows 10/4 GB) price in India</t>
  </si>
  <si>
    <t>Intel Core i7 (8th Gen) 2.2 Ghz</t>
  </si>
  <si>
    <t>Asus ZenBook 13 UX325EA-KG722TS Laptop (Core i7 11th Gen/16 GB/512 GB SSD/Windows 10) price in India</t>
  </si>
  <si>
    <t>Lenovo Thinkpad E14 (21E3S05800) Laptop (Core i7 12th Gen/16 GB/1 TB SSD/Windows 11) price in India</t>
  </si>
  <si>
    <t>Intel Core i7 (9th Gen) 2.6 Ghz</t>
  </si>
  <si>
    <t>Asus VivoBook 15 X1502ZA-EZ511WS Laptop (Core i5 12th Gen/16 GB/512 GB SSD/Windows 11) price in India</t>
  </si>
  <si>
    <t>Asus VivoBook 15 X515JA-BQ302W Laptop (Core i3 10th Gen/8 GB/1 TB/Windows 11) price in India</t>
  </si>
  <si>
    <t>Intel Core i7 (9th Gen) 2.6 Ghz, Hexa-Core</t>
  </si>
  <si>
    <t>Asus Vivobook 16X K3605ZF-RP258WS Laptop (Core i5 12th Gen/16 GB/512 GB SSD/Windows 11/4 GB) price in India</t>
  </si>
  <si>
    <t>Intel Core i9 (11th Gen) 3.3 Ghz, Octa-Core</t>
  </si>
  <si>
    <t>Asus Vivobook 16X K3605ZC-RP587WS Laptop (Core i5 12th Gen/16 GB/512 GB SSD/Windows 11/4 GB) price in India</t>
  </si>
  <si>
    <t>Intel Core i9 (11th Gen) 4.9 Ghz, Octa-Core</t>
  </si>
  <si>
    <t>Asus Vivobook 16X K3605ZU-RP304WS Laptop (Core i5 12th Gen/16 GB/512 GB SSD/Windows 11/6 GB) price in India</t>
  </si>
  <si>
    <t>Intel Core i9 (12th Gen) 2.5 Ghz</t>
  </si>
  <si>
    <t>Asus Vivobook 16X K3605VC-RP412WS Laptop (Core i5 13th Gen/16 GB/512 GB SSD/Windows 11/4 GB) price in India</t>
  </si>
  <si>
    <t>HP Victus 15-fb3009AX (B86SWPA) Laptop (AMD Hexa Core Ryzen 5/16 GB/512 GB SSD/Windows 11/6 GB) price in India</t>
  </si>
  <si>
    <t>HP Victus 15-fb3025AX (B83U0PA) Laptop (AMD Octa Core Ryzen 9/16 GB/1 TB SSD/Windows 11/8 GB) price in India</t>
  </si>
  <si>
    <t>MSI Thin 15 B12UCX-2471IN Laptop (Core i5 12th Gen/16 GB/512 GB SSD/Windows 11/4 GB) price in India</t>
  </si>
  <si>
    <t>HP Pavilion 15-EH3101AU (840G5PA) Laptop (AMD Octa Core Ryzen 7/16 GB/512 GB SSD/Windows 11) price in India</t>
  </si>
  <si>
    <t>Lenovo Ideapad Slim 3i (81WE007YIN) Laptop (Core i5 10th Gen/4 GB/1 TB/Windows 10) price in India</t>
  </si>
  <si>
    <t>Intel Core i9 (12th Gen) 3.4 Ghz</t>
  </si>
  <si>
    <t>Asus ROG Zephyrus G14 GA403UV-QS086WS Laptop (AMD Octa Core Ryzen 9/16 GB/1 TB SSD/Windows 11/8 GB) price in India</t>
  </si>
  <si>
    <t>Lenovo Yoga 7 14IML9 (83DJ00AKIN) Laptop (Core Ultra 5/16 GB/512 GB SSD/Windows 11) price in India</t>
  </si>
  <si>
    <t>Intel Core i9 (12th Gen) 4.8 Ghz</t>
  </si>
  <si>
    <t>MSI Modern 14 C12MO-1213IN Laptop (Core i3 12th Gen/8 GB/512 GB SSD/Windows 11) price in India</t>
  </si>
  <si>
    <t>HP Victus 15-fa1276TX (9W6U6PA) Laptop (Core i7 13th Gen/16 GB/512 GB SSD/Windows 11/8 GB) price in India</t>
  </si>
  <si>
    <t>Intel Core i9 (12th Gen) 5.0 Ghz</t>
  </si>
  <si>
    <t>Acer Aspire Lite AL15-41 (UN.31ZSI.011) Laptop (AMD Octa Core Ryzen 7/16 GB/1 TB SSD/Windows 11) price in India</t>
  </si>
  <si>
    <t>Intel Core i9 (13th Gen) 2.6 Ghz</t>
  </si>
  <si>
    <t>Acer Aspire Lite AL15-52 (UN.431SI.332) Laptop (Core i5 12th Gen/8 GB/512 GB SSD/Windows 11) price in India</t>
  </si>
  <si>
    <t>Intel Core i9 (13th Gen) 4.0 Ghz</t>
  </si>
  <si>
    <t>Lenovo ThinkBook 15 Gen 5 (21JFA02NIN) Laptop (AMD Octa Core Ryzen 7/16 GB/512 GB SSD/Windows 11) price in India</t>
  </si>
  <si>
    <t>Intel Core i9 (13th Gen) 4.4 Ghz</t>
  </si>
  <si>
    <t>Acer Aspire Lite AL15-52 (UN.431SI.334) Laptop (Core i5 12th Gen/16 GB/512 GB SSD/Windows 11) price in India</t>
  </si>
  <si>
    <t>Intel Core i9 (13th Gen) 5.4 Ghz</t>
  </si>
  <si>
    <t>Dell Alienware m18 R1 (ANM18I0UCFG002CRB1) Laptop (Core i9 13th Gen/32 GB/1 TB SSD/Windows 11/12 GB) price in India</t>
  </si>
  <si>
    <t>18" (45.72 cm), 2560 x 1600 px Display</t>
  </si>
  <si>
    <t>Asus VivoBook Go E1404FA-NK522WS Laptop (AMD Quad Core Ryzen 5/8 GB/512 GB SSD/Windows 11) price in India</t>
  </si>
  <si>
    <t>Lenovo Ideapad Slim 1 (82VG009MIN1) Laptop (AMD Quad Core Ryzen 3/8 GB/512 GB SSD/Windows 11) price in India</t>
  </si>
  <si>
    <t>Lenovo Yoga 9i (83B1002GIN) Laptop (Core i7 13th Gen/16 GB/1 TB SSD/Windows 11) price in India</t>
  </si>
  <si>
    <t>HP 245 G8 (62G68PA) Laptop (AMD Dual Core Ryzen 3/8 GB/1 TB/Windows 11) price in India</t>
  </si>
  <si>
    <t>Microsoft Surface Pro 9 Intel Evo (QLP-00014) Laptop (Core i7 12th Gen/32 GB/1 TB SSD/Windows 11) price in India</t>
  </si>
  <si>
    <t>Dell Inspiron 15 3511 (D560612WIN9BE) Laptop (Core i3 10th Gen/8 GB/1 TB/Windows 10) price in India</t>
  </si>
  <si>
    <t>Gigabyte AERO 5 XE4 (RP5MXE4) Laptop (Core i7 12th Gen/16 GB/1 TB SSD/Windows 11/8 GB) price in India</t>
  </si>
  <si>
    <t>15.6" (39.62 cm), 3840 x 2160 px Display</t>
  </si>
  <si>
    <t>Dell Inspiron 15 3520 (D560868WIN9S) Laptop (Core i5 12th Gen/16 GB/512 GB SSD/Windows 11/2 GB) price in India</t>
  </si>
  <si>
    <t>Asus VivoBook 14 X415JA-BV302WS Laptop (Core i3 10th Gen/8 GB/1 TB/Windows 11) price in India</t>
  </si>
  <si>
    <t>Asus Zenbook Flip 14 OLED UP5401ZA-KN711WS Laptop (Core i7 12th Gen/16 GB/1 TB SSD/Windows 11) price in India</t>
  </si>
  <si>
    <t>Asus ROG Zephyrus G15 GA503RW-LN066WS Laptop (AMD Octa Core Ryzen 9/16 GB/1 TB SSD/Windows 11/8 GB) price in India</t>
  </si>
  <si>
    <t>Lenovo V14 Gen 2 (82KAA057IH) Laptop (Core i3 11th Gen/8 GB/256 GB SSD/DOS) price in India</t>
  </si>
  <si>
    <t>Asus Zenbook Flip 14 OLED UP5401ZA-KN701WS Laptop (Core i7 12th Gen/16 GB/512 GB SSD/Windows 11) price in India</t>
  </si>
  <si>
    <t>HP 15-fd0577TU (BG6E4PA) Laptop (Core i5 13th Gen/16 GB/512 GB SSD/Windows 11) price in India</t>
  </si>
  <si>
    <t>Lenovo IdeaPad 3 15IJL6 (82N4004QHA) Laptop (Intel Celeron Dual Core/8 GB/128 GB eMMC/Google Chrome) price in India</t>
  </si>
  <si>
    <t>Lenovo Ideapad Slim 3i (82C1002EHA) Laptop (Celeron Dual Core/4 GB/64 GB SSD/Google Chrome) price in India</t>
  </si>
  <si>
    <t>Lenovo Ideapad 330 (81DC00YEIN) Laptop (Core i3 7th Gen/4 GB/1 TB/Windows 10) price in India</t>
  </si>
  <si>
    <t>Dell G15-5530 (GN5530D83M6002ORB1) Laptop (Core i5 13th Gen/16 GB/512 GB SSD/Windows 11/6 GB) price in India</t>
  </si>
  <si>
    <t>Intel Core i9 (13th Gen) 5.6 Ghz</t>
  </si>
  <si>
    <t>Dell Alienware m16 R2 (OANM162128501RIN) Laptop (Core Ultra 9/16 GB/1 TB SSD/Windows 11/8 GB) price in India</t>
  </si>
  <si>
    <t>HP 250 G9 (8Y2Y9PA) Laptop (Intel Celeron Dual Core/8 GB/256 GB SSD/DOS) price in India</t>
  </si>
  <si>
    <t>HP 15s-fq5190tu (7W476PA) Laptop (Core i7 12th Gen/16 GB/512 GB SSD/Windows 11) price in India</t>
  </si>
  <si>
    <t>Lenovo V15 ITL G2 (82KB00EUIN) Laptop (Core i3 11th Gen/4 GB/1 TB/DOS) price in India</t>
  </si>
  <si>
    <t>Acer Swift Go 14 SFG14-41 (NX.KG3SI.004) Laptop (AMD Hexa Core Ryzen 5/8 GB/512 GB SSD/Windows 11) price in India</t>
  </si>
  <si>
    <t>Dell Vostro 3425 (D552308WIN9B) Laptop (AMD Quad Core Ryzen 3/8 GB/256 GB SSD/Windows 11) price in India</t>
  </si>
  <si>
    <t>Lenovo V15 (82C700H3IH) Laptop (AMD Dual Core Ryzen 3/4 GB/1 TB/Windows 10) price in India</t>
  </si>
  <si>
    <t>Dell G15-5525 (D560896WIN9S) Laptop (AMD Octa Core Ryzen 9/16 GB/1 TB SSD/Windows 11/6 GB) price in India</t>
  </si>
  <si>
    <t>Lenovo Ideapad Slim 1 15ADA7 (82R1007XIN) Laptop (AMD Dual Core Ryzen 3/8 GB/512 GB SSD/Windows 11) price in India</t>
  </si>
  <si>
    <t>Asus ROG Zephyrus G15 GA503RM-HQ111WS Laptop (AMD Octa Core Ryzen 7/16 GB/1 TB SSD/Windows 11/6 GB) price in India</t>
  </si>
  <si>
    <t>Intel Core i9 (13th Gen) 5.8 Ghz</t>
  </si>
  <si>
    <t>Dell Alienware X14 R1 (D569938WIN9) Laptop (Core i7 12th Gen/16 GB/512 GB SSD/Windows 11/4 GB) price in India</t>
  </si>
  <si>
    <t>Intel Core i9 (14th Gen) 5.8 Ghz</t>
  </si>
  <si>
    <t>Asus VivoBook 15 X515JA-BQ501W Laptop (Core i5 10th Gen/8 GB/1 TB/Windows 11) price in India</t>
  </si>
  <si>
    <t>Asus ROG Strix G16 G615LR-S5190WS Laptop (Core Ultra 9 Series 2 /32 GB/1 TB SSD/Windows 11/12 GB) price in India</t>
  </si>
  <si>
    <t>Intel Core Ultra 5 (Series 2) 4.5 Ghz, Octa-Core</t>
  </si>
  <si>
    <t>HP 15-fc1004AU (AK6C7PA) Laptop (AMD Hexa Core Ryzen 5/8 GB/512 GB SSD/Windows 11) price in India</t>
  </si>
  <si>
    <t>Thomson Neo IN-N15V2C4SL128 Laptop (Intel Celeron Dual Core/4 GB/128 GB SSD/Windows 11) price in India</t>
  </si>
  <si>
    <t>4 GB LPDDR4 RAM, 128 GB SSD</t>
  </si>
  <si>
    <t>Lenovo V15 G2 (82QYA00HIN) Laptop (Intel Celeron Dual Core/8 GB/256 GB SSD/DOS) price in India</t>
  </si>
  <si>
    <t>Lenovo E41-55 (82FJ00B5IH) Laptop (AMD Dual Core Athlon/4 GB/1 TB/DOS) price in India</t>
  </si>
  <si>
    <t>Intel Core Ultra 5 (Series 2) 4.9 Ghz</t>
  </si>
  <si>
    <t>Lenovo E41-55 (82FJ00B2IH) Laptop (AMD Dual Core Athlon/4 GB/1 TB/DOS) price in India</t>
  </si>
  <si>
    <t>Dell Inspiron 15 3511 (D560593WIN9SE) Laptop (Core i3 10th Gen/8 GB/1 TB/Windows 10) price in India</t>
  </si>
  <si>
    <t>Dell Inspiron 15 3511 (D560581WIN9BE) Laptop (Core i3 11th Gen/8 GB/256 GB SSD/Windows 10) price in India</t>
  </si>
  <si>
    <t>Lenovo Ideapad Slim 5 14ABA7 (82SE005SIN) Laptop (AMD Hexa Core Ryzen 5/16 GB/512 GB SSD/Windows 11) price in India</t>
  </si>
  <si>
    <t>Lenovo Ideapad Slim 5i (82SF004WIN) Laptop (Core i5 12th Gen/16 GB/512 GB SSD/Windows 11) price in India</t>
  </si>
  <si>
    <t>Intel Core Ultra 5 4.2 Ghz, Octa-Core</t>
  </si>
  <si>
    <t>Asus ROG Zephyrus Duo 16 GX650RMZ-LS019WS Laptop (AMD Octa Core Ryzen 7/32 GB/2 TB SSD/Windows 11/6 GB) price in India</t>
  </si>
  <si>
    <t>Acer Extensa EX215-31 (NX.EFTSI.005) Laptop (Intel Pentium Quad Core/4 GB/1 TB/Windows 11) price in India</t>
  </si>
  <si>
    <t>Intel Core Ultra 5 4.3 Ghz</t>
  </si>
  <si>
    <t>Asus Vivobook Go 15 X1500KA-EJ021W Laptop (Intel Celeron Dual Core/8 GB/512 GB SSD/Windows 11) price in India</t>
  </si>
  <si>
    <t>HP 15-fc0156AU (9D3N4PA) Laptop (AMD Quad Core Ryzen 5/16 GB/512 GB SSD/Windows 11) price in India</t>
  </si>
  <si>
    <t>HP 15-fd0220TU (9D3N0PA) Laptop (Core i5 13th Gen/8 GB/512 GB SSD/Windows 11) price in India</t>
  </si>
  <si>
    <t>Lenovo LOQ 15IRX9 (83DV007JIN) Laptop (Core i5 13th Gen/16 GB/512 GB SSD/Windows 11/6 GB) price in India</t>
  </si>
  <si>
    <t>Intel Core Ultra 5 4.5 Ghz</t>
  </si>
  <si>
    <t>HP 245 G9 (841W7PA) Laptop (AMD Dual Core Ryzen 3/8 GB/512 GB SSD/DOS) price in India</t>
  </si>
  <si>
    <t>HP Envy x360 15-ew0041TU (81C90PA) Laptop (Core i5 12th Gen/16 GB/512 GB SSD/Windows 11) price in India</t>
  </si>
  <si>
    <t>Lenovo IdeaPad 3i ChromeBook (82N4004JHA) Laptop (Intel Celeron Dual Core/8 GB/64 GB eMMC/Google Chrome) price in India</t>
  </si>
  <si>
    <t>HP 240 G8 (4K5D5PA) Laptop (Core i3 11th Gen/8 GB/512 GB SSD/DOS) price in India</t>
  </si>
  <si>
    <t>HP 15-fd0468TU (B61ZJPA) Laptop (Core i7/16 GB/512 GB SSD/Windows 11) price in India</t>
  </si>
  <si>
    <t>HP Spectre x360 16-aa0665TU (9T8K8PA) Laptop (Intel Core Ultra 7/32 GB/2 TB SSD/Windows 11) price in India</t>
  </si>
  <si>
    <t>Lenovo IdeaPad Slim 3 15IRU8 (82X700F0IN) Laptop (Core i3 13th Gen/8 GB/512 GB SSD/Windows 11) price in India</t>
  </si>
  <si>
    <t>Asus Zenbook A14 OLED UX3407QA-QD259WS Laptop (Qualcomm Snapdragon Octa Core/16 GB/512 GB SSD/Windows 11) price in India</t>
  </si>
  <si>
    <t>Asus ROG Zephyrus G16 GU605MV-CO4711WS Laptop (Core Ultra 7/16 GB/1 TB SSD/Windows 11/8 GB) price in India</t>
  </si>
  <si>
    <t>16" (40.64 cm), 2560 x 1600 px, OLED Display</t>
  </si>
  <si>
    <t>HP Omen 16-wf1150TX (B1UV6PA) Laptop (Core i7 14th Gen/16 GB/1 TB SSD/Windows 11/8 GB) price in India</t>
  </si>
  <si>
    <t>Asus Vivobook 14 Flip OLED TP3407SA-QL025WS Laptop (Core Ultra 7/16 GB/512 GB SSD/Windows 11) price in India</t>
  </si>
  <si>
    <t>Lenovo Legion Slim 5 16AHP9 Gen 9 (83DH008HIN) Laptop (AMD Octa Core Ryzen 7/16 GB/1 TB SSD/Windows 11/8 GB) price in India</t>
  </si>
  <si>
    <t>Intel Core Ultra 7 (Series 2) 4.8 Ghz, Octa-Core</t>
  </si>
  <si>
    <t>Lenovo IdeaPad Pro 5 14IMH9 (83D2004XIN) Laptop (Core Ultra 9/32 GB/1 TB SSD/Windows 11) price in India</t>
  </si>
  <si>
    <t>MSI Modern 15 B12MO-1008IN Laptop (Core i3 12th Gen/8 GB/512 GB SSD/Windows 11) price in India</t>
  </si>
  <si>
    <t>Lenovo ThinkBook (20SLA047IH) Laptop (Core i3 10th Gen/4 GB/1 TB/Windows 10) price in India</t>
  </si>
  <si>
    <t>Apple MacBook Pro M4 MX2J3HN/A Ultrabook (Apple M4 Pro/24 GB/1 TB SSD/macOS Sequoia) price in India</t>
  </si>
  <si>
    <t>MSI Modern 15 H C13M-218IN Laptop (Core i5 13th Gen/16 GB/512 GB SSD/Windows 11) price in India</t>
  </si>
  <si>
    <t>Microsoft Surface 7 (ZHH-00048) Laptop (Snapdragon X Elite/16 GB/512 GB SSD/Windows 11) price in India</t>
  </si>
  <si>
    <t>Asus Zenbook 14 OLED UX3405MA-PZ962WS Laptop (Core Ultra 9/32 GB/1 TB SSD/Windows 11) price in India</t>
  </si>
  <si>
    <t>Intel Core Ultra 7 (Series 2) 5.1 Ghz</t>
  </si>
  <si>
    <t>Lenovo Ideapad Gaming 3 (82SB00QJIN) Laptop (AMD Hexa Core Ryzen 5/16 GB/512 GB SSD/Windows 11/4 GB) price in India</t>
  </si>
  <si>
    <t>Lenovo ThinkBook 15 (21DJA04NIH) Laptop (Core i7 12th Gen/16 GB/512 GB SSD/Windows 11) price in India</t>
  </si>
  <si>
    <t>Intel Core Ultra 7 4.8 Ghz</t>
  </si>
  <si>
    <t>MSI Pulse 17 B13VGK-652IN Laptop (Core i9 13th Gen/16 GB/1 TB SSD/Windows 11/8 GB) price in India</t>
  </si>
  <si>
    <t>Dell Inspiron 14 5430 (IN54304D6P9M01ORS1) Laptop (Core i7 13th Gen/16 GB/512 GB SSD/Windows 11) price in India</t>
  </si>
  <si>
    <t>HP ProBook 445 G8 (7K2J9PA) Laptop (AMD Octa Core Ryzen 7/8 GB/512 GB SSD/DOS) price in India</t>
  </si>
  <si>
    <t>MSI Katana 17 B13UCXK-256IN Laptop (Core i7 13th Gen/16 GB/512 GB SSD/Windows 11/4 GB) price in India</t>
  </si>
  <si>
    <t>Dell Inspiron 16 7620 (D560906WIN9S) Laptop (Core i7 12th Gen/16 GB/512 GB SSD/Windows 11/2 GB) price in India</t>
  </si>
  <si>
    <t>Dell XPS 13 9315 (D560076WIN9S) Laptop (Core i5 12th Gen/16 GB/512 GB SSD/Windows 11) price in India</t>
  </si>
  <si>
    <t>Slim 7.40 mm</t>
  </si>
  <si>
    <t>Asus ProArt Studiobook Pro 16 OLED H7600ZW-L911WS Laptop (Core i9 12th Gen/32 GB/1 TB SSD/Windows 11/8 GB) price in India</t>
  </si>
  <si>
    <t>HP Omen 16-n0054AX (6J390PA) Laptop (AMD Octa Core Ryzen 7/16 GB/1 TB SSD/Windows 11/6 GB) price in India</t>
  </si>
  <si>
    <t>Asus ROG Zephyrus M16 GU603ZM-K8034WS Laptop (Core i7 12th Gen/16 GB/512 GB SSD/Windows 11/6 GB) price in India</t>
  </si>
  <si>
    <t>Asus ROG Strix Scar 15 G533ZXZ-LN116WS Laptop (Core i9 12th Gen/32 GB/1 TB SSD/Windows 11/16 GB) price in India</t>
  </si>
  <si>
    <t>Lenovo Yoga Slim 7i Pro Intel Evo (82SV0053IN) Laptop (Core i7 12th Gen/16 GB/512 GB SSD/Windows 11) price in India</t>
  </si>
  <si>
    <t>Asus ROG Zephyrus Duo 16 GX650RXZ-LO227WS Laptop (AMD Octa Core Ryzen 9/32 GB/2 TB SSD/Windows 11/16 GB) price in India</t>
  </si>
  <si>
    <t>Asus ROG Zephyrus G14 GA402RK-L8147WS Laptop (AMD Octa Core Ryzen 9/32 GB/1 TB SSD/Windows 11/8 GB) price in India</t>
  </si>
  <si>
    <t>Asus ROG Strix G17 G713RS-LL023WS Laptop (AMD Octa Core Ryzen 9/16 GB/1 TB SSD/Windows 11/8 GB) price in India</t>
  </si>
  <si>
    <t>Acer Aspire 3 A314-22 (NX.HVVSI.007) Laptop (AMD Dual Core Athlon/4 GB/1 TB/Windows 11) price in India</t>
  </si>
  <si>
    <t>Asus Vivobook S 14 Flip TP3402VAO-LZ612WS Laptop (Core i5 13th Gen/16 GB/512 GB SSD/Windows 11) price in India</t>
  </si>
  <si>
    <t>Asus Vivobook S 14 Flip TP3402VAO-LZ619WS Laptop (Core i5 13th Gen/16 GB/512 GB SSD/Windows 11) price in India</t>
  </si>
  <si>
    <t>Thomson Neo 15 IN-N15I512-16GR512 Laptop (Core i5 12th Gen/16 GB/512 GB SSD/Windows 11) price in India</t>
  </si>
  <si>
    <t>Lenovo Thinkpad E14 (20TA00J2IG) Laptop (Core i5 11th Gen/16 GB/512 GB SSD/Windows 11) price in India</t>
  </si>
  <si>
    <t>Lenovo Yoga Slim 7i Carbon 13IAP7 (82U90080IN) Laptop (Core i7 12th Gen/16 GB/1 TB SSD/Windows 11) price in India</t>
  </si>
  <si>
    <t>Asus ZenBook Pro 14 Duo OLED Intel Evo UX8402ZA-LM711WS Laptop (Core i7 12th Gen/16 GB/1 TB SSD/Windows 11) price in India</t>
  </si>
  <si>
    <t>Slim 19.6 mm</t>
  </si>
  <si>
    <t>Asus Vivobook 16X K3605ZC-RP628WS Laptop (Core i7 12th Gen/16 GB/512 GB SSD/Windows 11/4 GB) price in India</t>
  </si>
  <si>
    <t>Samsung Galaxy Book 4 Pro NP960XGK-KG1IN Laptop (Core Ultra 5/16 GB/512 GB SSD/Windows 11) price in India</t>
  </si>
  <si>
    <t>Asus VivoBook 15 X1504ZA-NJ542WS Laptop (Core i5 12th Gen/16 GB/512 GB SSD/Windows 11) price in India</t>
  </si>
  <si>
    <t>HP Victus 16-d0314TX (7K8N8PA) Laptop (Core i5 11th Gen/16 GB/512 GB SSD/Windows 11/4 GB) price in India</t>
  </si>
  <si>
    <t>Lenovo ThinkBook 15 (21DJ00EXIH) Laptop (Core i5 12th Gen/8 GB/512 GB SSD/Windows 11) price in India</t>
  </si>
  <si>
    <t>Intel Core Ultra 9 (Series 2) 5.4 Ghz</t>
  </si>
  <si>
    <t>Asus ROG Zephyrus Duo 16 GX650RXZ-LB226WS Laptop (AMD Octa Core Ryzen 9/32 GB/2 TB SSD/Windows 11/16 GB) price in India</t>
  </si>
  <si>
    <t>16" (40.64 cm), 3840 x 2400 px Display</t>
  </si>
  <si>
    <t>Asus Vivobook K15 OLED KM513UA-L712WS Laptop (AMD Octa Core Ryzen 7/16 GB/512 GB SSD/Windows 11) price in India</t>
  </si>
  <si>
    <t>Lenovo V14 (82KA00G8IH) Laptop (Core i3 11th Gen/8 GB/256 GB SSD/Windows 11) price in India</t>
  </si>
  <si>
    <t>Fujitsu CH 4ZR1L82434 Laptop (Core i7 13th Gen/16 GB/512 GB SSD/Windows 11) price in India</t>
  </si>
  <si>
    <t>Intel Core Ultra 9 5.1 Ghz</t>
  </si>
  <si>
    <t>Asus ROG Zephyrus G15 GA503RMZ-HQ154WS Laptop (AMD Octa Core Ryzen 7/16 GB/1 TB SSD/Windows 11/6 GB) price in India</t>
  </si>
  <si>
    <t>Asus ROG Flow X16 GV601RM-M5039WS Laptop (AMD Octa Core Ryzen 9/16 GB/1 TB SSD/Windows 11/6 GB) price in India</t>
  </si>
  <si>
    <t>Asus TUF Gaming F16 FX607VB-RL087WS Laptop (Core 5 Series 2 /16 GB/512 GB SSD/Windows 11/4 GB) price in India</t>
  </si>
  <si>
    <t>Asus Gaming V16 V3607VU-RP275WS Laptop (Core 7 Series 2 /16 GB/512 GB SSD/Windows 11/6 GB) price in India</t>
  </si>
  <si>
    <t>Asus ProArt PZ13 OLED HT5306QA-LX402WS Laptop (Snapdragon X Plus Octa Core/16 GB/1 TB SSD/Windows 11) price in India</t>
  </si>
  <si>
    <t>Slim 9 mm</t>
  </si>
  <si>
    <t>Thomson Neo IN-N14C4SL128 Laptop (Intel Celeron Dual Core/4 GB/128 GB SSD/Windows 11) price in India</t>
  </si>
  <si>
    <t>14.1" (35.81 cm), 1366 x 768 px Display</t>
  </si>
  <si>
    <t>Thomson Neo IN-PX14C4SL128 Laptop (Intel Celeron Dual Core/4 GB/128 GB SSD/Windows 11) price in India</t>
  </si>
  <si>
    <t>Microsoft Surface 5 Intel Evo (QZI-00023) Laptop (Core i5 12th Gen/8 GB/256 GB SSD/Windows 11) price in India</t>
  </si>
  <si>
    <t>Intel Pentium Gold 2.0 Ghz, Dual-Core</t>
  </si>
  <si>
    <t>13.5" (34.29 cm), 1920 x 1080 px Display</t>
  </si>
  <si>
    <t>Asus ROG Flow X13 GV301RE-LJ156WS Laptop (AMD Octa Core Ryzen 9/32 GB/1 TB SSD/Windows 11/4 GB) price in India</t>
  </si>
  <si>
    <t>Intel Pentium Quad-Core 1.6 Ghz</t>
  </si>
  <si>
    <t>Asus TUF Gaming A15 FA577RM-HQ032WS Laptop (AMD Octa Core Ryzen 7/16 GB/1 TB SSD/Windows 11/6 GB) price in India</t>
  </si>
  <si>
    <t>Intel Pentium Quad-Core 2.0 Ghz, Quad-Core</t>
  </si>
  <si>
    <t>HP 15-fd0466TU (B61ZGPA) Laptop (Core i5 13th Gen/8 GB/512 GB SSD/Windows 11) price in India</t>
  </si>
  <si>
    <t>Intel Pentium Quad-Core 3.1 Ghz, Quad-Core</t>
  </si>
  <si>
    <t>HP OmniBook X Flip 14-fm0026TU (B91BPPA) Laptop (Core Ultra 7 Series 2 /16 GB/512 GB SSD/Windows 11) price in India</t>
  </si>
  <si>
    <t>Intel Pentium Quad-Core 3.4 Ghz, Quad-Core</t>
  </si>
  <si>
    <t>Slim 14.6 mm</t>
  </si>
  <si>
    <t>Asus Vivobook Go 15 E510KA-EJ9011WS Laptop (Intel Celeron Dual Core/8 GB/512 GB SSD/Windows 11) price in India</t>
  </si>
  <si>
    <t>Lenovo LOQ 15IAX9 (83GS00LNIN) Laptop (Core i5 12th Gen/16 GB/512 GB SSD/Windows 11/6 GB) price in India</t>
  </si>
  <si>
    <t>MediaTek Octa-core 2.0 Ghz, Octa-Core</t>
  </si>
  <si>
    <t>MSI Modern 15 B12MO-1007IN Laptop (Core i5 13th Gen/16 GB/512 GB SSD/Windows 11) price in India</t>
  </si>
  <si>
    <t>Microsoft Surface Pro 11 (ZID-00014) Laptop (Snapdragon X Elite/32 GB/1 TB SSD/Windows 11) price in India</t>
  </si>
  <si>
    <t>Asus VivoBook 15 X1504VAP-NJ541WS Laptop (Core 5 Series 1 /16 GB/512 GB SSD/Windows 11) price in India</t>
  </si>
  <si>
    <t>MediaTek Octa-core 2.5 Ghz, Octa-Core</t>
  </si>
  <si>
    <t>Lenovo ThinkPad E14 Gen 5 (21JKS1FT00) Laptop (Core i7 13th Gen/16 GB/512 GB SSD/Windows 11) price in India</t>
  </si>
  <si>
    <t>MediaTek Octa-core 2.6 Ghz, Octa-Core</t>
  </si>
  <si>
    <t>Lenovo LOQ (82XT004KIN) Laptop (AMD Octa Core Ryzen 7/16 GB/512 GB SSD/Windows 11/8 GB) price in India</t>
  </si>
  <si>
    <t>Qualcomm Snapdragon Octa-Core 2.9 Ghz, Octa-Core</t>
  </si>
  <si>
    <t>MSI Stealth 16 Mercedes AMG A13VG-264IN Laptop (Core i9 13th Gen/32 GB/2 TB SSD/Windows 11/8 GB) price in India</t>
  </si>
  <si>
    <t>Qualcomm Snapdragon Octa-Core, Octa-Core</t>
  </si>
  <si>
    <t>Asus VivoBook 15 X1504VA-NJ543WS Laptop (Core i5 13th Gen/16 GB/512 GB SSD/Windows 11) price in India</t>
  </si>
  <si>
    <t>Asus ROG Strix G18 G814JI-N6097WS Laptop (Core i9 13th Gen/16 GB/1 TB SSD/Windows 11/8 GB) price in India</t>
  </si>
  <si>
    <t>Snapdragon X Elite 3.4 Ghz</t>
  </si>
  <si>
    <t>Asus ROG Zephyrus G14 GA402XV-N2034WS Laptop (AMD Octa Core Ryzen 9/32 GB/1 TB SSD/Windows 11/8 GB) price in India</t>
  </si>
  <si>
    <t>Lenovo Thinkpad P15v Gen3 (21D8S05G00) Laptop (Core i7 12th Gen/32 GB/1 TB SSD/Windows 11/4 GB) price in India</t>
  </si>
  <si>
    <t>Lenovo V14 Gen 2 (82KAA08BIH) Laptop (Core i3 11th Gen/8 GB/512 GB SSD/DOS) price in India</t>
  </si>
  <si>
    <t>Lenovo V14 G2 ITL (82KAA04QIH) Laptop (Core i5 11th Gen/8 GB/512 GB SSD/DOS) price in India</t>
  </si>
  <si>
    <t>Lenovo Thinkpad E14 Gen 4 (21E3S00L00) Laptop (Core i5 12th Gen/8 GB/512 GB SSD/Windows 11) price in India</t>
  </si>
  <si>
    <t>Dell Vostro 3510 (BTS-ICC-D585051WIN8) Laptop (Core i3 11th Gen/8 GB/1 TB 256 GB SSD/Windows 11) price in India</t>
  </si>
  <si>
    <t>Asus Vivobook K15 OLED KM513UA-L513WS Laptop (AMD Hexa Core Ryzen 5/16 GB/512 GB SSD/Windows 11) price in India</t>
  </si>
  <si>
    <t>Dell Alienware x17 R1 (D569936WIN9) Laptop (Core i9 11th Gen/32 GB/1 TB SSD/Windows 11/16 GB) price in India</t>
  </si>
  <si>
    <t>Dell XPS 13 9315 (D560077WIN9S) Laptop (Core i7 12th Gen/16 GB/1 TB SSD/Windows 11) price in India</t>
  </si>
  <si>
    <t>Dell Vostro 5625 (D552265WIN9S) Laptop (AMD Octa Core Ryzen 7/16 GB/512 GB SSD/Windows 11) price in India</t>
  </si>
  <si>
    <t>Snapdragon X Plus 3.2 Ghz, Octa-Core</t>
  </si>
  <si>
    <t>Asus TUF Gaming F15 FA507RE-HN043WS Laptop (AMD Octa Core Ryzen 7/16 GB/1 TB SSD/Windows 11/4 GB) price in India</t>
  </si>
  <si>
    <t>Snapdragon X Plus 3.4 Ghz, Deca-Core</t>
  </si>
  <si>
    <t>Asus ROG Flow X16 GV601RM-M5053WS Laptop (AMD Octa Core Ryzen7/16 GB/1 TB SSD/Windows 11/6 GB) price in India</t>
  </si>
  <si>
    <t>Asus VivoBook Pro 15 M6500IH-HN702WS Laptop (AMD Octa Core Ryzen 7/16 GB/512 GB SSD/Windows 11/4 GB) price in India</t>
  </si>
  <si>
    <t>Asus ROG Zephyrus G14 GA402RK-L8148WS Laptop (AMD Octa Core Ryzen 9/32 GB/1 TB SSD/Windows 11/8 GB) price in India</t>
  </si>
  <si>
    <t>Snapdragon X Plus 3.4 Ghz, Octa-Core</t>
  </si>
  <si>
    <t>Lenovo Yoga 9i Gen 7 Intel Evo (82LU008TIN) Laptop (Core i7 12th Gen/16 GB/1 TB SSD/Windows 11) price in India</t>
  </si>
  <si>
    <t>14" (35.56 cm), 3840 x 2160 px Display</t>
  </si>
  <si>
    <t>Asus ROG Zephyrus Duo 16 GX650RXZ-LS228WS Laptop (AMD Octa Core Ryzen 9/32 GB/2 TB SSD/Windows 11/16 GB) price in India</t>
  </si>
  <si>
    <t>Snapdragon X Plus Deca-Core 3.4 Ghz, Deca-Core</t>
  </si>
  <si>
    <t>5 USB Ports</t>
  </si>
  <si>
    <t>Dell XPS 13 9320 (D560074WIN9S) Laptop (Core i5 12th Gen/16 GB/512 GB SSD/Windows 11) price in India</t>
  </si>
  <si>
    <t>Snapdragon X Plus Octa-Core 3.2 Ghz, Octa-Core</t>
  </si>
  <si>
    <t>13.4" (34.04 cm), 3840 x 2160 px Display</t>
  </si>
  <si>
    <t>(All)</t>
  </si>
  <si>
    <t>Average of Price</t>
  </si>
  <si>
    <t>Low-Tier</t>
  </si>
  <si>
    <t>Mid-Tier</t>
  </si>
  <si>
    <t>Top-Tier</t>
  </si>
  <si>
    <t>Acer</t>
  </si>
  <si>
    <t>AMD Deca-Core Ryzen 9</t>
  </si>
  <si>
    <t>AMD Dual-Core Ryzen 3</t>
  </si>
  <si>
    <t>AMD Hexa-Core Ryzen 5</t>
  </si>
  <si>
    <t>AMD Octa-Core Ryzen 7</t>
  </si>
  <si>
    <t>AMD Quad-Core Ryzen 3</t>
  </si>
  <si>
    <t>AMD Quad-Core Ryzen 5</t>
  </si>
  <si>
    <t>Apple M2</t>
  </si>
  <si>
    <t>Apple M3</t>
  </si>
  <si>
    <t>Apple M4</t>
  </si>
  <si>
    <t>Intel Celeron Dual-Core</t>
  </si>
  <si>
    <t>Intel Core i3 (10th Gen)</t>
  </si>
  <si>
    <t>Intel Core i3 (11th Gen)</t>
  </si>
  <si>
    <t>Intel Core i3 (12th Gen)</t>
  </si>
  <si>
    <t>Intel Core i3 (13th Gen)</t>
  </si>
  <si>
    <t>Intel Core i3 (6th Gen)</t>
  </si>
  <si>
    <t>Intel Core i3 (7th Gen)</t>
  </si>
  <si>
    <t>Intel Core i3 (8th Gen)</t>
  </si>
  <si>
    <t>Intel Core i5 (11th Gen)</t>
  </si>
  <si>
    <t>Intel Core i5 (12th Gen)</t>
  </si>
  <si>
    <t>Intel Core i5 (13th Gen)</t>
  </si>
  <si>
    <t>Intel Core i7 (11th Gen)</t>
  </si>
  <si>
    <t>Intel Core i7 (12th Gen)</t>
  </si>
  <si>
    <t>Intel Core i7 (13th Gen)</t>
  </si>
  <si>
    <t>Intel Core i7 (14th Gen)</t>
  </si>
  <si>
    <t>Intel Core i9 (13th Gen)</t>
  </si>
  <si>
    <t>Intel Core Ultra 5</t>
  </si>
  <si>
    <t>Intel Core Ultra 7</t>
  </si>
  <si>
    <t>Apple</t>
  </si>
  <si>
    <t>AMD Dodeca-Core</t>
  </si>
  <si>
    <t xml:space="preserve">AMD Dual-Core A6 APU </t>
  </si>
  <si>
    <t xml:space="preserve">AMD Dual-Core Athlon </t>
  </si>
  <si>
    <t>AMD Hexa-Core</t>
  </si>
  <si>
    <t>AMD Hexadeca-Core Ryzen 9</t>
  </si>
  <si>
    <t>AMD Octa-Core Ryzen 9</t>
  </si>
  <si>
    <t>Asus</t>
  </si>
  <si>
    <t>AMD Octa-Core Ryzen AI 7</t>
  </si>
  <si>
    <t>AMD Quad-Core A6 APU</t>
  </si>
  <si>
    <t xml:space="preserve">AMD Quad-Core A8 APU </t>
  </si>
  <si>
    <t xml:space="preserve">AMD Quad-Core APU </t>
  </si>
  <si>
    <t>Intel Celeron Quad-Core</t>
  </si>
  <si>
    <t>Intel Core 5 (Series 1)</t>
  </si>
  <si>
    <t>Intel Core 7 (Series 1)</t>
  </si>
  <si>
    <t>Intel Core 7 (Series 2)</t>
  </si>
  <si>
    <t xml:space="preserve">Intel Core i3 (8th Gen) </t>
  </si>
  <si>
    <t>Intel Core i5 (10th Gen)</t>
  </si>
  <si>
    <t>Intel Core i5 (7th Gen)</t>
  </si>
  <si>
    <t>Intel Core i5 (8th Gen)</t>
  </si>
  <si>
    <t>Intel Core i5 (9th Gen)</t>
  </si>
  <si>
    <t>Intel Core i7 (7th Gen)</t>
  </si>
  <si>
    <t>Intel Core i7 (8th Gen)</t>
  </si>
  <si>
    <t>Intel Core i7 (9th Gen)</t>
  </si>
  <si>
    <t>Intel Core i9 (11th Gen)</t>
  </si>
  <si>
    <t>Intel Core i9 (12th Gen)</t>
  </si>
  <si>
    <t>Intel Core i9 (14th Gen)</t>
  </si>
  <si>
    <t>Intel Core Ultra 9</t>
  </si>
  <si>
    <t>Intel Pentium Quad-Core</t>
  </si>
  <si>
    <t xml:space="preserve">MediaTek Octa-core </t>
  </si>
  <si>
    <t>Qualcomm Snapdragon Octa-Core</t>
  </si>
  <si>
    <t>Snapdragon X Elite</t>
  </si>
  <si>
    <t xml:space="preserve">Snapdragon X Plus </t>
  </si>
  <si>
    <t>Snapdragon X Plus Deca-Core</t>
  </si>
  <si>
    <t>Avita</t>
  </si>
  <si>
    <t>Dell</t>
  </si>
  <si>
    <t>Intel Core i5 (6th Gen)</t>
  </si>
  <si>
    <t>Snapdragon X Plus Octa-Core</t>
  </si>
  <si>
    <t>Fujitsu</t>
  </si>
  <si>
    <t>Gigabyte</t>
  </si>
  <si>
    <t>HP</t>
  </si>
  <si>
    <t>AMD Hexa-Core Ryzen AI</t>
  </si>
  <si>
    <t>Intel Core 3 (Series 1)</t>
  </si>
  <si>
    <t>Intel Core 5 (Series 2)</t>
  </si>
  <si>
    <t>Infinix</t>
  </si>
  <si>
    <t>Intel Core i3 (4th Gen)</t>
  </si>
  <si>
    <t>Lenovo</t>
  </si>
  <si>
    <t>AMD Dodeca-Core Ryzen 9</t>
  </si>
  <si>
    <t>Microsoft</t>
  </si>
  <si>
    <t>Intel Pentium Gold</t>
  </si>
  <si>
    <t>Motorola</t>
  </si>
  <si>
    <t>MSI</t>
  </si>
  <si>
    <t>AMD Octa-Core Ryzen AI</t>
  </si>
  <si>
    <t>Primebo</t>
  </si>
  <si>
    <t>Samsung</t>
  </si>
  <si>
    <t>Thomson</t>
  </si>
  <si>
    <t>Wings</t>
  </si>
  <si>
    <t>Zebronics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</si>
</sst>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" fontId="0" fillId="0" borderId="0" xfId="0" applyNumberFormat="1"/>
    <xf numFmtId="12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8" fillId="0" borderId="0" xfId="0" applyFont="1"/>
    <xf numFmtId="2" fontId="18" fillId="0" borderId="0" xfId="0" applyNumberFormat="1" applyFont="1"/>
    <xf numFmtId="12" fontId="18" fillId="0" borderId="0" xfId="0" applyNumberFormat="1" applyFont="1"/>
    <xf numFmtId="0" fontId="18" fillId="0" borderId="0" xfId="0" applyFont="1" applyAlignment="1">
      <alignment horizontal="center"/>
    </xf>
    <xf numFmtId="0" fontId="0" fillId="0" borderId="0" xfId="0" pivotButton="1"/>
    <xf numFmtId="0" fontId="17" fillId="33" borderId="0" xfId="0" applyFont="1" applyFill="1"/>
    <xf numFmtId="0" fontId="0" fillId="34" borderId="0" xfId="0" applyFill="1"/>
    <xf numFmtId="2" fontId="0" fillId="34" borderId="0" xfId="0" applyNumberFormat="1" applyFill="1"/>
    <xf numFmtId="0" fontId="17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8"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ill>
        <patternFill patternType="solid">
          <fgColor indexed="64"/>
          <bgColor theme="2" tint="-0.8999908444471571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Rating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'Cleaned Laptop Dataset'!$E$1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'Cleaned Laptop Dataset'!$E$2:$E$1681</c:f>
              <c:numCache>
                <c:formatCode>#\ ?/?</c:formatCode>
                <c:ptCount val="168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98</c:v>
                </c:pt>
                <c:pt idx="111">
                  <c:v>98</c:v>
                </c:pt>
                <c:pt idx="112">
                  <c:v>98</c:v>
                </c:pt>
                <c:pt idx="113">
                  <c:v>98</c:v>
                </c:pt>
                <c:pt idx="114">
                  <c:v>98</c:v>
                </c:pt>
                <c:pt idx="115">
                  <c:v>98</c:v>
                </c:pt>
                <c:pt idx="116">
                  <c:v>98</c:v>
                </c:pt>
                <c:pt idx="117">
                  <c:v>98</c:v>
                </c:pt>
                <c:pt idx="118">
                  <c:v>98</c:v>
                </c:pt>
                <c:pt idx="119">
                  <c:v>96</c:v>
                </c:pt>
                <c:pt idx="120">
                  <c:v>96</c:v>
                </c:pt>
                <c:pt idx="121">
                  <c:v>96</c:v>
                </c:pt>
                <c:pt idx="122">
                  <c:v>96</c:v>
                </c:pt>
                <c:pt idx="123">
                  <c:v>96</c:v>
                </c:pt>
                <c:pt idx="124">
                  <c:v>96</c:v>
                </c:pt>
                <c:pt idx="125">
                  <c:v>96</c:v>
                </c:pt>
                <c:pt idx="126">
                  <c:v>96</c:v>
                </c:pt>
                <c:pt idx="127">
                  <c:v>96</c:v>
                </c:pt>
                <c:pt idx="128">
                  <c:v>96</c:v>
                </c:pt>
                <c:pt idx="129">
                  <c:v>96</c:v>
                </c:pt>
                <c:pt idx="130">
                  <c:v>96</c:v>
                </c:pt>
                <c:pt idx="131">
                  <c:v>96</c:v>
                </c:pt>
                <c:pt idx="132">
                  <c:v>96</c:v>
                </c:pt>
                <c:pt idx="133">
                  <c:v>96</c:v>
                </c:pt>
                <c:pt idx="134">
                  <c:v>96</c:v>
                </c:pt>
                <c:pt idx="135">
                  <c:v>96</c:v>
                </c:pt>
                <c:pt idx="136">
                  <c:v>96</c:v>
                </c:pt>
                <c:pt idx="137">
                  <c:v>96</c:v>
                </c:pt>
                <c:pt idx="138">
                  <c:v>96</c:v>
                </c:pt>
                <c:pt idx="139">
                  <c:v>96</c:v>
                </c:pt>
                <c:pt idx="140">
                  <c:v>96</c:v>
                </c:pt>
                <c:pt idx="141">
                  <c:v>96</c:v>
                </c:pt>
                <c:pt idx="142">
                  <c:v>96</c:v>
                </c:pt>
                <c:pt idx="143">
                  <c:v>96</c:v>
                </c:pt>
                <c:pt idx="144">
                  <c:v>94</c:v>
                </c:pt>
                <c:pt idx="145">
                  <c:v>94</c:v>
                </c:pt>
                <c:pt idx="146">
                  <c:v>94</c:v>
                </c:pt>
                <c:pt idx="147">
                  <c:v>94</c:v>
                </c:pt>
                <c:pt idx="148">
                  <c:v>94</c:v>
                </c:pt>
                <c:pt idx="149">
                  <c:v>94</c:v>
                </c:pt>
                <c:pt idx="150">
                  <c:v>94</c:v>
                </c:pt>
                <c:pt idx="151">
                  <c:v>94</c:v>
                </c:pt>
                <c:pt idx="152">
                  <c:v>94</c:v>
                </c:pt>
                <c:pt idx="153">
                  <c:v>94</c:v>
                </c:pt>
                <c:pt idx="154">
                  <c:v>94</c:v>
                </c:pt>
                <c:pt idx="155">
                  <c:v>94</c:v>
                </c:pt>
                <c:pt idx="156">
                  <c:v>94</c:v>
                </c:pt>
                <c:pt idx="157">
                  <c:v>94</c:v>
                </c:pt>
                <c:pt idx="158">
                  <c:v>94</c:v>
                </c:pt>
                <c:pt idx="159">
                  <c:v>94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94</c:v>
                </c:pt>
                <c:pt idx="165">
                  <c:v>94</c:v>
                </c:pt>
                <c:pt idx="166">
                  <c:v>94</c:v>
                </c:pt>
                <c:pt idx="167">
                  <c:v>94</c:v>
                </c:pt>
                <c:pt idx="168">
                  <c:v>94</c:v>
                </c:pt>
                <c:pt idx="169">
                  <c:v>94</c:v>
                </c:pt>
                <c:pt idx="170">
                  <c:v>94</c:v>
                </c:pt>
                <c:pt idx="171">
                  <c:v>94</c:v>
                </c:pt>
                <c:pt idx="172">
                  <c:v>94</c:v>
                </c:pt>
                <c:pt idx="173">
                  <c:v>94</c:v>
                </c:pt>
                <c:pt idx="174">
                  <c:v>94</c:v>
                </c:pt>
                <c:pt idx="175">
                  <c:v>94</c:v>
                </c:pt>
                <c:pt idx="176">
                  <c:v>94</c:v>
                </c:pt>
                <c:pt idx="177">
                  <c:v>94</c:v>
                </c:pt>
                <c:pt idx="178">
                  <c:v>94</c:v>
                </c:pt>
                <c:pt idx="179">
                  <c:v>94</c:v>
                </c:pt>
                <c:pt idx="180">
                  <c:v>94</c:v>
                </c:pt>
                <c:pt idx="181">
                  <c:v>94</c:v>
                </c:pt>
                <c:pt idx="182">
                  <c:v>94</c:v>
                </c:pt>
                <c:pt idx="183">
                  <c:v>94</c:v>
                </c:pt>
                <c:pt idx="184">
                  <c:v>92</c:v>
                </c:pt>
                <c:pt idx="185">
                  <c:v>92</c:v>
                </c:pt>
                <c:pt idx="186">
                  <c:v>92</c:v>
                </c:pt>
                <c:pt idx="187">
                  <c:v>92</c:v>
                </c:pt>
                <c:pt idx="188">
                  <c:v>92</c:v>
                </c:pt>
                <c:pt idx="189">
                  <c:v>92</c:v>
                </c:pt>
                <c:pt idx="190">
                  <c:v>92</c:v>
                </c:pt>
                <c:pt idx="191">
                  <c:v>92</c:v>
                </c:pt>
                <c:pt idx="192">
                  <c:v>92</c:v>
                </c:pt>
                <c:pt idx="193">
                  <c:v>92</c:v>
                </c:pt>
                <c:pt idx="194">
                  <c:v>92</c:v>
                </c:pt>
                <c:pt idx="195">
                  <c:v>92</c:v>
                </c:pt>
                <c:pt idx="196">
                  <c:v>92</c:v>
                </c:pt>
                <c:pt idx="197">
                  <c:v>92</c:v>
                </c:pt>
                <c:pt idx="198">
                  <c:v>92</c:v>
                </c:pt>
                <c:pt idx="199">
                  <c:v>92</c:v>
                </c:pt>
                <c:pt idx="200">
                  <c:v>92</c:v>
                </c:pt>
                <c:pt idx="201">
                  <c:v>92</c:v>
                </c:pt>
                <c:pt idx="202">
                  <c:v>92</c:v>
                </c:pt>
                <c:pt idx="203">
                  <c:v>92</c:v>
                </c:pt>
                <c:pt idx="204">
                  <c:v>92</c:v>
                </c:pt>
                <c:pt idx="205">
                  <c:v>92</c:v>
                </c:pt>
                <c:pt idx="206">
                  <c:v>92</c:v>
                </c:pt>
                <c:pt idx="207">
                  <c:v>92</c:v>
                </c:pt>
                <c:pt idx="208">
                  <c:v>92</c:v>
                </c:pt>
                <c:pt idx="209">
                  <c:v>92</c:v>
                </c:pt>
                <c:pt idx="210">
                  <c:v>92</c:v>
                </c:pt>
                <c:pt idx="211">
                  <c:v>92</c:v>
                </c:pt>
                <c:pt idx="212">
                  <c:v>92</c:v>
                </c:pt>
                <c:pt idx="213">
                  <c:v>92</c:v>
                </c:pt>
                <c:pt idx="214">
                  <c:v>92</c:v>
                </c:pt>
                <c:pt idx="215">
                  <c:v>92</c:v>
                </c:pt>
                <c:pt idx="216">
                  <c:v>92</c:v>
                </c:pt>
                <c:pt idx="217">
                  <c:v>92</c:v>
                </c:pt>
                <c:pt idx="218">
                  <c:v>92</c:v>
                </c:pt>
                <c:pt idx="219">
                  <c:v>92</c:v>
                </c:pt>
                <c:pt idx="220">
                  <c:v>92</c:v>
                </c:pt>
                <c:pt idx="221">
                  <c:v>92</c:v>
                </c:pt>
                <c:pt idx="222">
                  <c:v>92</c:v>
                </c:pt>
                <c:pt idx="223">
                  <c:v>92</c:v>
                </c:pt>
                <c:pt idx="224">
                  <c:v>92</c:v>
                </c:pt>
                <c:pt idx="225">
                  <c:v>92</c:v>
                </c:pt>
                <c:pt idx="226">
                  <c:v>92</c:v>
                </c:pt>
                <c:pt idx="227">
                  <c:v>92</c:v>
                </c:pt>
                <c:pt idx="228">
                  <c:v>92</c:v>
                </c:pt>
                <c:pt idx="229">
                  <c:v>92</c:v>
                </c:pt>
                <c:pt idx="230">
                  <c:v>92</c:v>
                </c:pt>
                <c:pt idx="231">
                  <c:v>92</c:v>
                </c:pt>
                <c:pt idx="232">
                  <c:v>92</c:v>
                </c:pt>
                <c:pt idx="233">
                  <c:v>92</c:v>
                </c:pt>
                <c:pt idx="234">
                  <c:v>90</c:v>
                </c:pt>
                <c:pt idx="235">
                  <c:v>90</c:v>
                </c:pt>
                <c:pt idx="236">
                  <c:v>90</c:v>
                </c:pt>
                <c:pt idx="237">
                  <c:v>90</c:v>
                </c:pt>
                <c:pt idx="238">
                  <c:v>90</c:v>
                </c:pt>
                <c:pt idx="239">
                  <c:v>90</c:v>
                </c:pt>
                <c:pt idx="240">
                  <c:v>90</c:v>
                </c:pt>
                <c:pt idx="241">
                  <c:v>90</c:v>
                </c:pt>
                <c:pt idx="242">
                  <c:v>90</c:v>
                </c:pt>
                <c:pt idx="243">
                  <c:v>90</c:v>
                </c:pt>
                <c:pt idx="244">
                  <c:v>90</c:v>
                </c:pt>
                <c:pt idx="245">
                  <c:v>90</c:v>
                </c:pt>
                <c:pt idx="246">
                  <c:v>90</c:v>
                </c:pt>
                <c:pt idx="247">
                  <c:v>90</c:v>
                </c:pt>
                <c:pt idx="248">
                  <c:v>90</c:v>
                </c:pt>
                <c:pt idx="249">
                  <c:v>90</c:v>
                </c:pt>
                <c:pt idx="250">
                  <c:v>90</c:v>
                </c:pt>
                <c:pt idx="251">
                  <c:v>90</c:v>
                </c:pt>
                <c:pt idx="252">
                  <c:v>90</c:v>
                </c:pt>
                <c:pt idx="253">
                  <c:v>90</c:v>
                </c:pt>
                <c:pt idx="254">
                  <c:v>90</c:v>
                </c:pt>
                <c:pt idx="255">
                  <c:v>90</c:v>
                </c:pt>
                <c:pt idx="256">
                  <c:v>90</c:v>
                </c:pt>
                <c:pt idx="257">
                  <c:v>90</c:v>
                </c:pt>
                <c:pt idx="258">
                  <c:v>90</c:v>
                </c:pt>
                <c:pt idx="259">
                  <c:v>90</c:v>
                </c:pt>
                <c:pt idx="260">
                  <c:v>90</c:v>
                </c:pt>
                <c:pt idx="261">
                  <c:v>90</c:v>
                </c:pt>
                <c:pt idx="262">
                  <c:v>90</c:v>
                </c:pt>
                <c:pt idx="263">
                  <c:v>90</c:v>
                </c:pt>
                <c:pt idx="264">
                  <c:v>90</c:v>
                </c:pt>
                <c:pt idx="265">
                  <c:v>90</c:v>
                </c:pt>
                <c:pt idx="266">
                  <c:v>90</c:v>
                </c:pt>
                <c:pt idx="267">
                  <c:v>90</c:v>
                </c:pt>
                <c:pt idx="268">
                  <c:v>90</c:v>
                </c:pt>
                <c:pt idx="269">
                  <c:v>90</c:v>
                </c:pt>
                <c:pt idx="270">
                  <c:v>90</c:v>
                </c:pt>
                <c:pt idx="271">
                  <c:v>90</c:v>
                </c:pt>
                <c:pt idx="272">
                  <c:v>90</c:v>
                </c:pt>
                <c:pt idx="273">
                  <c:v>90</c:v>
                </c:pt>
                <c:pt idx="274">
                  <c:v>90</c:v>
                </c:pt>
                <c:pt idx="275">
                  <c:v>90</c:v>
                </c:pt>
                <c:pt idx="276">
                  <c:v>90</c:v>
                </c:pt>
                <c:pt idx="277">
                  <c:v>90</c:v>
                </c:pt>
                <c:pt idx="278">
                  <c:v>90</c:v>
                </c:pt>
                <c:pt idx="279">
                  <c:v>90</c:v>
                </c:pt>
                <c:pt idx="280">
                  <c:v>90</c:v>
                </c:pt>
                <c:pt idx="281">
                  <c:v>90</c:v>
                </c:pt>
                <c:pt idx="282">
                  <c:v>90</c:v>
                </c:pt>
                <c:pt idx="283">
                  <c:v>90</c:v>
                </c:pt>
                <c:pt idx="284">
                  <c:v>90</c:v>
                </c:pt>
                <c:pt idx="285">
                  <c:v>90</c:v>
                </c:pt>
                <c:pt idx="286">
                  <c:v>90</c:v>
                </c:pt>
                <c:pt idx="287">
                  <c:v>90</c:v>
                </c:pt>
                <c:pt idx="288">
                  <c:v>90</c:v>
                </c:pt>
                <c:pt idx="289">
                  <c:v>90</c:v>
                </c:pt>
                <c:pt idx="290">
                  <c:v>90</c:v>
                </c:pt>
                <c:pt idx="291">
                  <c:v>90</c:v>
                </c:pt>
                <c:pt idx="292">
                  <c:v>90</c:v>
                </c:pt>
                <c:pt idx="293">
                  <c:v>90</c:v>
                </c:pt>
                <c:pt idx="294">
                  <c:v>90</c:v>
                </c:pt>
                <c:pt idx="295">
                  <c:v>90</c:v>
                </c:pt>
                <c:pt idx="296">
                  <c:v>90</c:v>
                </c:pt>
                <c:pt idx="297">
                  <c:v>90</c:v>
                </c:pt>
                <c:pt idx="298">
                  <c:v>90</c:v>
                </c:pt>
                <c:pt idx="299">
                  <c:v>90</c:v>
                </c:pt>
                <c:pt idx="300">
                  <c:v>90</c:v>
                </c:pt>
                <c:pt idx="301">
                  <c:v>90</c:v>
                </c:pt>
                <c:pt idx="302">
                  <c:v>90</c:v>
                </c:pt>
                <c:pt idx="303">
                  <c:v>90</c:v>
                </c:pt>
                <c:pt idx="304">
                  <c:v>90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90</c:v>
                </c:pt>
                <c:pt idx="309">
                  <c:v>90</c:v>
                </c:pt>
                <c:pt idx="310">
                  <c:v>90</c:v>
                </c:pt>
                <c:pt idx="311">
                  <c:v>90</c:v>
                </c:pt>
                <c:pt idx="312">
                  <c:v>90</c:v>
                </c:pt>
                <c:pt idx="313">
                  <c:v>90</c:v>
                </c:pt>
                <c:pt idx="314">
                  <c:v>90</c:v>
                </c:pt>
                <c:pt idx="315">
                  <c:v>90</c:v>
                </c:pt>
                <c:pt idx="316">
                  <c:v>90</c:v>
                </c:pt>
                <c:pt idx="317">
                  <c:v>90</c:v>
                </c:pt>
                <c:pt idx="318">
                  <c:v>90</c:v>
                </c:pt>
                <c:pt idx="319">
                  <c:v>90</c:v>
                </c:pt>
                <c:pt idx="320">
                  <c:v>90</c:v>
                </c:pt>
                <c:pt idx="321">
                  <c:v>90</c:v>
                </c:pt>
                <c:pt idx="322">
                  <c:v>90</c:v>
                </c:pt>
                <c:pt idx="323">
                  <c:v>90</c:v>
                </c:pt>
                <c:pt idx="324">
                  <c:v>90</c:v>
                </c:pt>
                <c:pt idx="325">
                  <c:v>90</c:v>
                </c:pt>
                <c:pt idx="326">
                  <c:v>90</c:v>
                </c:pt>
                <c:pt idx="327">
                  <c:v>90</c:v>
                </c:pt>
                <c:pt idx="328">
                  <c:v>90</c:v>
                </c:pt>
                <c:pt idx="329">
                  <c:v>90</c:v>
                </c:pt>
                <c:pt idx="330">
                  <c:v>90</c:v>
                </c:pt>
                <c:pt idx="331">
                  <c:v>90</c:v>
                </c:pt>
                <c:pt idx="332">
                  <c:v>90</c:v>
                </c:pt>
                <c:pt idx="333">
                  <c:v>88</c:v>
                </c:pt>
                <c:pt idx="334">
                  <c:v>88</c:v>
                </c:pt>
                <c:pt idx="335">
                  <c:v>88</c:v>
                </c:pt>
                <c:pt idx="336">
                  <c:v>88</c:v>
                </c:pt>
                <c:pt idx="337">
                  <c:v>88</c:v>
                </c:pt>
                <c:pt idx="338">
                  <c:v>88</c:v>
                </c:pt>
                <c:pt idx="339">
                  <c:v>88</c:v>
                </c:pt>
                <c:pt idx="340">
                  <c:v>88</c:v>
                </c:pt>
                <c:pt idx="341">
                  <c:v>88</c:v>
                </c:pt>
                <c:pt idx="342">
                  <c:v>88</c:v>
                </c:pt>
                <c:pt idx="343">
                  <c:v>88</c:v>
                </c:pt>
                <c:pt idx="344">
                  <c:v>88</c:v>
                </c:pt>
                <c:pt idx="345">
                  <c:v>88</c:v>
                </c:pt>
                <c:pt idx="346">
                  <c:v>88</c:v>
                </c:pt>
                <c:pt idx="347">
                  <c:v>88</c:v>
                </c:pt>
                <c:pt idx="348">
                  <c:v>88</c:v>
                </c:pt>
                <c:pt idx="349">
                  <c:v>88</c:v>
                </c:pt>
                <c:pt idx="350">
                  <c:v>88</c:v>
                </c:pt>
                <c:pt idx="351">
                  <c:v>88</c:v>
                </c:pt>
                <c:pt idx="352">
                  <c:v>88</c:v>
                </c:pt>
                <c:pt idx="353">
                  <c:v>88</c:v>
                </c:pt>
                <c:pt idx="354">
                  <c:v>88</c:v>
                </c:pt>
                <c:pt idx="355">
                  <c:v>88</c:v>
                </c:pt>
                <c:pt idx="356">
                  <c:v>88</c:v>
                </c:pt>
                <c:pt idx="357">
                  <c:v>88</c:v>
                </c:pt>
                <c:pt idx="358">
                  <c:v>88</c:v>
                </c:pt>
                <c:pt idx="359">
                  <c:v>88</c:v>
                </c:pt>
                <c:pt idx="360">
                  <c:v>88</c:v>
                </c:pt>
                <c:pt idx="361">
                  <c:v>88</c:v>
                </c:pt>
                <c:pt idx="362">
                  <c:v>88</c:v>
                </c:pt>
                <c:pt idx="363">
                  <c:v>88</c:v>
                </c:pt>
                <c:pt idx="364">
                  <c:v>88</c:v>
                </c:pt>
                <c:pt idx="365">
                  <c:v>88</c:v>
                </c:pt>
                <c:pt idx="366">
                  <c:v>88</c:v>
                </c:pt>
                <c:pt idx="367">
                  <c:v>88</c:v>
                </c:pt>
                <c:pt idx="368">
                  <c:v>88</c:v>
                </c:pt>
                <c:pt idx="369">
                  <c:v>88</c:v>
                </c:pt>
                <c:pt idx="370">
                  <c:v>88</c:v>
                </c:pt>
                <c:pt idx="371">
                  <c:v>88</c:v>
                </c:pt>
                <c:pt idx="372">
                  <c:v>88</c:v>
                </c:pt>
                <c:pt idx="373">
                  <c:v>88</c:v>
                </c:pt>
                <c:pt idx="374">
                  <c:v>88</c:v>
                </c:pt>
                <c:pt idx="375">
                  <c:v>88</c:v>
                </c:pt>
                <c:pt idx="376">
                  <c:v>88</c:v>
                </c:pt>
                <c:pt idx="377">
                  <c:v>88</c:v>
                </c:pt>
                <c:pt idx="378">
                  <c:v>88</c:v>
                </c:pt>
                <c:pt idx="379">
                  <c:v>88</c:v>
                </c:pt>
                <c:pt idx="380">
                  <c:v>88</c:v>
                </c:pt>
                <c:pt idx="381">
                  <c:v>88</c:v>
                </c:pt>
                <c:pt idx="382">
                  <c:v>88</c:v>
                </c:pt>
                <c:pt idx="383">
                  <c:v>88</c:v>
                </c:pt>
                <c:pt idx="384">
                  <c:v>88</c:v>
                </c:pt>
                <c:pt idx="385">
                  <c:v>88</c:v>
                </c:pt>
                <c:pt idx="386">
                  <c:v>88</c:v>
                </c:pt>
                <c:pt idx="387">
                  <c:v>88</c:v>
                </c:pt>
                <c:pt idx="388">
                  <c:v>88</c:v>
                </c:pt>
                <c:pt idx="389">
                  <c:v>88</c:v>
                </c:pt>
                <c:pt idx="390">
                  <c:v>88</c:v>
                </c:pt>
                <c:pt idx="391">
                  <c:v>88</c:v>
                </c:pt>
                <c:pt idx="392">
                  <c:v>88</c:v>
                </c:pt>
                <c:pt idx="393">
                  <c:v>88</c:v>
                </c:pt>
                <c:pt idx="394">
                  <c:v>88</c:v>
                </c:pt>
                <c:pt idx="395">
                  <c:v>88</c:v>
                </c:pt>
                <c:pt idx="396">
                  <c:v>88</c:v>
                </c:pt>
                <c:pt idx="397">
                  <c:v>88</c:v>
                </c:pt>
                <c:pt idx="398">
                  <c:v>88</c:v>
                </c:pt>
                <c:pt idx="399">
                  <c:v>88</c:v>
                </c:pt>
                <c:pt idx="400">
                  <c:v>88</c:v>
                </c:pt>
                <c:pt idx="401">
                  <c:v>88</c:v>
                </c:pt>
                <c:pt idx="402">
                  <c:v>88</c:v>
                </c:pt>
                <c:pt idx="403">
                  <c:v>88</c:v>
                </c:pt>
                <c:pt idx="404">
                  <c:v>88</c:v>
                </c:pt>
                <c:pt idx="405">
                  <c:v>88</c:v>
                </c:pt>
                <c:pt idx="406">
                  <c:v>88</c:v>
                </c:pt>
                <c:pt idx="407">
                  <c:v>88</c:v>
                </c:pt>
                <c:pt idx="408">
                  <c:v>88</c:v>
                </c:pt>
                <c:pt idx="409">
                  <c:v>88</c:v>
                </c:pt>
                <c:pt idx="410">
                  <c:v>88</c:v>
                </c:pt>
                <c:pt idx="411">
                  <c:v>88</c:v>
                </c:pt>
                <c:pt idx="412">
                  <c:v>88</c:v>
                </c:pt>
                <c:pt idx="413">
                  <c:v>88</c:v>
                </c:pt>
                <c:pt idx="414">
                  <c:v>88</c:v>
                </c:pt>
                <c:pt idx="415">
                  <c:v>88</c:v>
                </c:pt>
                <c:pt idx="416">
                  <c:v>88</c:v>
                </c:pt>
                <c:pt idx="417">
                  <c:v>88</c:v>
                </c:pt>
                <c:pt idx="418">
                  <c:v>88</c:v>
                </c:pt>
                <c:pt idx="419">
                  <c:v>88</c:v>
                </c:pt>
                <c:pt idx="420">
                  <c:v>88</c:v>
                </c:pt>
                <c:pt idx="421">
                  <c:v>88</c:v>
                </c:pt>
                <c:pt idx="422">
                  <c:v>88</c:v>
                </c:pt>
                <c:pt idx="423">
                  <c:v>88</c:v>
                </c:pt>
                <c:pt idx="424">
                  <c:v>88</c:v>
                </c:pt>
                <c:pt idx="425">
                  <c:v>88</c:v>
                </c:pt>
                <c:pt idx="426">
                  <c:v>88</c:v>
                </c:pt>
                <c:pt idx="427">
                  <c:v>88</c:v>
                </c:pt>
                <c:pt idx="428">
                  <c:v>88</c:v>
                </c:pt>
                <c:pt idx="429">
                  <c:v>88</c:v>
                </c:pt>
                <c:pt idx="430">
                  <c:v>88</c:v>
                </c:pt>
                <c:pt idx="431">
                  <c:v>88</c:v>
                </c:pt>
                <c:pt idx="432">
                  <c:v>88</c:v>
                </c:pt>
                <c:pt idx="433">
                  <c:v>88</c:v>
                </c:pt>
                <c:pt idx="434">
                  <c:v>88</c:v>
                </c:pt>
                <c:pt idx="435">
                  <c:v>88</c:v>
                </c:pt>
                <c:pt idx="436">
                  <c:v>88</c:v>
                </c:pt>
                <c:pt idx="437">
                  <c:v>88</c:v>
                </c:pt>
                <c:pt idx="438">
                  <c:v>88</c:v>
                </c:pt>
                <c:pt idx="439">
                  <c:v>88</c:v>
                </c:pt>
                <c:pt idx="440">
                  <c:v>88</c:v>
                </c:pt>
                <c:pt idx="441">
                  <c:v>88</c:v>
                </c:pt>
                <c:pt idx="442">
                  <c:v>88</c:v>
                </c:pt>
                <c:pt idx="443">
                  <c:v>88</c:v>
                </c:pt>
                <c:pt idx="444">
                  <c:v>88</c:v>
                </c:pt>
                <c:pt idx="445">
                  <c:v>88</c:v>
                </c:pt>
                <c:pt idx="446">
                  <c:v>88</c:v>
                </c:pt>
                <c:pt idx="447">
                  <c:v>88</c:v>
                </c:pt>
                <c:pt idx="448">
                  <c:v>88</c:v>
                </c:pt>
                <c:pt idx="449">
                  <c:v>88</c:v>
                </c:pt>
                <c:pt idx="450">
                  <c:v>88</c:v>
                </c:pt>
                <c:pt idx="451">
                  <c:v>88</c:v>
                </c:pt>
                <c:pt idx="452">
                  <c:v>88</c:v>
                </c:pt>
                <c:pt idx="453">
                  <c:v>88</c:v>
                </c:pt>
                <c:pt idx="454">
                  <c:v>88</c:v>
                </c:pt>
                <c:pt idx="455">
                  <c:v>88</c:v>
                </c:pt>
                <c:pt idx="456">
                  <c:v>88</c:v>
                </c:pt>
                <c:pt idx="457">
                  <c:v>88</c:v>
                </c:pt>
                <c:pt idx="458">
                  <c:v>88</c:v>
                </c:pt>
                <c:pt idx="459">
                  <c:v>88</c:v>
                </c:pt>
                <c:pt idx="460">
                  <c:v>88</c:v>
                </c:pt>
                <c:pt idx="461">
                  <c:v>88</c:v>
                </c:pt>
                <c:pt idx="462">
                  <c:v>88</c:v>
                </c:pt>
                <c:pt idx="463">
                  <c:v>88</c:v>
                </c:pt>
                <c:pt idx="464">
                  <c:v>88</c:v>
                </c:pt>
                <c:pt idx="465">
                  <c:v>88</c:v>
                </c:pt>
                <c:pt idx="466">
                  <c:v>88</c:v>
                </c:pt>
                <c:pt idx="467">
                  <c:v>88</c:v>
                </c:pt>
                <c:pt idx="468">
                  <c:v>88</c:v>
                </c:pt>
                <c:pt idx="469">
                  <c:v>88</c:v>
                </c:pt>
                <c:pt idx="470">
                  <c:v>88</c:v>
                </c:pt>
                <c:pt idx="471">
                  <c:v>88</c:v>
                </c:pt>
                <c:pt idx="472">
                  <c:v>88</c:v>
                </c:pt>
                <c:pt idx="473">
                  <c:v>88</c:v>
                </c:pt>
                <c:pt idx="474">
                  <c:v>88</c:v>
                </c:pt>
                <c:pt idx="475">
                  <c:v>88</c:v>
                </c:pt>
                <c:pt idx="476">
                  <c:v>88</c:v>
                </c:pt>
                <c:pt idx="477">
                  <c:v>88</c:v>
                </c:pt>
                <c:pt idx="478">
                  <c:v>88</c:v>
                </c:pt>
                <c:pt idx="479">
                  <c:v>88</c:v>
                </c:pt>
                <c:pt idx="480">
                  <c:v>88</c:v>
                </c:pt>
                <c:pt idx="481">
                  <c:v>88</c:v>
                </c:pt>
                <c:pt idx="482">
                  <c:v>86</c:v>
                </c:pt>
                <c:pt idx="483">
                  <c:v>86</c:v>
                </c:pt>
                <c:pt idx="484">
                  <c:v>86</c:v>
                </c:pt>
                <c:pt idx="485">
                  <c:v>86</c:v>
                </c:pt>
                <c:pt idx="486">
                  <c:v>86</c:v>
                </c:pt>
                <c:pt idx="487">
                  <c:v>86</c:v>
                </c:pt>
                <c:pt idx="488">
                  <c:v>86</c:v>
                </c:pt>
                <c:pt idx="489">
                  <c:v>86</c:v>
                </c:pt>
                <c:pt idx="490">
                  <c:v>86</c:v>
                </c:pt>
                <c:pt idx="491">
                  <c:v>86</c:v>
                </c:pt>
                <c:pt idx="492">
                  <c:v>86</c:v>
                </c:pt>
                <c:pt idx="493">
                  <c:v>86</c:v>
                </c:pt>
                <c:pt idx="494">
                  <c:v>86</c:v>
                </c:pt>
                <c:pt idx="495">
                  <c:v>86</c:v>
                </c:pt>
                <c:pt idx="496">
                  <c:v>86</c:v>
                </c:pt>
                <c:pt idx="497">
                  <c:v>86</c:v>
                </c:pt>
                <c:pt idx="498">
                  <c:v>86</c:v>
                </c:pt>
                <c:pt idx="499">
                  <c:v>86</c:v>
                </c:pt>
                <c:pt idx="500">
                  <c:v>86</c:v>
                </c:pt>
                <c:pt idx="501">
                  <c:v>86</c:v>
                </c:pt>
                <c:pt idx="502">
                  <c:v>86</c:v>
                </c:pt>
                <c:pt idx="503">
                  <c:v>86</c:v>
                </c:pt>
                <c:pt idx="504">
                  <c:v>86</c:v>
                </c:pt>
                <c:pt idx="505">
                  <c:v>86</c:v>
                </c:pt>
                <c:pt idx="506">
                  <c:v>86</c:v>
                </c:pt>
                <c:pt idx="507">
                  <c:v>86</c:v>
                </c:pt>
                <c:pt idx="508">
                  <c:v>86</c:v>
                </c:pt>
                <c:pt idx="509">
                  <c:v>86</c:v>
                </c:pt>
                <c:pt idx="510">
                  <c:v>86</c:v>
                </c:pt>
                <c:pt idx="511">
                  <c:v>86</c:v>
                </c:pt>
                <c:pt idx="512">
                  <c:v>86</c:v>
                </c:pt>
                <c:pt idx="513">
                  <c:v>86</c:v>
                </c:pt>
                <c:pt idx="514">
                  <c:v>86</c:v>
                </c:pt>
                <c:pt idx="515">
                  <c:v>86</c:v>
                </c:pt>
                <c:pt idx="516">
                  <c:v>86</c:v>
                </c:pt>
                <c:pt idx="517">
                  <c:v>86</c:v>
                </c:pt>
                <c:pt idx="518">
                  <c:v>86</c:v>
                </c:pt>
                <c:pt idx="519">
                  <c:v>86</c:v>
                </c:pt>
                <c:pt idx="520">
                  <c:v>86</c:v>
                </c:pt>
                <c:pt idx="521">
                  <c:v>86</c:v>
                </c:pt>
                <c:pt idx="522">
                  <c:v>86</c:v>
                </c:pt>
                <c:pt idx="523">
                  <c:v>86</c:v>
                </c:pt>
                <c:pt idx="524">
                  <c:v>86</c:v>
                </c:pt>
                <c:pt idx="525">
                  <c:v>86</c:v>
                </c:pt>
                <c:pt idx="526">
                  <c:v>86</c:v>
                </c:pt>
                <c:pt idx="527">
                  <c:v>86</c:v>
                </c:pt>
                <c:pt idx="528">
                  <c:v>86</c:v>
                </c:pt>
                <c:pt idx="529">
                  <c:v>86</c:v>
                </c:pt>
                <c:pt idx="530">
                  <c:v>86</c:v>
                </c:pt>
                <c:pt idx="531">
                  <c:v>86</c:v>
                </c:pt>
                <c:pt idx="532">
                  <c:v>86</c:v>
                </c:pt>
                <c:pt idx="533">
                  <c:v>86</c:v>
                </c:pt>
                <c:pt idx="534">
                  <c:v>86</c:v>
                </c:pt>
                <c:pt idx="535">
                  <c:v>86</c:v>
                </c:pt>
                <c:pt idx="536">
                  <c:v>86</c:v>
                </c:pt>
                <c:pt idx="537">
                  <c:v>86</c:v>
                </c:pt>
                <c:pt idx="538">
                  <c:v>86</c:v>
                </c:pt>
                <c:pt idx="539">
                  <c:v>86</c:v>
                </c:pt>
                <c:pt idx="540">
                  <c:v>86</c:v>
                </c:pt>
                <c:pt idx="541">
                  <c:v>86</c:v>
                </c:pt>
                <c:pt idx="542">
                  <c:v>86</c:v>
                </c:pt>
                <c:pt idx="543">
                  <c:v>86</c:v>
                </c:pt>
                <c:pt idx="544">
                  <c:v>86</c:v>
                </c:pt>
                <c:pt idx="545">
                  <c:v>86</c:v>
                </c:pt>
                <c:pt idx="546">
                  <c:v>86</c:v>
                </c:pt>
                <c:pt idx="547">
                  <c:v>86</c:v>
                </c:pt>
                <c:pt idx="548">
                  <c:v>86</c:v>
                </c:pt>
                <c:pt idx="549">
                  <c:v>86</c:v>
                </c:pt>
                <c:pt idx="550">
                  <c:v>86</c:v>
                </c:pt>
                <c:pt idx="551">
                  <c:v>86</c:v>
                </c:pt>
                <c:pt idx="552">
                  <c:v>86</c:v>
                </c:pt>
                <c:pt idx="553">
                  <c:v>86</c:v>
                </c:pt>
                <c:pt idx="554">
                  <c:v>86</c:v>
                </c:pt>
                <c:pt idx="555">
                  <c:v>86</c:v>
                </c:pt>
                <c:pt idx="556">
                  <c:v>86</c:v>
                </c:pt>
                <c:pt idx="557">
                  <c:v>86</c:v>
                </c:pt>
                <c:pt idx="558">
                  <c:v>86</c:v>
                </c:pt>
                <c:pt idx="559">
                  <c:v>86</c:v>
                </c:pt>
                <c:pt idx="560">
                  <c:v>86</c:v>
                </c:pt>
                <c:pt idx="561">
                  <c:v>86</c:v>
                </c:pt>
                <c:pt idx="562">
                  <c:v>86</c:v>
                </c:pt>
                <c:pt idx="563">
                  <c:v>86</c:v>
                </c:pt>
                <c:pt idx="564">
                  <c:v>86</c:v>
                </c:pt>
                <c:pt idx="565">
                  <c:v>86</c:v>
                </c:pt>
                <c:pt idx="566">
                  <c:v>86</c:v>
                </c:pt>
                <c:pt idx="567">
                  <c:v>86</c:v>
                </c:pt>
                <c:pt idx="568">
                  <c:v>86</c:v>
                </c:pt>
                <c:pt idx="569">
                  <c:v>86</c:v>
                </c:pt>
                <c:pt idx="570">
                  <c:v>86</c:v>
                </c:pt>
                <c:pt idx="571">
                  <c:v>86</c:v>
                </c:pt>
                <c:pt idx="572">
                  <c:v>86</c:v>
                </c:pt>
                <c:pt idx="573">
                  <c:v>86</c:v>
                </c:pt>
                <c:pt idx="574">
                  <c:v>86</c:v>
                </c:pt>
                <c:pt idx="575">
                  <c:v>86</c:v>
                </c:pt>
                <c:pt idx="576">
                  <c:v>86</c:v>
                </c:pt>
                <c:pt idx="577">
                  <c:v>86</c:v>
                </c:pt>
                <c:pt idx="578">
                  <c:v>86</c:v>
                </c:pt>
                <c:pt idx="579">
                  <c:v>86</c:v>
                </c:pt>
                <c:pt idx="580">
                  <c:v>86</c:v>
                </c:pt>
                <c:pt idx="581">
                  <c:v>86</c:v>
                </c:pt>
                <c:pt idx="582">
                  <c:v>86</c:v>
                </c:pt>
                <c:pt idx="583">
                  <c:v>86</c:v>
                </c:pt>
                <c:pt idx="584">
                  <c:v>86</c:v>
                </c:pt>
                <c:pt idx="585">
                  <c:v>86</c:v>
                </c:pt>
                <c:pt idx="586">
                  <c:v>86</c:v>
                </c:pt>
                <c:pt idx="587">
                  <c:v>86</c:v>
                </c:pt>
                <c:pt idx="588">
                  <c:v>86</c:v>
                </c:pt>
                <c:pt idx="589">
                  <c:v>86</c:v>
                </c:pt>
                <c:pt idx="590">
                  <c:v>86</c:v>
                </c:pt>
                <c:pt idx="591">
                  <c:v>86</c:v>
                </c:pt>
                <c:pt idx="592">
                  <c:v>86</c:v>
                </c:pt>
                <c:pt idx="593">
                  <c:v>86</c:v>
                </c:pt>
                <c:pt idx="594">
                  <c:v>86</c:v>
                </c:pt>
                <c:pt idx="595">
                  <c:v>86</c:v>
                </c:pt>
                <c:pt idx="596">
                  <c:v>86</c:v>
                </c:pt>
                <c:pt idx="597">
                  <c:v>86</c:v>
                </c:pt>
                <c:pt idx="598">
                  <c:v>86</c:v>
                </c:pt>
                <c:pt idx="599">
                  <c:v>86</c:v>
                </c:pt>
                <c:pt idx="600">
                  <c:v>86</c:v>
                </c:pt>
                <c:pt idx="601">
                  <c:v>86</c:v>
                </c:pt>
                <c:pt idx="602">
                  <c:v>86</c:v>
                </c:pt>
                <c:pt idx="603">
                  <c:v>86</c:v>
                </c:pt>
                <c:pt idx="604">
                  <c:v>86</c:v>
                </c:pt>
                <c:pt idx="605">
                  <c:v>86</c:v>
                </c:pt>
                <c:pt idx="606">
                  <c:v>86</c:v>
                </c:pt>
                <c:pt idx="607">
                  <c:v>86</c:v>
                </c:pt>
                <c:pt idx="608">
                  <c:v>86</c:v>
                </c:pt>
                <c:pt idx="609">
                  <c:v>86</c:v>
                </c:pt>
                <c:pt idx="610">
                  <c:v>86</c:v>
                </c:pt>
                <c:pt idx="611">
                  <c:v>86</c:v>
                </c:pt>
                <c:pt idx="612">
                  <c:v>86</c:v>
                </c:pt>
                <c:pt idx="613">
                  <c:v>86</c:v>
                </c:pt>
                <c:pt idx="614">
                  <c:v>86</c:v>
                </c:pt>
                <c:pt idx="615">
                  <c:v>86</c:v>
                </c:pt>
                <c:pt idx="616">
                  <c:v>86</c:v>
                </c:pt>
                <c:pt idx="617">
                  <c:v>86</c:v>
                </c:pt>
                <c:pt idx="618">
                  <c:v>86</c:v>
                </c:pt>
                <c:pt idx="619">
                  <c:v>86</c:v>
                </c:pt>
                <c:pt idx="620">
                  <c:v>86</c:v>
                </c:pt>
                <c:pt idx="621">
                  <c:v>86</c:v>
                </c:pt>
                <c:pt idx="622">
                  <c:v>86</c:v>
                </c:pt>
                <c:pt idx="623">
                  <c:v>86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86</c:v>
                </c:pt>
                <c:pt idx="649">
                  <c:v>86</c:v>
                </c:pt>
                <c:pt idx="650">
                  <c:v>86</c:v>
                </c:pt>
                <c:pt idx="651">
                  <c:v>86</c:v>
                </c:pt>
                <c:pt idx="652">
                  <c:v>86</c:v>
                </c:pt>
                <c:pt idx="653">
                  <c:v>86</c:v>
                </c:pt>
                <c:pt idx="654">
                  <c:v>86</c:v>
                </c:pt>
                <c:pt idx="655">
                  <c:v>86</c:v>
                </c:pt>
                <c:pt idx="656">
                  <c:v>86</c:v>
                </c:pt>
                <c:pt idx="657">
                  <c:v>86</c:v>
                </c:pt>
                <c:pt idx="658">
                  <c:v>86</c:v>
                </c:pt>
                <c:pt idx="659">
                  <c:v>86</c:v>
                </c:pt>
                <c:pt idx="660">
                  <c:v>86</c:v>
                </c:pt>
                <c:pt idx="661">
                  <c:v>86</c:v>
                </c:pt>
                <c:pt idx="662">
                  <c:v>86</c:v>
                </c:pt>
                <c:pt idx="663">
                  <c:v>86</c:v>
                </c:pt>
                <c:pt idx="664">
                  <c:v>86</c:v>
                </c:pt>
                <c:pt idx="665">
                  <c:v>86</c:v>
                </c:pt>
                <c:pt idx="666">
                  <c:v>86</c:v>
                </c:pt>
                <c:pt idx="667">
                  <c:v>86</c:v>
                </c:pt>
                <c:pt idx="668">
                  <c:v>86</c:v>
                </c:pt>
                <c:pt idx="669">
                  <c:v>86</c:v>
                </c:pt>
                <c:pt idx="670">
                  <c:v>86</c:v>
                </c:pt>
                <c:pt idx="671">
                  <c:v>86</c:v>
                </c:pt>
                <c:pt idx="672">
                  <c:v>86</c:v>
                </c:pt>
                <c:pt idx="673">
                  <c:v>86</c:v>
                </c:pt>
                <c:pt idx="674">
                  <c:v>86</c:v>
                </c:pt>
                <c:pt idx="675">
                  <c:v>86</c:v>
                </c:pt>
                <c:pt idx="676">
                  <c:v>86</c:v>
                </c:pt>
                <c:pt idx="677">
                  <c:v>86</c:v>
                </c:pt>
                <c:pt idx="678">
                  <c:v>86</c:v>
                </c:pt>
                <c:pt idx="679">
                  <c:v>86</c:v>
                </c:pt>
                <c:pt idx="680">
                  <c:v>86</c:v>
                </c:pt>
                <c:pt idx="681">
                  <c:v>86</c:v>
                </c:pt>
                <c:pt idx="682">
                  <c:v>86</c:v>
                </c:pt>
                <c:pt idx="683">
                  <c:v>86</c:v>
                </c:pt>
                <c:pt idx="684">
                  <c:v>86</c:v>
                </c:pt>
                <c:pt idx="685">
                  <c:v>86</c:v>
                </c:pt>
                <c:pt idx="686">
                  <c:v>86</c:v>
                </c:pt>
                <c:pt idx="687">
                  <c:v>84</c:v>
                </c:pt>
                <c:pt idx="688">
                  <c:v>84</c:v>
                </c:pt>
                <c:pt idx="689">
                  <c:v>84</c:v>
                </c:pt>
                <c:pt idx="690">
                  <c:v>84</c:v>
                </c:pt>
                <c:pt idx="691">
                  <c:v>84</c:v>
                </c:pt>
                <c:pt idx="692">
                  <c:v>84</c:v>
                </c:pt>
                <c:pt idx="693">
                  <c:v>84</c:v>
                </c:pt>
                <c:pt idx="694">
                  <c:v>84</c:v>
                </c:pt>
                <c:pt idx="695">
                  <c:v>84</c:v>
                </c:pt>
                <c:pt idx="696">
                  <c:v>84</c:v>
                </c:pt>
                <c:pt idx="697">
                  <c:v>84</c:v>
                </c:pt>
                <c:pt idx="698">
                  <c:v>84</c:v>
                </c:pt>
                <c:pt idx="699">
                  <c:v>84</c:v>
                </c:pt>
                <c:pt idx="700">
                  <c:v>84</c:v>
                </c:pt>
                <c:pt idx="701">
                  <c:v>84</c:v>
                </c:pt>
                <c:pt idx="702">
                  <c:v>84</c:v>
                </c:pt>
                <c:pt idx="703">
                  <c:v>84</c:v>
                </c:pt>
                <c:pt idx="704">
                  <c:v>84</c:v>
                </c:pt>
                <c:pt idx="705">
                  <c:v>84</c:v>
                </c:pt>
                <c:pt idx="706">
                  <c:v>84</c:v>
                </c:pt>
                <c:pt idx="707">
                  <c:v>84</c:v>
                </c:pt>
                <c:pt idx="708">
                  <c:v>84</c:v>
                </c:pt>
                <c:pt idx="709">
                  <c:v>84</c:v>
                </c:pt>
                <c:pt idx="710">
                  <c:v>84</c:v>
                </c:pt>
                <c:pt idx="711">
                  <c:v>84</c:v>
                </c:pt>
                <c:pt idx="712">
                  <c:v>84</c:v>
                </c:pt>
                <c:pt idx="713">
                  <c:v>84</c:v>
                </c:pt>
                <c:pt idx="714">
                  <c:v>84</c:v>
                </c:pt>
                <c:pt idx="715">
                  <c:v>84</c:v>
                </c:pt>
                <c:pt idx="716">
                  <c:v>84</c:v>
                </c:pt>
                <c:pt idx="717">
                  <c:v>84</c:v>
                </c:pt>
                <c:pt idx="718">
                  <c:v>84</c:v>
                </c:pt>
                <c:pt idx="719">
                  <c:v>84</c:v>
                </c:pt>
                <c:pt idx="720">
                  <c:v>84</c:v>
                </c:pt>
                <c:pt idx="721">
                  <c:v>84</c:v>
                </c:pt>
                <c:pt idx="722">
                  <c:v>84</c:v>
                </c:pt>
                <c:pt idx="723">
                  <c:v>84</c:v>
                </c:pt>
                <c:pt idx="724">
                  <c:v>84</c:v>
                </c:pt>
                <c:pt idx="725">
                  <c:v>84</c:v>
                </c:pt>
                <c:pt idx="726">
                  <c:v>84</c:v>
                </c:pt>
                <c:pt idx="727">
                  <c:v>84</c:v>
                </c:pt>
                <c:pt idx="728">
                  <c:v>84</c:v>
                </c:pt>
                <c:pt idx="729">
                  <c:v>84</c:v>
                </c:pt>
                <c:pt idx="730">
                  <c:v>84</c:v>
                </c:pt>
                <c:pt idx="731">
                  <c:v>84</c:v>
                </c:pt>
                <c:pt idx="732">
                  <c:v>84</c:v>
                </c:pt>
                <c:pt idx="733">
                  <c:v>84</c:v>
                </c:pt>
                <c:pt idx="734">
                  <c:v>84</c:v>
                </c:pt>
                <c:pt idx="735">
                  <c:v>84</c:v>
                </c:pt>
                <c:pt idx="736">
                  <c:v>84</c:v>
                </c:pt>
                <c:pt idx="737">
                  <c:v>84</c:v>
                </c:pt>
                <c:pt idx="738">
                  <c:v>84</c:v>
                </c:pt>
                <c:pt idx="739">
                  <c:v>84</c:v>
                </c:pt>
                <c:pt idx="740">
                  <c:v>84</c:v>
                </c:pt>
                <c:pt idx="741">
                  <c:v>84</c:v>
                </c:pt>
                <c:pt idx="742">
                  <c:v>84</c:v>
                </c:pt>
                <c:pt idx="743">
                  <c:v>84</c:v>
                </c:pt>
                <c:pt idx="744">
                  <c:v>84</c:v>
                </c:pt>
                <c:pt idx="745">
                  <c:v>84</c:v>
                </c:pt>
                <c:pt idx="746">
                  <c:v>84</c:v>
                </c:pt>
                <c:pt idx="747">
                  <c:v>84</c:v>
                </c:pt>
                <c:pt idx="748">
                  <c:v>84</c:v>
                </c:pt>
                <c:pt idx="749">
                  <c:v>84</c:v>
                </c:pt>
                <c:pt idx="750">
                  <c:v>84</c:v>
                </c:pt>
                <c:pt idx="751">
                  <c:v>84</c:v>
                </c:pt>
                <c:pt idx="752">
                  <c:v>84</c:v>
                </c:pt>
                <c:pt idx="753">
                  <c:v>84</c:v>
                </c:pt>
                <c:pt idx="754">
                  <c:v>84</c:v>
                </c:pt>
                <c:pt idx="755">
                  <c:v>84</c:v>
                </c:pt>
                <c:pt idx="756">
                  <c:v>84</c:v>
                </c:pt>
                <c:pt idx="757">
                  <c:v>84</c:v>
                </c:pt>
                <c:pt idx="758">
                  <c:v>84</c:v>
                </c:pt>
                <c:pt idx="759">
                  <c:v>84</c:v>
                </c:pt>
                <c:pt idx="760">
                  <c:v>84</c:v>
                </c:pt>
                <c:pt idx="761">
                  <c:v>84</c:v>
                </c:pt>
                <c:pt idx="762">
                  <c:v>84</c:v>
                </c:pt>
                <c:pt idx="763">
                  <c:v>84</c:v>
                </c:pt>
                <c:pt idx="764">
                  <c:v>84</c:v>
                </c:pt>
                <c:pt idx="765">
                  <c:v>84</c:v>
                </c:pt>
                <c:pt idx="766">
                  <c:v>84</c:v>
                </c:pt>
                <c:pt idx="767">
                  <c:v>84</c:v>
                </c:pt>
                <c:pt idx="768">
                  <c:v>84</c:v>
                </c:pt>
                <c:pt idx="769">
                  <c:v>84</c:v>
                </c:pt>
                <c:pt idx="770">
                  <c:v>84</c:v>
                </c:pt>
                <c:pt idx="771">
                  <c:v>84</c:v>
                </c:pt>
                <c:pt idx="772">
                  <c:v>84</c:v>
                </c:pt>
                <c:pt idx="773">
                  <c:v>84</c:v>
                </c:pt>
                <c:pt idx="774">
                  <c:v>84</c:v>
                </c:pt>
                <c:pt idx="775">
                  <c:v>84</c:v>
                </c:pt>
                <c:pt idx="776">
                  <c:v>84</c:v>
                </c:pt>
                <c:pt idx="777">
                  <c:v>84</c:v>
                </c:pt>
                <c:pt idx="778">
                  <c:v>84</c:v>
                </c:pt>
                <c:pt idx="779">
                  <c:v>84</c:v>
                </c:pt>
                <c:pt idx="780">
                  <c:v>84</c:v>
                </c:pt>
                <c:pt idx="781">
                  <c:v>84</c:v>
                </c:pt>
                <c:pt idx="782">
                  <c:v>84</c:v>
                </c:pt>
                <c:pt idx="783">
                  <c:v>84</c:v>
                </c:pt>
                <c:pt idx="784">
                  <c:v>84</c:v>
                </c:pt>
                <c:pt idx="785">
                  <c:v>84</c:v>
                </c:pt>
                <c:pt idx="786">
                  <c:v>84</c:v>
                </c:pt>
                <c:pt idx="787">
                  <c:v>84</c:v>
                </c:pt>
                <c:pt idx="788">
                  <c:v>84</c:v>
                </c:pt>
                <c:pt idx="789">
                  <c:v>84</c:v>
                </c:pt>
                <c:pt idx="790">
                  <c:v>84</c:v>
                </c:pt>
                <c:pt idx="791">
                  <c:v>84</c:v>
                </c:pt>
                <c:pt idx="792">
                  <c:v>84</c:v>
                </c:pt>
                <c:pt idx="793">
                  <c:v>84</c:v>
                </c:pt>
                <c:pt idx="794">
                  <c:v>84</c:v>
                </c:pt>
                <c:pt idx="795">
                  <c:v>84</c:v>
                </c:pt>
                <c:pt idx="796">
                  <c:v>84</c:v>
                </c:pt>
                <c:pt idx="797">
                  <c:v>84</c:v>
                </c:pt>
                <c:pt idx="798">
                  <c:v>84</c:v>
                </c:pt>
                <c:pt idx="799">
                  <c:v>84</c:v>
                </c:pt>
                <c:pt idx="800">
                  <c:v>84</c:v>
                </c:pt>
                <c:pt idx="801">
                  <c:v>84</c:v>
                </c:pt>
                <c:pt idx="802">
                  <c:v>84</c:v>
                </c:pt>
                <c:pt idx="803">
                  <c:v>84</c:v>
                </c:pt>
                <c:pt idx="804">
                  <c:v>84</c:v>
                </c:pt>
                <c:pt idx="805">
                  <c:v>84</c:v>
                </c:pt>
                <c:pt idx="806">
                  <c:v>84</c:v>
                </c:pt>
                <c:pt idx="807">
                  <c:v>84</c:v>
                </c:pt>
                <c:pt idx="808">
                  <c:v>84</c:v>
                </c:pt>
                <c:pt idx="809">
                  <c:v>84</c:v>
                </c:pt>
                <c:pt idx="810">
                  <c:v>84</c:v>
                </c:pt>
                <c:pt idx="811">
                  <c:v>84</c:v>
                </c:pt>
                <c:pt idx="812">
                  <c:v>84</c:v>
                </c:pt>
                <c:pt idx="813">
                  <c:v>84</c:v>
                </c:pt>
                <c:pt idx="814">
                  <c:v>84</c:v>
                </c:pt>
                <c:pt idx="815">
                  <c:v>84</c:v>
                </c:pt>
                <c:pt idx="816">
                  <c:v>84</c:v>
                </c:pt>
                <c:pt idx="817">
                  <c:v>84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84</c:v>
                </c:pt>
                <c:pt idx="823">
                  <c:v>84</c:v>
                </c:pt>
                <c:pt idx="824">
                  <c:v>84</c:v>
                </c:pt>
                <c:pt idx="825">
                  <c:v>84</c:v>
                </c:pt>
                <c:pt idx="826">
                  <c:v>84</c:v>
                </c:pt>
                <c:pt idx="827">
                  <c:v>84</c:v>
                </c:pt>
                <c:pt idx="828">
                  <c:v>84</c:v>
                </c:pt>
                <c:pt idx="829">
                  <c:v>84</c:v>
                </c:pt>
                <c:pt idx="830">
                  <c:v>84</c:v>
                </c:pt>
                <c:pt idx="831">
                  <c:v>84</c:v>
                </c:pt>
                <c:pt idx="832">
                  <c:v>84</c:v>
                </c:pt>
                <c:pt idx="833">
                  <c:v>84</c:v>
                </c:pt>
                <c:pt idx="834">
                  <c:v>84</c:v>
                </c:pt>
                <c:pt idx="835">
                  <c:v>84</c:v>
                </c:pt>
                <c:pt idx="836">
                  <c:v>84</c:v>
                </c:pt>
                <c:pt idx="837">
                  <c:v>84</c:v>
                </c:pt>
                <c:pt idx="838">
                  <c:v>84</c:v>
                </c:pt>
                <c:pt idx="839">
                  <c:v>84</c:v>
                </c:pt>
                <c:pt idx="840">
                  <c:v>84</c:v>
                </c:pt>
                <c:pt idx="841">
                  <c:v>84</c:v>
                </c:pt>
                <c:pt idx="842">
                  <c:v>84</c:v>
                </c:pt>
                <c:pt idx="843">
                  <c:v>84</c:v>
                </c:pt>
                <c:pt idx="844">
                  <c:v>84</c:v>
                </c:pt>
                <c:pt idx="845">
                  <c:v>84</c:v>
                </c:pt>
                <c:pt idx="846">
                  <c:v>84</c:v>
                </c:pt>
                <c:pt idx="847">
                  <c:v>84</c:v>
                </c:pt>
                <c:pt idx="848">
                  <c:v>84</c:v>
                </c:pt>
                <c:pt idx="849">
                  <c:v>84</c:v>
                </c:pt>
                <c:pt idx="850">
                  <c:v>84</c:v>
                </c:pt>
                <c:pt idx="851">
                  <c:v>84</c:v>
                </c:pt>
                <c:pt idx="852">
                  <c:v>84</c:v>
                </c:pt>
                <c:pt idx="853">
                  <c:v>84</c:v>
                </c:pt>
                <c:pt idx="854">
                  <c:v>84</c:v>
                </c:pt>
                <c:pt idx="855">
                  <c:v>84</c:v>
                </c:pt>
                <c:pt idx="856">
                  <c:v>84</c:v>
                </c:pt>
                <c:pt idx="857">
                  <c:v>84</c:v>
                </c:pt>
                <c:pt idx="858">
                  <c:v>84</c:v>
                </c:pt>
                <c:pt idx="859">
                  <c:v>84</c:v>
                </c:pt>
                <c:pt idx="860">
                  <c:v>84</c:v>
                </c:pt>
                <c:pt idx="861">
                  <c:v>84</c:v>
                </c:pt>
                <c:pt idx="862">
                  <c:v>84</c:v>
                </c:pt>
                <c:pt idx="863">
                  <c:v>84</c:v>
                </c:pt>
                <c:pt idx="864">
                  <c:v>84</c:v>
                </c:pt>
                <c:pt idx="865">
                  <c:v>84</c:v>
                </c:pt>
                <c:pt idx="866">
                  <c:v>84</c:v>
                </c:pt>
                <c:pt idx="867">
                  <c:v>84</c:v>
                </c:pt>
                <c:pt idx="868">
                  <c:v>84</c:v>
                </c:pt>
                <c:pt idx="869">
                  <c:v>84</c:v>
                </c:pt>
                <c:pt idx="870">
                  <c:v>84</c:v>
                </c:pt>
                <c:pt idx="871">
                  <c:v>84</c:v>
                </c:pt>
                <c:pt idx="872">
                  <c:v>84</c:v>
                </c:pt>
                <c:pt idx="873">
                  <c:v>84</c:v>
                </c:pt>
                <c:pt idx="874">
                  <c:v>84</c:v>
                </c:pt>
                <c:pt idx="875">
                  <c:v>84</c:v>
                </c:pt>
                <c:pt idx="876">
                  <c:v>84</c:v>
                </c:pt>
                <c:pt idx="877">
                  <c:v>84</c:v>
                </c:pt>
                <c:pt idx="878">
                  <c:v>84</c:v>
                </c:pt>
                <c:pt idx="879">
                  <c:v>84</c:v>
                </c:pt>
                <c:pt idx="880">
                  <c:v>84</c:v>
                </c:pt>
                <c:pt idx="881">
                  <c:v>84</c:v>
                </c:pt>
                <c:pt idx="882">
                  <c:v>84</c:v>
                </c:pt>
                <c:pt idx="883">
                  <c:v>84</c:v>
                </c:pt>
                <c:pt idx="884">
                  <c:v>84</c:v>
                </c:pt>
                <c:pt idx="885">
                  <c:v>84</c:v>
                </c:pt>
                <c:pt idx="886">
                  <c:v>84</c:v>
                </c:pt>
                <c:pt idx="887">
                  <c:v>84</c:v>
                </c:pt>
                <c:pt idx="888">
                  <c:v>84</c:v>
                </c:pt>
                <c:pt idx="889">
                  <c:v>84</c:v>
                </c:pt>
                <c:pt idx="890">
                  <c:v>84</c:v>
                </c:pt>
                <c:pt idx="891">
                  <c:v>84</c:v>
                </c:pt>
                <c:pt idx="892">
                  <c:v>84</c:v>
                </c:pt>
                <c:pt idx="893">
                  <c:v>84</c:v>
                </c:pt>
                <c:pt idx="894">
                  <c:v>84</c:v>
                </c:pt>
                <c:pt idx="895">
                  <c:v>84</c:v>
                </c:pt>
                <c:pt idx="896">
                  <c:v>84</c:v>
                </c:pt>
                <c:pt idx="897">
                  <c:v>84</c:v>
                </c:pt>
                <c:pt idx="898">
                  <c:v>84</c:v>
                </c:pt>
                <c:pt idx="899">
                  <c:v>84</c:v>
                </c:pt>
                <c:pt idx="900">
                  <c:v>84</c:v>
                </c:pt>
                <c:pt idx="901">
                  <c:v>84</c:v>
                </c:pt>
                <c:pt idx="902">
                  <c:v>84</c:v>
                </c:pt>
                <c:pt idx="903">
                  <c:v>84</c:v>
                </c:pt>
                <c:pt idx="904">
                  <c:v>84</c:v>
                </c:pt>
                <c:pt idx="905">
                  <c:v>84</c:v>
                </c:pt>
                <c:pt idx="906">
                  <c:v>84</c:v>
                </c:pt>
                <c:pt idx="907">
                  <c:v>84</c:v>
                </c:pt>
                <c:pt idx="908">
                  <c:v>84</c:v>
                </c:pt>
                <c:pt idx="909">
                  <c:v>84</c:v>
                </c:pt>
                <c:pt idx="910">
                  <c:v>84</c:v>
                </c:pt>
                <c:pt idx="911">
                  <c:v>84</c:v>
                </c:pt>
                <c:pt idx="912">
                  <c:v>84</c:v>
                </c:pt>
                <c:pt idx="913">
                  <c:v>84</c:v>
                </c:pt>
                <c:pt idx="914">
                  <c:v>84</c:v>
                </c:pt>
                <c:pt idx="915">
                  <c:v>84</c:v>
                </c:pt>
                <c:pt idx="916">
                  <c:v>84</c:v>
                </c:pt>
                <c:pt idx="917">
                  <c:v>84</c:v>
                </c:pt>
                <c:pt idx="918">
                  <c:v>84</c:v>
                </c:pt>
                <c:pt idx="919">
                  <c:v>84</c:v>
                </c:pt>
                <c:pt idx="920">
                  <c:v>84</c:v>
                </c:pt>
                <c:pt idx="921">
                  <c:v>84</c:v>
                </c:pt>
                <c:pt idx="922">
                  <c:v>84</c:v>
                </c:pt>
                <c:pt idx="923">
                  <c:v>84</c:v>
                </c:pt>
                <c:pt idx="924">
                  <c:v>84</c:v>
                </c:pt>
                <c:pt idx="925">
                  <c:v>84</c:v>
                </c:pt>
                <c:pt idx="926">
                  <c:v>84</c:v>
                </c:pt>
                <c:pt idx="927">
                  <c:v>84</c:v>
                </c:pt>
                <c:pt idx="928">
                  <c:v>84</c:v>
                </c:pt>
                <c:pt idx="929">
                  <c:v>84</c:v>
                </c:pt>
                <c:pt idx="930">
                  <c:v>84</c:v>
                </c:pt>
                <c:pt idx="931">
                  <c:v>84</c:v>
                </c:pt>
                <c:pt idx="932">
                  <c:v>84</c:v>
                </c:pt>
                <c:pt idx="933">
                  <c:v>84</c:v>
                </c:pt>
                <c:pt idx="934">
                  <c:v>84</c:v>
                </c:pt>
                <c:pt idx="935">
                  <c:v>84</c:v>
                </c:pt>
                <c:pt idx="936">
                  <c:v>84</c:v>
                </c:pt>
                <c:pt idx="937">
                  <c:v>84</c:v>
                </c:pt>
                <c:pt idx="938">
                  <c:v>84</c:v>
                </c:pt>
                <c:pt idx="939">
                  <c:v>84</c:v>
                </c:pt>
                <c:pt idx="940">
                  <c:v>84</c:v>
                </c:pt>
                <c:pt idx="941">
                  <c:v>84</c:v>
                </c:pt>
                <c:pt idx="942">
                  <c:v>84</c:v>
                </c:pt>
                <c:pt idx="943">
                  <c:v>84</c:v>
                </c:pt>
                <c:pt idx="944">
                  <c:v>84</c:v>
                </c:pt>
                <c:pt idx="945">
                  <c:v>84</c:v>
                </c:pt>
                <c:pt idx="946">
                  <c:v>84</c:v>
                </c:pt>
                <c:pt idx="947">
                  <c:v>84</c:v>
                </c:pt>
                <c:pt idx="948">
                  <c:v>82</c:v>
                </c:pt>
                <c:pt idx="949">
                  <c:v>82</c:v>
                </c:pt>
                <c:pt idx="950">
                  <c:v>82</c:v>
                </c:pt>
                <c:pt idx="951">
                  <c:v>82</c:v>
                </c:pt>
                <c:pt idx="952">
                  <c:v>82</c:v>
                </c:pt>
                <c:pt idx="953">
                  <c:v>82</c:v>
                </c:pt>
                <c:pt idx="954">
                  <c:v>82</c:v>
                </c:pt>
                <c:pt idx="955">
                  <c:v>82</c:v>
                </c:pt>
                <c:pt idx="956">
                  <c:v>82</c:v>
                </c:pt>
                <c:pt idx="957">
                  <c:v>82</c:v>
                </c:pt>
                <c:pt idx="958">
                  <c:v>82</c:v>
                </c:pt>
                <c:pt idx="959">
                  <c:v>82</c:v>
                </c:pt>
                <c:pt idx="960">
                  <c:v>82</c:v>
                </c:pt>
                <c:pt idx="961">
                  <c:v>82</c:v>
                </c:pt>
                <c:pt idx="962">
                  <c:v>82</c:v>
                </c:pt>
                <c:pt idx="963">
                  <c:v>82</c:v>
                </c:pt>
                <c:pt idx="964">
                  <c:v>82</c:v>
                </c:pt>
                <c:pt idx="965">
                  <c:v>82</c:v>
                </c:pt>
                <c:pt idx="966">
                  <c:v>82</c:v>
                </c:pt>
                <c:pt idx="967">
                  <c:v>82</c:v>
                </c:pt>
                <c:pt idx="968">
                  <c:v>82</c:v>
                </c:pt>
                <c:pt idx="969">
                  <c:v>82</c:v>
                </c:pt>
                <c:pt idx="970">
                  <c:v>82</c:v>
                </c:pt>
                <c:pt idx="971">
                  <c:v>82</c:v>
                </c:pt>
                <c:pt idx="972">
                  <c:v>82</c:v>
                </c:pt>
                <c:pt idx="973">
                  <c:v>82</c:v>
                </c:pt>
                <c:pt idx="974">
                  <c:v>82</c:v>
                </c:pt>
                <c:pt idx="975">
                  <c:v>82</c:v>
                </c:pt>
                <c:pt idx="976">
                  <c:v>82</c:v>
                </c:pt>
                <c:pt idx="977">
                  <c:v>82</c:v>
                </c:pt>
                <c:pt idx="978">
                  <c:v>82</c:v>
                </c:pt>
                <c:pt idx="979">
                  <c:v>82</c:v>
                </c:pt>
                <c:pt idx="980">
                  <c:v>82</c:v>
                </c:pt>
                <c:pt idx="981">
                  <c:v>82</c:v>
                </c:pt>
                <c:pt idx="982">
                  <c:v>82</c:v>
                </c:pt>
                <c:pt idx="983">
                  <c:v>82</c:v>
                </c:pt>
                <c:pt idx="984">
                  <c:v>82</c:v>
                </c:pt>
                <c:pt idx="985">
                  <c:v>82</c:v>
                </c:pt>
                <c:pt idx="986">
                  <c:v>82</c:v>
                </c:pt>
                <c:pt idx="987">
                  <c:v>82</c:v>
                </c:pt>
                <c:pt idx="988">
                  <c:v>82</c:v>
                </c:pt>
                <c:pt idx="989">
                  <c:v>82</c:v>
                </c:pt>
                <c:pt idx="990">
                  <c:v>82</c:v>
                </c:pt>
                <c:pt idx="991">
                  <c:v>82</c:v>
                </c:pt>
                <c:pt idx="992">
                  <c:v>82</c:v>
                </c:pt>
                <c:pt idx="993">
                  <c:v>82</c:v>
                </c:pt>
                <c:pt idx="994">
                  <c:v>82</c:v>
                </c:pt>
                <c:pt idx="995">
                  <c:v>82</c:v>
                </c:pt>
                <c:pt idx="996">
                  <c:v>82</c:v>
                </c:pt>
                <c:pt idx="997">
                  <c:v>82</c:v>
                </c:pt>
                <c:pt idx="998">
                  <c:v>82</c:v>
                </c:pt>
                <c:pt idx="999">
                  <c:v>82</c:v>
                </c:pt>
                <c:pt idx="1000">
                  <c:v>82</c:v>
                </c:pt>
                <c:pt idx="1001">
                  <c:v>82</c:v>
                </c:pt>
                <c:pt idx="1002">
                  <c:v>82</c:v>
                </c:pt>
                <c:pt idx="1003">
                  <c:v>82</c:v>
                </c:pt>
                <c:pt idx="1004">
                  <c:v>82</c:v>
                </c:pt>
                <c:pt idx="1005">
                  <c:v>82</c:v>
                </c:pt>
                <c:pt idx="1006">
                  <c:v>82</c:v>
                </c:pt>
                <c:pt idx="1007">
                  <c:v>82</c:v>
                </c:pt>
                <c:pt idx="1008">
                  <c:v>82</c:v>
                </c:pt>
                <c:pt idx="1009">
                  <c:v>82</c:v>
                </c:pt>
                <c:pt idx="1010">
                  <c:v>82</c:v>
                </c:pt>
                <c:pt idx="1011">
                  <c:v>82</c:v>
                </c:pt>
                <c:pt idx="1012">
                  <c:v>82</c:v>
                </c:pt>
                <c:pt idx="1013">
                  <c:v>82</c:v>
                </c:pt>
                <c:pt idx="1014">
                  <c:v>82</c:v>
                </c:pt>
                <c:pt idx="1015">
                  <c:v>82</c:v>
                </c:pt>
                <c:pt idx="1016">
                  <c:v>82</c:v>
                </c:pt>
                <c:pt idx="1017">
                  <c:v>82</c:v>
                </c:pt>
                <c:pt idx="1018">
                  <c:v>82</c:v>
                </c:pt>
                <c:pt idx="1019">
                  <c:v>82</c:v>
                </c:pt>
                <c:pt idx="1020">
                  <c:v>82</c:v>
                </c:pt>
                <c:pt idx="1021">
                  <c:v>82</c:v>
                </c:pt>
                <c:pt idx="1022">
                  <c:v>82</c:v>
                </c:pt>
                <c:pt idx="1023">
                  <c:v>82</c:v>
                </c:pt>
                <c:pt idx="1024">
                  <c:v>82</c:v>
                </c:pt>
                <c:pt idx="1025">
                  <c:v>82</c:v>
                </c:pt>
                <c:pt idx="1026">
                  <c:v>82</c:v>
                </c:pt>
                <c:pt idx="1027">
                  <c:v>82</c:v>
                </c:pt>
                <c:pt idx="1028">
                  <c:v>82</c:v>
                </c:pt>
                <c:pt idx="1029">
                  <c:v>82</c:v>
                </c:pt>
                <c:pt idx="1030">
                  <c:v>82</c:v>
                </c:pt>
                <c:pt idx="1031">
                  <c:v>82</c:v>
                </c:pt>
                <c:pt idx="1032">
                  <c:v>82</c:v>
                </c:pt>
                <c:pt idx="1033">
                  <c:v>82</c:v>
                </c:pt>
                <c:pt idx="1034">
                  <c:v>82</c:v>
                </c:pt>
                <c:pt idx="1035">
                  <c:v>82</c:v>
                </c:pt>
                <c:pt idx="1036">
                  <c:v>82</c:v>
                </c:pt>
                <c:pt idx="1037">
                  <c:v>82</c:v>
                </c:pt>
                <c:pt idx="1038">
                  <c:v>82</c:v>
                </c:pt>
                <c:pt idx="1039">
                  <c:v>82</c:v>
                </c:pt>
                <c:pt idx="1040">
                  <c:v>82</c:v>
                </c:pt>
                <c:pt idx="1041">
                  <c:v>82</c:v>
                </c:pt>
                <c:pt idx="1042">
                  <c:v>82</c:v>
                </c:pt>
                <c:pt idx="1043">
                  <c:v>82</c:v>
                </c:pt>
                <c:pt idx="1044">
                  <c:v>82</c:v>
                </c:pt>
                <c:pt idx="1045">
                  <c:v>82</c:v>
                </c:pt>
                <c:pt idx="1046">
                  <c:v>82</c:v>
                </c:pt>
                <c:pt idx="1047">
                  <c:v>82</c:v>
                </c:pt>
                <c:pt idx="1048">
                  <c:v>82</c:v>
                </c:pt>
                <c:pt idx="1049">
                  <c:v>82</c:v>
                </c:pt>
                <c:pt idx="1050">
                  <c:v>82</c:v>
                </c:pt>
                <c:pt idx="1051">
                  <c:v>82</c:v>
                </c:pt>
                <c:pt idx="1052">
                  <c:v>82</c:v>
                </c:pt>
                <c:pt idx="1053">
                  <c:v>82</c:v>
                </c:pt>
                <c:pt idx="1054">
                  <c:v>82</c:v>
                </c:pt>
                <c:pt idx="1055">
                  <c:v>82</c:v>
                </c:pt>
                <c:pt idx="1056">
                  <c:v>82</c:v>
                </c:pt>
                <c:pt idx="1057">
                  <c:v>82</c:v>
                </c:pt>
                <c:pt idx="1058">
                  <c:v>82</c:v>
                </c:pt>
                <c:pt idx="1059">
                  <c:v>82</c:v>
                </c:pt>
                <c:pt idx="1060">
                  <c:v>82</c:v>
                </c:pt>
                <c:pt idx="1061">
                  <c:v>82</c:v>
                </c:pt>
                <c:pt idx="1062">
                  <c:v>82</c:v>
                </c:pt>
                <c:pt idx="1063">
                  <c:v>82</c:v>
                </c:pt>
                <c:pt idx="1064">
                  <c:v>82</c:v>
                </c:pt>
                <c:pt idx="1065">
                  <c:v>82</c:v>
                </c:pt>
                <c:pt idx="1066">
                  <c:v>82</c:v>
                </c:pt>
                <c:pt idx="1067">
                  <c:v>82</c:v>
                </c:pt>
                <c:pt idx="1068">
                  <c:v>82</c:v>
                </c:pt>
                <c:pt idx="1069">
                  <c:v>82</c:v>
                </c:pt>
                <c:pt idx="1070">
                  <c:v>82</c:v>
                </c:pt>
                <c:pt idx="1071">
                  <c:v>82</c:v>
                </c:pt>
                <c:pt idx="1072">
                  <c:v>82</c:v>
                </c:pt>
                <c:pt idx="1073">
                  <c:v>82</c:v>
                </c:pt>
                <c:pt idx="1074">
                  <c:v>82</c:v>
                </c:pt>
                <c:pt idx="1075">
                  <c:v>82</c:v>
                </c:pt>
                <c:pt idx="1076">
                  <c:v>82</c:v>
                </c:pt>
                <c:pt idx="1077">
                  <c:v>82</c:v>
                </c:pt>
                <c:pt idx="1078">
                  <c:v>82</c:v>
                </c:pt>
                <c:pt idx="1079">
                  <c:v>82</c:v>
                </c:pt>
                <c:pt idx="1080">
                  <c:v>82</c:v>
                </c:pt>
                <c:pt idx="1081">
                  <c:v>82</c:v>
                </c:pt>
                <c:pt idx="1082">
                  <c:v>82</c:v>
                </c:pt>
                <c:pt idx="1083">
                  <c:v>82</c:v>
                </c:pt>
                <c:pt idx="1084">
                  <c:v>82</c:v>
                </c:pt>
                <c:pt idx="1085">
                  <c:v>82</c:v>
                </c:pt>
                <c:pt idx="1086">
                  <c:v>82</c:v>
                </c:pt>
                <c:pt idx="1087">
                  <c:v>82</c:v>
                </c:pt>
                <c:pt idx="1088">
                  <c:v>82</c:v>
                </c:pt>
                <c:pt idx="1089">
                  <c:v>82</c:v>
                </c:pt>
                <c:pt idx="1090">
                  <c:v>82</c:v>
                </c:pt>
                <c:pt idx="1091">
                  <c:v>82</c:v>
                </c:pt>
                <c:pt idx="1092">
                  <c:v>82</c:v>
                </c:pt>
                <c:pt idx="1093">
                  <c:v>82</c:v>
                </c:pt>
                <c:pt idx="1094">
                  <c:v>82</c:v>
                </c:pt>
                <c:pt idx="1095">
                  <c:v>82</c:v>
                </c:pt>
                <c:pt idx="1096">
                  <c:v>82</c:v>
                </c:pt>
                <c:pt idx="1097">
                  <c:v>82</c:v>
                </c:pt>
                <c:pt idx="1098">
                  <c:v>82</c:v>
                </c:pt>
                <c:pt idx="1099">
                  <c:v>82</c:v>
                </c:pt>
                <c:pt idx="1100">
                  <c:v>82</c:v>
                </c:pt>
                <c:pt idx="1101">
                  <c:v>82</c:v>
                </c:pt>
                <c:pt idx="1102">
                  <c:v>82</c:v>
                </c:pt>
                <c:pt idx="1103">
                  <c:v>82</c:v>
                </c:pt>
                <c:pt idx="1104">
                  <c:v>82</c:v>
                </c:pt>
                <c:pt idx="1105">
                  <c:v>82</c:v>
                </c:pt>
                <c:pt idx="1106">
                  <c:v>82</c:v>
                </c:pt>
                <c:pt idx="1107">
                  <c:v>82</c:v>
                </c:pt>
                <c:pt idx="1108">
                  <c:v>82</c:v>
                </c:pt>
                <c:pt idx="1109">
                  <c:v>82</c:v>
                </c:pt>
                <c:pt idx="1110">
                  <c:v>82</c:v>
                </c:pt>
                <c:pt idx="1111">
                  <c:v>82</c:v>
                </c:pt>
                <c:pt idx="1112">
                  <c:v>82</c:v>
                </c:pt>
                <c:pt idx="1113">
                  <c:v>82</c:v>
                </c:pt>
                <c:pt idx="1114">
                  <c:v>82</c:v>
                </c:pt>
                <c:pt idx="1115">
                  <c:v>82</c:v>
                </c:pt>
                <c:pt idx="1116">
                  <c:v>82</c:v>
                </c:pt>
                <c:pt idx="1117">
                  <c:v>82</c:v>
                </c:pt>
                <c:pt idx="1118">
                  <c:v>82</c:v>
                </c:pt>
                <c:pt idx="1119">
                  <c:v>82</c:v>
                </c:pt>
                <c:pt idx="1120">
                  <c:v>82</c:v>
                </c:pt>
                <c:pt idx="1121">
                  <c:v>82</c:v>
                </c:pt>
                <c:pt idx="1122">
                  <c:v>82</c:v>
                </c:pt>
                <c:pt idx="1123">
                  <c:v>82</c:v>
                </c:pt>
                <c:pt idx="1124">
                  <c:v>80</c:v>
                </c:pt>
                <c:pt idx="1125">
                  <c:v>80</c:v>
                </c:pt>
                <c:pt idx="1126">
                  <c:v>80</c:v>
                </c:pt>
                <c:pt idx="1127">
                  <c:v>80</c:v>
                </c:pt>
                <c:pt idx="1128">
                  <c:v>80</c:v>
                </c:pt>
                <c:pt idx="1129">
                  <c:v>80</c:v>
                </c:pt>
                <c:pt idx="1130">
                  <c:v>80</c:v>
                </c:pt>
                <c:pt idx="1131">
                  <c:v>80</c:v>
                </c:pt>
                <c:pt idx="1132">
                  <c:v>80</c:v>
                </c:pt>
                <c:pt idx="1133">
                  <c:v>80</c:v>
                </c:pt>
                <c:pt idx="1134">
                  <c:v>80</c:v>
                </c:pt>
                <c:pt idx="1135">
                  <c:v>80</c:v>
                </c:pt>
                <c:pt idx="1136">
                  <c:v>80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80</c:v>
                </c:pt>
                <c:pt idx="1151">
                  <c:v>80</c:v>
                </c:pt>
                <c:pt idx="1152">
                  <c:v>80</c:v>
                </c:pt>
                <c:pt idx="1153">
                  <c:v>80</c:v>
                </c:pt>
                <c:pt idx="1154">
                  <c:v>80</c:v>
                </c:pt>
                <c:pt idx="1155">
                  <c:v>80</c:v>
                </c:pt>
                <c:pt idx="1156">
                  <c:v>80</c:v>
                </c:pt>
                <c:pt idx="1157">
                  <c:v>80</c:v>
                </c:pt>
                <c:pt idx="1158">
                  <c:v>80</c:v>
                </c:pt>
                <c:pt idx="1159">
                  <c:v>80</c:v>
                </c:pt>
                <c:pt idx="1160">
                  <c:v>80</c:v>
                </c:pt>
                <c:pt idx="1161">
                  <c:v>80</c:v>
                </c:pt>
                <c:pt idx="1162">
                  <c:v>80</c:v>
                </c:pt>
                <c:pt idx="1163">
                  <c:v>80</c:v>
                </c:pt>
                <c:pt idx="1164">
                  <c:v>80</c:v>
                </c:pt>
                <c:pt idx="1165">
                  <c:v>80</c:v>
                </c:pt>
                <c:pt idx="1166">
                  <c:v>80</c:v>
                </c:pt>
                <c:pt idx="1167">
                  <c:v>80</c:v>
                </c:pt>
                <c:pt idx="1168">
                  <c:v>80</c:v>
                </c:pt>
                <c:pt idx="1169">
                  <c:v>80</c:v>
                </c:pt>
                <c:pt idx="1170">
                  <c:v>80</c:v>
                </c:pt>
                <c:pt idx="1171">
                  <c:v>80</c:v>
                </c:pt>
                <c:pt idx="1172">
                  <c:v>80</c:v>
                </c:pt>
                <c:pt idx="1173">
                  <c:v>80</c:v>
                </c:pt>
                <c:pt idx="1174">
                  <c:v>80</c:v>
                </c:pt>
                <c:pt idx="1175">
                  <c:v>80</c:v>
                </c:pt>
                <c:pt idx="1176">
                  <c:v>80</c:v>
                </c:pt>
                <c:pt idx="1177">
                  <c:v>80</c:v>
                </c:pt>
                <c:pt idx="1178">
                  <c:v>80</c:v>
                </c:pt>
                <c:pt idx="1179">
                  <c:v>80</c:v>
                </c:pt>
                <c:pt idx="1180">
                  <c:v>80</c:v>
                </c:pt>
                <c:pt idx="1181">
                  <c:v>80</c:v>
                </c:pt>
                <c:pt idx="1182">
                  <c:v>80</c:v>
                </c:pt>
                <c:pt idx="1183">
                  <c:v>80</c:v>
                </c:pt>
                <c:pt idx="1184">
                  <c:v>80</c:v>
                </c:pt>
                <c:pt idx="1185">
                  <c:v>80</c:v>
                </c:pt>
                <c:pt idx="1186">
                  <c:v>80</c:v>
                </c:pt>
                <c:pt idx="1187">
                  <c:v>80</c:v>
                </c:pt>
                <c:pt idx="1188">
                  <c:v>80</c:v>
                </c:pt>
                <c:pt idx="1189">
                  <c:v>80</c:v>
                </c:pt>
                <c:pt idx="1190">
                  <c:v>80</c:v>
                </c:pt>
                <c:pt idx="1191">
                  <c:v>80</c:v>
                </c:pt>
                <c:pt idx="1192">
                  <c:v>80</c:v>
                </c:pt>
                <c:pt idx="1193">
                  <c:v>80</c:v>
                </c:pt>
                <c:pt idx="1194">
                  <c:v>80</c:v>
                </c:pt>
                <c:pt idx="1195">
                  <c:v>80</c:v>
                </c:pt>
                <c:pt idx="1196">
                  <c:v>80</c:v>
                </c:pt>
                <c:pt idx="1197">
                  <c:v>80</c:v>
                </c:pt>
                <c:pt idx="1198">
                  <c:v>80</c:v>
                </c:pt>
                <c:pt idx="1199">
                  <c:v>80</c:v>
                </c:pt>
                <c:pt idx="1200">
                  <c:v>80</c:v>
                </c:pt>
                <c:pt idx="1201">
                  <c:v>80</c:v>
                </c:pt>
                <c:pt idx="1202">
                  <c:v>80</c:v>
                </c:pt>
                <c:pt idx="1203">
                  <c:v>80</c:v>
                </c:pt>
                <c:pt idx="1204">
                  <c:v>80</c:v>
                </c:pt>
                <c:pt idx="1205">
                  <c:v>80</c:v>
                </c:pt>
                <c:pt idx="1206">
                  <c:v>80</c:v>
                </c:pt>
                <c:pt idx="1207">
                  <c:v>80</c:v>
                </c:pt>
                <c:pt idx="1208">
                  <c:v>80</c:v>
                </c:pt>
                <c:pt idx="1209">
                  <c:v>80</c:v>
                </c:pt>
                <c:pt idx="1210">
                  <c:v>80</c:v>
                </c:pt>
                <c:pt idx="1211">
                  <c:v>80</c:v>
                </c:pt>
                <c:pt idx="1212">
                  <c:v>80</c:v>
                </c:pt>
                <c:pt idx="1213">
                  <c:v>80</c:v>
                </c:pt>
                <c:pt idx="1214">
                  <c:v>80</c:v>
                </c:pt>
                <c:pt idx="1215">
                  <c:v>80</c:v>
                </c:pt>
                <c:pt idx="1216">
                  <c:v>80</c:v>
                </c:pt>
                <c:pt idx="1217">
                  <c:v>80</c:v>
                </c:pt>
                <c:pt idx="1218">
                  <c:v>80</c:v>
                </c:pt>
                <c:pt idx="1219">
                  <c:v>80</c:v>
                </c:pt>
                <c:pt idx="1220">
                  <c:v>80</c:v>
                </c:pt>
                <c:pt idx="1221">
                  <c:v>80</c:v>
                </c:pt>
                <c:pt idx="1222">
                  <c:v>80</c:v>
                </c:pt>
                <c:pt idx="1223">
                  <c:v>80</c:v>
                </c:pt>
                <c:pt idx="1224">
                  <c:v>80</c:v>
                </c:pt>
                <c:pt idx="1225">
                  <c:v>80</c:v>
                </c:pt>
                <c:pt idx="1226">
                  <c:v>80</c:v>
                </c:pt>
                <c:pt idx="1227">
                  <c:v>80</c:v>
                </c:pt>
                <c:pt idx="1228">
                  <c:v>80</c:v>
                </c:pt>
                <c:pt idx="1229">
                  <c:v>80</c:v>
                </c:pt>
                <c:pt idx="1230">
                  <c:v>80</c:v>
                </c:pt>
                <c:pt idx="1231">
                  <c:v>80</c:v>
                </c:pt>
                <c:pt idx="1232">
                  <c:v>80</c:v>
                </c:pt>
                <c:pt idx="1233">
                  <c:v>80</c:v>
                </c:pt>
                <c:pt idx="1234">
                  <c:v>80</c:v>
                </c:pt>
                <c:pt idx="1235">
                  <c:v>80</c:v>
                </c:pt>
                <c:pt idx="1236">
                  <c:v>80</c:v>
                </c:pt>
                <c:pt idx="1237">
                  <c:v>80</c:v>
                </c:pt>
                <c:pt idx="1238">
                  <c:v>80</c:v>
                </c:pt>
                <c:pt idx="1239">
                  <c:v>80</c:v>
                </c:pt>
                <c:pt idx="1240">
                  <c:v>80</c:v>
                </c:pt>
                <c:pt idx="1241">
                  <c:v>80</c:v>
                </c:pt>
                <c:pt idx="1242">
                  <c:v>80</c:v>
                </c:pt>
                <c:pt idx="1243">
                  <c:v>80</c:v>
                </c:pt>
                <c:pt idx="1244">
                  <c:v>80</c:v>
                </c:pt>
                <c:pt idx="1245">
                  <c:v>80</c:v>
                </c:pt>
                <c:pt idx="1246">
                  <c:v>80</c:v>
                </c:pt>
                <c:pt idx="1247">
                  <c:v>80</c:v>
                </c:pt>
                <c:pt idx="1248">
                  <c:v>80</c:v>
                </c:pt>
                <c:pt idx="1249">
                  <c:v>80</c:v>
                </c:pt>
                <c:pt idx="1250">
                  <c:v>80</c:v>
                </c:pt>
                <c:pt idx="1251">
                  <c:v>80</c:v>
                </c:pt>
                <c:pt idx="1252">
                  <c:v>80</c:v>
                </c:pt>
                <c:pt idx="1253">
                  <c:v>80</c:v>
                </c:pt>
                <c:pt idx="1254">
                  <c:v>80</c:v>
                </c:pt>
                <c:pt idx="1255">
                  <c:v>80</c:v>
                </c:pt>
                <c:pt idx="1256">
                  <c:v>80</c:v>
                </c:pt>
                <c:pt idx="1257">
                  <c:v>80</c:v>
                </c:pt>
                <c:pt idx="1258">
                  <c:v>80</c:v>
                </c:pt>
                <c:pt idx="1259">
                  <c:v>80</c:v>
                </c:pt>
                <c:pt idx="1260">
                  <c:v>80</c:v>
                </c:pt>
                <c:pt idx="1261">
                  <c:v>80</c:v>
                </c:pt>
                <c:pt idx="1262">
                  <c:v>80</c:v>
                </c:pt>
                <c:pt idx="1263">
                  <c:v>80</c:v>
                </c:pt>
                <c:pt idx="1264">
                  <c:v>80</c:v>
                </c:pt>
                <c:pt idx="1265">
                  <c:v>80</c:v>
                </c:pt>
                <c:pt idx="1266">
                  <c:v>80</c:v>
                </c:pt>
                <c:pt idx="1267">
                  <c:v>80</c:v>
                </c:pt>
                <c:pt idx="1268">
                  <c:v>80</c:v>
                </c:pt>
                <c:pt idx="1269">
                  <c:v>80</c:v>
                </c:pt>
                <c:pt idx="1270">
                  <c:v>80</c:v>
                </c:pt>
                <c:pt idx="1271">
                  <c:v>80</c:v>
                </c:pt>
                <c:pt idx="1272">
                  <c:v>80</c:v>
                </c:pt>
                <c:pt idx="1273">
                  <c:v>80</c:v>
                </c:pt>
                <c:pt idx="1274">
                  <c:v>80</c:v>
                </c:pt>
                <c:pt idx="1275">
                  <c:v>80</c:v>
                </c:pt>
                <c:pt idx="1276">
                  <c:v>80</c:v>
                </c:pt>
                <c:pt idx="1277">
                  <c:v>80</c:v>
                </c:pt>
                <c:pt idx="1278">
                  <c:v>80</c:v>
                </c:pt>
                <c:pt idx="1279">
                  <c:v>80</c:v>
                </c:pt>
                <c:pt idx="1280">
                  <c:v>80</c:v>
                </c:pt>
                <c:pt idx="1281">
                  <c:v>80</c:v>
                </c:pt>
                <c:pt idx="1282">
                  <c:v>80</c:v>
                </c:pt>
                <c:pt idx="1283">
                  <c:v>80</c:v>
                </c:pt>
                <c:pt idx="1284">
                  <c:v>80</c:v>
                </c:pt>
                <c:pt idx="1285">
                  <c:v>80</c:v>
                </c:pt>
                <c:pt idx="1286">
                  <c:v>80</c:v>
                </c:pt>
                <c:pt idx="1287">
                  <c:v>80</c:v>
                </c:pt>
                <c:pt idx="1288">
                  <c:v>78</c:v>
                </c:pt>
                <c:pt idx="1289">
                  <c:v>78</c:v>
                </c:pt>
                <c:pt idx="1290">
                  <c:v>78</c:v>
                </c:pt>
                <c:pt idx="1291">
                  <c:v>78</c:v>
                </c:pt>
                <c:pt idx="1292">
                  <c:v>78</c:v>
                </c:pt>
                <c:pt idx="1293">
                  <c:v>78</c:v>
                </c:pt>
                <c:pt idx="1294">
                  <c:v>78</c:v>
                </c:pt>
                <c:pt idx="1295">
                  <c:v>78</c:v>
                </c:pt>
                <c:pt idx="1296">
                  <c:v>78</c:v>
                </c:pt>
                <c:pt idx="1297">
                  <c:v>78</c:v>
                </c:pt>
                <c:pt idx="1298">
                  <c:v>78</c:v>
                </c:pt>
                <c:pt idx="1299">
                  <c:v>78</c:v>
                </c:pt>
                <c:pt idx="1300">
                  <c:v>78</c:v>
                </c:pt>
                <c:pt idx="1301">
                  <c:v>78</c:v>
                </c:pt>
                <c:pt idx="1302">
                  <c:v>78</c:v>
                </c:pt>
                <c:pt idx="1303">
                  <c:v>78</c:v>
                </c:pt>
                <c:pt idx="1304">
                  <c:v>78</c:v>
                </c:pt>
                <c:pt idx="1305">
                  <c:v>78</c:v>
                </c:pt>
                <c:pt idx="1306">
                  <c:v>78</c:v>
                </c:pt>
                <c:pt idx="1307">
                  <c:v>78</c:v>
                </c:pt>
                <c:pt idx="1308">
                  <c:v>78</c:v>
                </c:pt>
                <c:pt idx="1309">
                  <c:v>78</c:v>
                </c:pt>
                <c:pt idx="1310">
                  <c:v>78</c:v>
                </c:pt>
                <c:pt idx="1311">
                  <c:v>78</c:v>
                </c:pt>
                <c:pt idx="1312">
                  <c:v>78</c:v>
                </c:pt>
                <c:pt idx="1313">
                  <c:v>78</c:v>
                </c:pt>
                <c:pt idx="1314">
                  <c:v>78</c:v>
                </c:pt>
                <c:pt idx="1315">
                  <c:v>78</c:v>
                </c:pt>
                <c:pt idx="1316">
                  <c:v>78</c:v>
                </c:pt>
                <c:pt idx="1317">
                  <c:v>78</c:v>
                </c:pt>
                <c:pt idx="1318">
                  <c:v>78</c:v>
                </c:pt>
                <c:pt idx="1319">
                  <c:v>78</c:v>
                </c:pt>
                <c:pt idx="1320">
                  <c:v>78</c:v>
                </c:pt>
                <c:pt idx="1321">
                  <c:v>78</c:v>
                </c:pt>
                <c:pt idx="1322">
                  <c:v>78</c:v>
                </c:pt>
                <c:pt idx="1323">
                  <c:v>78</c:v>
                </c:pt>
                <c:pt idx="1324">
                  <c:v>78</c:v>
                </c:pt>
                <c:pt idx="1325">
                  <c:v>78</c:v>
                </c:pt>
                <c:pt idx="1326">
                  <c:v>78</c:v>
                </c:pt>
                <c:pt idx="1327">
                  <c:v>78</c:v>
                </c:pt>
                <c:pt idx="1328">
                  <c:v>78</c:v>
                </c:pt>
                <c:pt idx="1329">
                  <c:v>78</c:v>
                </c:pt>
                <c:pt idx="1330">
                  <c:v>78</c:v>
                </c:pt>
                <c:pt idx="1331">
                  <c:v>78</c:v>
                </c:pt>
                <c:pt idx="1332">
                  <c:v>78</c:v>
                </c:pt>
                <c:pt idx="1333">
                  <c:v>78</c:v>
                </c:pt>
                <c:pt idx="1334">
                  <c:v>78</c:v>
                </c:pt>
                <c:pt idx="1335">
                  <c:v>78</c:v>
                </c:pt>
                <c:pt idx="1336">
                  <c:v>78</c:v>
                </c:pt>
                <c:pt idx="1337">
                  <c:v>78</c:v>
                </c:pt>
                <c:pt idx="1338">
                  <c:v>78</c:v>
                </c:pt>
                <c:pt idx="1339">
                  <c:v>78</c:v>
                </c:pt>
                <c:pt idx="1340">
                  <c:v>78</c:v>
                </c:pt>
                <c:pt idx="1341">
                  <c:v>78</c:v>
                </c:pt>
                <c:pt idx="1342">
                  <c:v>78</c:v>
                </c:pt>
                <c:pt idx="1343">
                  <c:v>78</c:v>
                </c:pt>
                <c:pt idx="1344">
                  <c:v>78</c:v>
                </c:pt>
                <c:pt idx="1345">
                  <c:v>78</c:v>
                </c:pt>
                <c:pt idx="1346">
                  <c:v>78</c:v>
                </c:pt>
                <c:pt idx="1347">
                  <c:v>78</c:v>
                </c:pt>
                <c:pt idx="1348">
                  <c:v>78</c:v>
                </c:pt>
                <c:pt idx="1349">
                  <c:v>78</c:v>
                </c:pt>
                <c:pt idx="1350">
                  <c:v>78</c:v>
                </c:pt>
                <c:pt idx="1351">
                  <c:v>78</c:v>
                </c:pt>
                <c:pt idx="1352">
                  <c:v>78</c:v>
                </c:pt>
                <c:pt idx="1353">
                  <c:v>78</c:v>
                </c:pt>
                <c:pt idx="1354">
                  <c:v>78</c:v>
                </c:pt>
                <c:pt idx="1355">
                  <c:v>78</c:v>
                </c:pt>
                <c:pt idx="1356">
                  <c:v>78</c:v>
                </c:pt>
                <c:pt idx="1357">
                  <c:v>78</c:v>
                </c:pt>
                <c:pt idx="1358">
                  <c:v>78</c:v>
                </c:pt>
                <c:pt idx="1359">
                  <c:v>78</c:v>
                </c:pt>
                <c:pt idx="1360">
                  <c:v>78</c:v>
                </c:pt>
                <c:pt idx="1361">
                  <c:v>78</c:v>
                </c:pt>
                <c:pt idx="1362">
                  <c:v>78</c:v>
                </c:pt>
                <c:pt idx="1363">
                  <c:v>78</c:v>
                </c:pt>
                <c:pt idx="1364">
                  <c:v>78</c:v>
                </c:pt>
                <c:pt idx="1365">
                  <c:v>78</c:v>
                </c:pt>
                <c:pt idx="1366">
                  <c:v>78</c:v>
                </c:pt>
                <c:pt idx="1367">
                  <c:v>76</c:v>
                </c:pt>
                <c:pt idx="1368">
                  <c:v>76</c:v>
                </c:pt>
                <c:pt idx="1369">
                  <c:v>76</c:v>
                </c:pt>
                <c:pt idx="1370">
                  <c:v>76</c:v>
                </c:pt>
                <c:pt idx="1371">
                  <c:v>76</c:v>
                </c:pt>
                <c:pt idx="1372">
                  <c:v>76</c:v>
                </c:pt>
                <c:pt idx="1373">
                  <c:v>76</c:v>
                </c:pt>
                <c:pt idx="1374">
                  <c:v>76</c:v>
                </c:pt>
                <c:pt idx="1375">
                  <c:v>76</c:v>
                </c:pt>
                <c:pt idx="1376">
                  <c:v>76</c:v>
                </c:pt>
                <c:pt idx="1377">
                  <c:v>76</c:v>
                </c:pt>
                <c:pt idx="1378">
                  <c:v>76</c:v>
                </c:pt>
                <c:pt idx="1379">
                  <c:v>76</c:v>
                </c:pt>
                <c:pt idx="1380">
                  <c:v>76</c:v>
                </c:pt>
                <c:pt idx="1381">
                  <c:v>76</c:v>
                </c:pt>
                <c:pt idx="1382">
                  <c:v>76</c:v>
                </c:pt>
                <c:pt idx="1383">
                  <c:v>76</c:v>
                </c:pt>
                <c:pt idx="1384">
                  <c:v>76</c:v>
                </c:pt>
                <c:pt idx="1385">
                  <c:v>76</c:v>
                </c:pt>
                <c:pt idx="1386">
                  <c:v>76</c:v>
                </c:pt>
                <c:pt idx="1387">
                  <c:v>76</c:v>
                </c:pt>
                <c:pt idx="1388">
                  <c:v>76</c:v>
                </c:pt>
                <c:pt idx="1389">
                  <c:v>76</c:v>
                </c:pt>
                <c:pt idx="1390">
                  <c:v>76</c:v>
                </c:pt>
                <c:pt idx="1391">
                  <c:v>76</c:v>
                </c:pt>
                <c:pt idx="1392">
                  <c:v>76</c:v>
                </c:pt>
                <c:pt idx="1393">
                  <c:v>76</c:v>
                </c:pt>
                <c:pt idx="1394">
                  <c:v>76</c:v>
                </c:pt>
                <c:pt idx="1395">
                  <c:v>76</c:v>
                </c:pt>
                <c:pt idx="1396">
                  <c:v>76</c:v>
                </c:pt>
                <c:pt idx="1397">
                  <c:v>76</c:v>
                </c:pt>
                <c:pt idx="1398">
                  <c:v>76</c:v>
                </c:pt>
                <c:pt idx="1399">
                  <c:v>76</c:v>
                </c:pt>
                <c:pt idx="1400">
                  <c:v>76</c:v>
                </c:pt>
                <c:pt idx="1401">
                  <c:v>76</c:v>
                </c:pt>
                <c:pt idx="1402">
                  <c:v>76</c:v>
                </c:pt>
                <c:pt idx="1403">
                  <c:v>76</c:v>
                </c:pt>
                <c:pt idx="1404">
                  <c:v>76</c:v>
                </c:pt>
                <c:pt idx="1405">
                  <c:v>76</c:v>
                </c:pt>
                <c:pt idx="1406">
                  <c:v>76</c:v>
                </c:pt>
                <c:pt idx="1407">
                  <c:v>76</c:v>
                </c:pt>
                <c:pt idx="1408">
                  <c:v>76</c:v>
                </c:pt>
                <c:pt idx="1409">
                  <c:v>76</c:v>
                </c:pt>
                <c:pt idx="1410">
                  <c:v>76</c:v>
                </c:pt>
                <c:pt idx="1411">
                  <c:v>76</c:v>
                </c:pt>
                <c:pt idx="1412">
                  <c:v>76</c:v>
                </c:pt>
                <c:pt idx="1413">
                  <c:v>76</c:v>
                </c:pt>
                <c:pt idx="1414">
                  <c:v>76</c:v>
                </c:pt>
                <c:pt idx="1415">
                  <c:v>76</c:v>
                </c:pt>
                <c:pt idx="1416">
                  <c:v>76</c:v>
                </c:pt>
                <c:pt idx="1417">
                  <c:v>76</c:v>
                </c:pt>
                <c:pt idx="1418">
                  <c:v>76</c:v>
                </c:pt>
                <c:pt idx="1419">
                  <c:v>76</c:v>
                </c:pt>
                <c:pt idx="1420">
                  <c:v>76</c:v>
                </c:pt>
                <c:pt idx="1421">
                  <c:v>76</c:v>
                </c:pt>
                <c:pt idx="1422">
                  <c:v>76</c:v>
                </c:pt>
                <c:pt idx="1423">
                  <c:v>76</c:v>
                </c:pt>
                <c:pt idx="1424">
                  <c:v>76</c:v>
                </c:pt>
                <c:pt idx="1425">
                  <c:v>76</c:v>
                </c:pt>
                <c:pt idx="1426">
                  <c:v>76</c:v>
                </c:pt>
                <c:pt idx="1427">
                  <c:v>76</c:v>
                </c:pt>
                <c:pt idx="1428">
                  <c:v>76</c:v>
                </c:pt>
                <c:pt idx="1429">
                  <c:v>76</c:v>
                </c:pt>
                <c:pt idx="1430">
                  <c:v>76</c:v>
                </c:pt>
                <c:pt idx="1431">
                  <c:v>76</c:v>
                </c:pt>
                <c:pt idx="1432">
                  <c:v>76</c:v>
                </c:pt>
                <c:pt idx="1433">
                  <c:v>76</c:v>
                </c:pt>
                <c:pt idx="1434">
                  <c:v>74</c:v>
                </c:pt>
                <c:pt idx="1435">
                  <c:v>74</c:v>
                </c:pt>
                <c:pt idx="1436">
                  <c:v>74</c:v>
                </c:pt>
                <c:pt idx="1437">
                  <c:v>74</c:v>
                </c:pt>
                <c:pt idx="1438">
                  <c:v>74</c:v>
                </c:pt>
                <c:pt idx="1439">
                  <c:v>74</c:v>
                </c:pt>
                <c:pt idx="1440">
                  <c:v>74</c:v>
                </c:pt>
                <c:pt idx="1441">
                  <c:v>74</c:v>
                </c:pt>
                <c:pt idx="1442">
                  <c:v>74</c:v>
                </c:pt>
                <c:pt idx="1443">
                  <c:v>74</c:v>
                </c:pt>
                <c:pt idx="1444">
                  <c:v>74</c:v>
                </c:pt>
                <c:pt idx="1445">
                  <c:v>74</c:v>
                </c:pt>
                <c:pt idx="1446">
                  <c:v>74</c:v>
                </c:pt>
                <c:pt idx="1447">
                  <c:v>74</c:v>
                </c:pt>
                <c:pt idx="1448">
                  <c:v>74</c:v>
                </c:pt>
                <c:pt idx="1449">
                  <c:v>74</c:v>
                </c:pt>
                <c:pt idx="1450">
                  <c:v>74</c:v>
                </c:pt>
                <c:pt idx="1451">
                  <c:v>74</c:v>
                </c:pt>
                <c:pt idx="1452">
                  <c:v>74</c:v>
                </c:pt>
                <c:pt idx="1453">
                  <c:v>74</c:v>
                </c:pt>
                <c:pt idx="1454">
                  <c:v>74</c:v>
                </c:pt>
                <c:pt idx="1455">
                  <c:v>74</c:v>
                </c:pt>
                <c:pt idx="1456">
                  <c:v>74</c:v>
                </c:pt>
                <c:pt idx="1457">
                  <c:v>74</c:v>
                </c:pt>
                <c:pt idx="1458">
                  <c:v>74</c:v>
                </c:pt>
                <c:pt idx="1459">
                  <c:v>74</c:v>
                </c:pt>
                <c:pt idx="1460">
                  <c:v>74</c:v>
                </c:pt>
                <c:pt idx="1461">
                  <c:v>74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74</c:v>
                </c:pt>
                <c:pt idx="1491">
                  <c:v>74</c:v>
                </c:pt>
                <c:pt idx="1492">
                  <c:v>74</c:v>
                </c:pt>
                <c:pt idx="1493">
                  <c:v>74</c:v>
                </c:pt>
                <c:pt idx="1494">
                  <c:v>74</c:v>
                </c:pt>
                <c:pt idx="1495">
                  <c:v>74</c:v>
                </c:pt>
                <c:pt idx="1496">
                  <c:v>74</c:v>
                </c:pt>
                <c:pt idx="1497">
                  <c:v>74</c:v>
                </c:pt>
                <c:pt idx="1498">
                  <c:v>74</c:v>
                </c:pt>
                <c:pt idx="1499">
                  <c:v>74</c:v>
                </c:pt>
                <c:pt idx="1500">
                  <c:v>72</c:v>
                </c:pt>
                <c:pt idx="1501">
                  <c:v>72</c:v>
                </c:pt>
                <c:pt idx="1502">
                  <c:v>72</c:v>
                </c:pt>
                <c:pt idx="1503">
                  <c:v>72</c:v>
                </c:pt>
                <c:pt idx="1504">
                  <c:v>72</c:v>
                </c:pt>
                <c:pt idx="1505">
                  <c:v>72</c:v>
                </c:pt>
                <c:pt idx="1506">
                  <c:v>72</c:v>
                </c:pt>
                <c:pt idx="1507">
                  <c:v>72</c:v>
                </c:pt>
                <c:pt idx="1508">
                  <c:v>72</c:v>
                </c:pt>
                <c:pt idx="1509">
                  <c:v>72</c:v>
                </c:pt>
                <c:pt idx="1510">
                  <c:v>72</c:v>
                </c:pt>
                <c:pt idx="1511">
                  <c:v>72</c:v>
                </c:pt>
                <c:pt idx="1512">
                  <c:v>72</c:v>
                </c:pt>
                <c:pt idx="1513">
                  <c:v>72</c:v>
                </c:pt>
                <c:pt idx="1514">
                  <c:v>72</c:v>
                </c:pt>
                <c:pt idx="1515">
                  <c:v>72</c:v>
                </c:pt>
                <c:pt idx="1516">
                  <c:v>72</c:v>
                </c:pt>
                <c:pt idx="1517">
                  <c:v>72</c:v>
                </c:pt>
                <c:pt idx="1518">
                  <c:v>72</c:v>
                </c:pt>
                <c:pt idx="1519">
                  <c:v>72</c:v>
                </c:pt>
                <c:pt idx="1520">
                  <c:v>72</c:v>
                </c:pt>
                <c:pt idx="1521">
                  <c:v>72</c:v>
                </c:pt>
                <c:pt idx="1522">
                  <c:v>72</c:v>
                </c:pt>
                <c:pt idx="1523">
                  <c:v>72</c:v>
                </c:pt>
                <c:pt idx="1524">
                  <c:v>72</c:v>
                </c:pt>
                <c:pt idx="1525">
                  <c:v>72</c:v>
                </c:pt>
                <c:pt idx="1526">
                  <c:v>70</c:v>
                </c:pt>
                <c:pt idx="1527">
                  <c:v>70</c:v>
                </c:pt>
                <c:pt idx="1528">
                  <c:v>70</c:v>
                </c:pt>
                <c:pt idx="1529">
                  <c:v>70</c:v>
                </c:pt>
                <c:pt idx="1530">
                  <c:v>70</c:v>
                </c:pt>
                <c:pt idx="1531">
                  <c:v>70</c:v>
                </c:pt>
                <c:pt idx="1532">
                  <c:v>70</c:v>
                </c:pt>
                <c:pt idx="1533">
                  <c:v>70</c:v>
                </c:pt>
                <c:pt idx="1534">
                  <c:v>70</c:v>
                </c:pt>
                <c:pt idx="1535">
                  <c:v>70</c:v>
                </c:pt>
                <c:pt idx="1536">
                  <c:v>70</c:v>
                </c:pt>
                <c:pt idx="1537">
                  <c:v>70</c:v>
                </c:pt>
                <c:pt idx="1538">
                  <c:v>70</c:v>
                </c:pt>
                <c:pt idx="1539">
                  <c:v>70</c:v>
                </c:pt>
                <c:pt idx="1540">
                  <c:v>70</c:v>
                </c:pt>
                <c:pt idx="1541">
                  <c:v>70</c:v>
                </c:pt>
                <c:pt idx="1542">
                  <c:v>70</c:v>
                </c:pt>
                <c:pt idx="1543">
                  <c:v>70</c:v>
                </c:pt>
                <c:pt idx="1544">
                  <c:v>70</c:v>
                </c:pt>
                <c:pt idx="1545">
                  <c:v>70</c:v>
                </c:pt>
                <c:pt idx="1546">
                  <c:v>70</c:v>
                </c:pt>
                <c:pt idx="1547">
                  <c:v>70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70</c:v>
                </c:pt>
                <c:pt idx="1552">
                  <c:v>70</c:v>
                </c:pt>
                <c:pt idx="1553">
                  <c:v>70</c:v>
                </c:pt>
                <c:pt idx="1554">
                  <c:v>70</c:v>
                </c:pt>
                <c:pt idx="1555">
                  <c:v>70</c:v>
                </c:pt>
                <c:pt idx="1556">
                  <c:v>70</c:v>
                </c:pt>
                <c:pt idx="1557">
                  <c:v>68</c:v>
                </c:pt>
                <c:pt idx="1558">
                  <c:v>68</c:v>
                </c:pt>
                <c:pt idx="1559">
                  <c:v>68</c:v>
                </c:pt>
                <c:pt idx="1560">
                  <c:v>68</c:v>
                </c:pt>
                <c:pt idx="1561">
                  <c:v>68</c:v>
                </c:pt>
                <c:pt idx="1562">
                  <c:v>68</c:v>
                </c:pt>
                <c:pt idx="1563">
                  <c:v>68</c:v>
                </c:pt>
                <c:pt idx="1564">
                  <c:v>68</c:v>
                </c:pt>
                <c:pt idx="1565">
                  <c:v>68</c:v>
                </c:pt>
                <c:pt idx="1566">
                  <c:v>68</c:v>
                </c:pt>
                <c:pt idx="1567">
                  <c:v>68</c:v>
                </c:pt>
                <c:pt idx="1568">
                  <c:v>68</c:v>
                </c:pt>
                <c:pt idx="1569">
                  <c:v>68</c:v>
                </c:pt>
                <c:pt idx="1570">
                  <c:v>68</c:v>
                </c:pt>
                <c:pt idx="1571">
                  <c:v>68</c:v>
                </c:pt>
                <c:pt idx="1572">
                  <c:v>68</c:v>
                </c:pt>
                <c:pt idx="1573">
                  <c:v>68</c:v>
                </c:pt>
                <c:pt idx="1574">
                  <c:v>66</c:v>
                </c:pt>
                <c:pt idx="1575">
                  <c:v>66</c:v>
                </c:pt>
                <c:pt idx="1576">
                  <c:v>66</c:v>
                </c:pt>
                <c:pt idx="1577">
                  <c:v>66</c:v>
                </c:pt>
                <c:pt idx="1578">
                  <c:v>66</c:v>
                </c:pt>
                <c:pt idx="1579">
                  <c:v>66</c:v>
                </c:pt>
                <c:pt idx="1580">
                  <c:v>66</c:v>
                </c:pt>
                <c:pt idx="1581">
                  <c:v>66</c:v>
                </c:pt>
                <c:pt idx="1582">
                  <c:v>66</c:v>
                </c:pt>
                <c:pt idx="1583">
                  <c:v>66</c:v>
                </c:pt>
                <c:pt idx="1584">
                  <c:v>66</c:v>
                </c:pt>
                <c:pt idx="1585">
                  <c:v>66</c:v>
                </c:pt>
                <c:pt idx="1586">
                  <c:v>64</c:v>
                </c:pt>
                <c:pt idx="1587">
                  <c:v>64</c:v>
                </c:pt>
                <c:pt idx="1588">
                  <c:v>64</c:v>
                </c:pt>
                <c:pt idx="1589">
                  <c:v>64</c:v>
                </c:pt>
                <c:pt idx="1590">
                  <c:v>64</c:v>
                </c:pt>
                <c:pt idx="1591">
                  <c:v>64</c:v>
                </c:pt>
                <c:pt idx="1592">
                  <c:v>62</c:v>
                </c:pt>
                <c:pt idx="1593">
                  <c:v>62</c:v>
                </c:pt>
                <c:pt idx="1594">
                  <c:v>60</c:v>
                </c:pt>
                <c:pt idx="1595">
                  <c:v>60</c:v>
                </c:pt>
                <c:pt idx="1596">
                  <c:v>60</c:v>
                </c:pt>
                <c:pt idx="1597">
                  <c:v>60</c:v>
                </c:pt>
                <c:pt idx="1598">
                  <c:v>60</c:v>
                </c:pt>
                <c:pt idx="1599">
                  <c:v>60</c:v>
                </c:pt>
                <c:pt idx="1600">
                  <c:v>60</c:v>
                </c:pt>
                <c:pt idx="1601">
                  <c:v>60</c:v>
                </c:pt>
                <c:pt idx="1602">
                  <c:v>60</c:v>
                </c:pt>
                <c:pt idx="1603">
                  <c:v>60</c:v>
                </c:pt>
                <c:pt idx="1604">
                  <c:v>60</c:v>
                </c:pt>
                <c:pt idx="1605">
                  <c:v>60</c:v>
                </c:pt>
                <c:pt idx="1606">
                  <c:v>60</c:v>
                </c:pt>
                <c:pt idx="1607">
                  <c:v>60</c:v>
                </c:pt>
                <c:pt idx="1608">
                  <c:v>60</c:v>
                </c:pt>
                <c:pt idx="1609">
                  <c:v>60</c:v>
                </c:pt>
                <c:pt idx="1610">
                  <c:v>60</c:v>
                </c:pt>
                <c:pt idx="1611">
                  <c:v>60</c:v>
                </c:pt>
                <c:pt idx="1612">
                  <c:v>60</c:v>
                </c:pt>
                <c:pt idx="1613">
                  <c:v>60</c:v>
                </c:pt>
                <c:pt idx="1614">
                  <c:v>60</c:v>
                </c:pt>
                <c:pt idx="1615">
                  <c:v>60</c:v>
                </c:pt>
                <c:pt idx="1616">
                  <c:v>60</c:v>
                </c:pt>
                <c:pt idx="1617">
                  <c:v>60</c:v>
                </c:pt>
                <c:pt idx="1618">
                  <c:v>60</c:v>
                </c:pt>
                <c:pt idx="1619">
                  <c:v>60</c:v>
                </c:pt>
                <c:pt idx="1620">
                  <c:v>60</c:v>
                </c:pt>
                <c:pt idx="1621">
                  <c:v>60</c:v>
                </c:pt>
                <c:pt idx="1622">
                  <c:v>60</c:v>
                </c:pt>
                <c:pt idx="1623">
                  <c:v>60</c:v>
                </c:pt>
                <c:pt idx="1624">
                  <c:v>60</c:v>
                </c:pt>
                <c:pt idx="1625">
                  <c:v>58</c:v>
                </c:pt>
                <c:pt idx="1626">
                  <c:v>56</c:v>
                </c:pt>
                <c:pt idx="1627">
                  <c:v>56</c:v>
                </c:pt>
                <c:pt idx="1628">
                  <c:v>54</c:v>
                </c:pt>
                <c:pt idx="1629">
                  <c:v>54</c:v>
                </c:pt>
                <c:pt idx="1630">
                  <c:v>54</c:v>
                </c:pt>
                <c:pt idx="1631">
                  <c:v>54</c:v>
                </c:pt>
                <c:pt idx="1632">
                  <c:v>52</c:v>
                </c:pt>
                <c:pt idx="1633">
                  <c:v>52</c:v>
                </c:pt>
                <c:pt idx="1634">
                  <c:v>50</c:v>
                </c:pt>
                <c:pt idx="1635">
                  <c:v>50</c:v>
                </c:pt>
                <c:pt idx="1636">
                  <c:v>50</c:v>
                </c:pt>
                <c:pt idx="1637">
                  <c:v>50</c:v>
                </c:pt>
                <c:pt idx="1638">
                  <c:v>48</c:v>
                </c:pt>
                <c:pt idx="1639">
                  <c:v>48</c:v>
                </c:pt>
                <c:pt idx="1640">
                  <c:v>46</c:v>
                </c:pt>
                <c:pt idx="1641">
                  <c:v>46</c:v>
                </c:pt>
                <c:pt idx="1642">
                  <c:v>46</c:v>
                </c:pt>
                <c:pt idx="1643">
                  <c:v>44</c:v>
                </c:pt>
                <c:pt idx="1644">
                  <c:v>40</c:v>
                </c:pt>
                <c:pt idx="1645">
                  <c:v>40</c:v>
                </c:pt>
                <c:pt idx="1646">
                  <c:v>40</c:v>
                </c:pt>
                <c:pt idx="1647">
                  <c:v>40</c:v>
                </c:pt>
                <c:pt idx="1648">
                  <c:v>40</c:v>
                </c:pt>
                <c:pt idx="1649">
                  <c:v>40</c:v>
                </c:pt>
                <c:pt idx="1650">
                  <c:v>40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0-432F-BA24-949BC228E87A}"/>
            </c:ext>
          </c:extLst>
        </c:ser>
        <c:ser>
          <c:idx val="0"/>
          <c:order val="1"/>
          <c:tx>
            <c:strRef>
              <c:f>'Cleaned Laptop Dataset'!$C$1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'Cleaned Laptop Dataset'!$C$2:$C$1681</c:f>
              <c:numCache>
                <c:formatCode>0.00</c:formatCode>
                <c:ptCount val="1680"/>
                <c:pt idx="0">
                  <c:v>118990</c:v>
                </c:pt>
                <c:pt idx="1">
                  <c:v>191990</c:v>
                </c:pt>
                <c:pt idx="2">
                  <c:v>58890</c:v>
                </c:pt>
                <c:pt idx="3">
                  <c:v>88990</c:v>
                </c:pt>
                <c:pt idx="4">
                  <c:v>119990</c:v>
                </c:pt>
                <c:pt idx="5">
                  <c:v>229990</c:v>
                </c:pt>
                <c:pt idx="6">
                  <c:v>38990</c:v>
                </c:pt>
                <c:pt idx="7">
                  <c:v>150990</c:v>
                </c:pt>
                <c:pt idx="8">
                  <c:v>110990</c:v>
                </c:pt>
                <c:pt idx="9">
                  <c:v>99990</c:v>
                </c:pt>
                <c:pt idx="10">
                  <c:v>118990</c:v>
                </c:pt>
                <c:pt idx="11">
                  <c:v>279990</c:v>
                </c:pt>
                <c:pt idx="12">
                  <c:v>257454</c:v>
                </c:pt>
                <c:pt idx="13">
                  <c:v>133051</c:v>
                </c:pt>
                <c:pt idx="14">
                  <c:v>279990</c:v>
                </c:pt>
                <c:pt idx="15">
                  <c:v>87490</c:v>
                </c:pt>
                <c:pt idx="16">
                  <c:v>159990</c:v>
                </c:pt>
                <c:pt idx="17">
                  <c:v>55990</c:v>
                </c:pt>
                <c:pt idx="18">
                  <c:v>42900</c:v>
                </c:pt>
                <c:pt idx="19">
                  <c:v>201990</c:v>
                </c:pt>
                <c:pt idx="20">
                  <c:v>182990</c:v>
                </c:pt>
                <c:pt idx="21">
                  <c:v>136990</c:v>
                </c:pt>
                <c:pt idx="22">
                  <c:v>81889</c:v>
                </c:pt>
                <c:pt idx="23">
                  <c:v>54990</c:v>
                </c:pt>
                <c:pt idx="24">
                  <c:v>131990</c:v>
                </c:pt>
                <c:pt idx="25">
                  <c:v>120499</c:v>
                </c:pt>
                <c:pt idx="26">
                  <c:v>91190</c:v>
                </c:pt>
                <c:pt idx="27">
                  <c:v>121990</c:v>
                </c:pt>
                <c:pt idx="28">
                  <c:v>154990</c:v>
                </c:pt>
                <c:pt idx="29">
                  <c:v>71990</c:v>
                </c:pt>
                <c:pt idx="30">
                  <c:v>349900</c:v>
                </c:pt>
                <c:pt idx="31">
                  <c:v>209990</c:v>
                </c:pt>
                <c:pt idx="32">
                  <c:v>54990</c:v>
                </c:pt>
                <c:pt idx="33">
                  <c:v>72990</c:v>
                </c:pt>
                <c:pt idx="34">
                  <c:v>80150</c:v>
                </c:pt>
                <c:pt idx="35">
                  <c:v>90000</c:v>
                </c:pt>
                <c:pt idx="36">
                  <c:v>105400</c:v>
                </c:pt>
                <c:pt idx="37">
                  <c:v>61378</c:v>
                </c:pt>
                <c:pt idx="38">
                  <c:v>159990</c:v>
                </c:pt>
                <c:pt idx="39">
                  <c:v>202389</c:v>
                </c:pt>
                <c:pt idx="40">
                  <c:v>376627</c:v>
                </c:pt>
                <c:pt idx="41">
                  <c:v>141900</c:v>
                </c:pt>
                <c:pt idx="42">
                  <c:v>161990</c:v>
                </c:pt>
                <c:pt idx="43">
                  <c:v>202990</c:v>
                </c:pt>
                <c:pt idx="44">
                  <c:v>126990</c:v>
                </c:pt>
                <c:pt idx="45">
                  <c:v>41711</c:v>
                </c:pt>
                <c:pt idx="46">
                  <c:v>51990</c:v>
                </c:pt>
                <c:pt idx="47">
                  <c:v>135000</c:v>
                </c:pt>
                <c:pt idx="48">
                  <c:v>146250</c:v>
                </c:pt>
                <c:pt idx="49">
                  <c:v>94989</c:v>
                </c:pt>
                <c:pt idx="50">
                  <c:v>51990</c:v>
                </c:pt>
                <c:pt idx="51">
                  <c:v>67990</c:v>
                </c:pt>
                <c:pt idx="52">
                  <c:v>36990</c:v>
                </c:pt>
                <c:pt idx="53">
                  <c:v>122990</c:v>
                </c:pt>
                <c:pt idx="54">
                  <c:v>138990</c:v>
                </c:pt>
                <c:pt idx="55">
                  <c:v>150699</c:v>
                </c:pt>
                <c:pt idx="56">
                  <c:v>279990</c:v>
                </c:pt>
                <c:pt idx="57">
                  <c:v>329990</c:v>
                </c:pt>
                <c:pt idx="58">
                  <c:v>93190</c:v>
                </c:pt>
                <c:pt idx="59">
                  <c:v>159990</c:v>
                </c:pt>
                <c:pt idx="60">
                  <c:v>168990</c:v>
                </c:pt>
                <c:pt idx="61">
                  <c:v>172090</c:v>
                </c:pt>
                <c:pt idx="62">
                  <c:v>73990</c:v>
                </c:pt>
                <c:pt idx="63">
                  <c:v>30980</c:v>
                </c:pt>
                <c:pt idx="64">
                  <c:v>199900</c:v>
                </c:pt>
                <c:pt idx="65">
                  <c:v>289900</c:v>
                </c:pt>
                <c:pt idx="66">
                  <c:v>289900</c:v>
                </c:pt>
                <c:pt idx="67">
                  <c:v>189900</c:v>
                </c:pt>
                <c:pt idx="68">
                  <c:v>76999</c:v>
                </c:pt>
                <c:pt idx="69">
                  <c:v>57005</c:v>
                </c:pt>
                <c:pt idx="70">
                  <c:v>62990</c:v>
                </c:pt>
                <c:pt idx="71">
                  <c:v>72000</c:v>
                </c:pt>
                <c:pt idx="72">
                  <c:v>230503</c:v>
                </c:pt>
                <c:pt idx="73">
                  <c:v>285490</c:v>
                </c:pt>
                <c:pt idx="74">
                  <c:v>89990</c:v>
                </c:pt>
                <c:pt idx="75">
                  <c:v>34700</c:v>
                </c:pt>
                <c:pt idx="76">
                  <c:v>139990</c:v>
                </c:pt>
                <c:pt idx="77">
                  <c:v>201288</c:v>
                </c:pt>
                <c:pt idx="78">
                  <c:v>65499</c:v>
                </c:pt>
                <c:pt idx="79">
                  <c:v>159990</c:v>
                </c:pt>
                <c:pt idx="80">
                  <c:v>42690</c:v>
                </c:pt>
                <c:pt idx="81">
                  <c:v>112430</c:v>
                </c:pt>
                <c:pt idx="82">
                  <c:v>65570</c:v>
                </c:pt>
                <c:pt idx="83">
                  <c:v>38990</c:v>
                </c:pt>
                <c:pt idx="84">
                  <c:v>269990</c:v>
                </c:pt>
                <c:pt idx="85">
                  <c:v>189900</c:v>
                </c:pt>
                <c:pt idx="86">
                  <c:v>87999</c:v>
                </c:pt>
                <c:pt idx="87">
                  <c:v>192990</c:v>
                </c:pt>
                <c:pt idx="88">
                  <c:v>133000</c:v>
                </c:pt>
                <c:pt idx="89">
                  <c:v>80500</c:v>
                </c:pt>
                <c:pt idx="90">
                  <c:v>149837</c:v>
                </c:pt>
                <c:pt idx="91">
                  <c:v>110990</c:v>
                </c:pt>
                <c:pt idx="92">
                  <c:v>189183</c:v>
                </c:pt>
                <c:pt idx="93">
                  <c:v>362990</c:v>
                </c:pt>
                <c:pt idx="94">
                  <c:v>86650</c:v>
                </c:pt>
                <c:pt idx="95">
                  <c:v>126980</c:v>
                </c:pt>
                <c:pt idx="96">
                  <c:v>239990</c:v>
                </c:pt>
                <c:pt idx="97">
                  <c:v>198114</c:v>
                </c:pt>
                <c:pt idx="98">
                  <c:v>232999</c:v>
                </c:pt>
                <c:pt idx="99">
                  <c:v>178900</c:v>
                </c:pt>
                <c:pt idx="100">
                  <c:v>103490</c:v>
                </c:pt>
                <c:pt idx="101">
                  <c:v>71990</c:v>
                </c:pt>
                <c:pt idx="102">
                  <c:v>128000</c:v>
                </c:pt>
                <c:pt idx="103">
                  <c:v>261990</c:v>
                </c:pt>
                <c:pt idx="104">
                  <c:v>33900</c:v>
                </c:pt>
                <c:pt idx="105">
                  <c:v>214903</c:v>
                </c:pt>
                <c:pt idx="106">
                  <c:v>182341</c:v>
                </c:pt>
                <c:pt idx="107">
                  <c:v>69890</c:v>
                </c:pt>
                <c:pt idx="108">
                  <c:v>125900</c:v>
                </c:pt>
                <c:pt idx="109">
                  <c:v>304980</c:v>
                </c:pt>
                <c:pt idx="110">
                  <c:v>169900</c:v>
                </c:pt>
                <c:pt idx="111">
                  <c:v>224990</c:v>
                </c:pt>
                <c:pt idx="112">
                  <c:v>109990</c:v>
                </c:pt>
                <c:pt idx="113">
                  <c:v>230694</c:v>
                </c:pt>
                <c:pt idx="114">
                  <c:v>84540</c:v>
                </c:pt>
                <c:pt idx="115">
                  <c:v>121299</c:v>
                </c:pt>
                <c:pt idx="116">
                  <c:v>279890</c:v>
                </c:pt>
                <c:pt idx="117">
                  <c:v>94990</c:v>
                </c:pt>
                <c:pt idx="118">
                  <c:v>179990</c:v>
                </c:pt>
                <c:pt idx="119">
                  <c:v>77990</c:v>
                </c:pt>
                <c:pt idx="120">
                  <c:v>69990</c:v>
                </c:pt>
                <c:pt idx="121">
                  <c:v>70990</c:v>
                </c:pt>
                <c:pt idx="122">
                  <c:v>75990</c:v>
                </c:pt>
                <c:pt idx="123">
                  <c:v>147990</c:v>
                </c:pt>
                <c:pt idx="124">
                  <c:v>172990</c:v>
                </c:pt>
                <c:pt idx="125">
                  <c:v>162990</c:v>
                </c:pt>
                <c:pt idx="126">
                  <c:v>107990</c:v>
                </c:pt>
                <c:pt idx="127">
                  <c:v>39990</c:v>
                </c:pt>
                <c:pt idx="128">
                  <c:v>189990</c:v>
                </c:pt>
                <c:pt idx="129">
                  <c:v>144990</c:v>
                </c:pt>
                <c:pt idx="130">
                  <c:v>69665</c:v>
                </c:pt>
                <c:pt idx="131">
                  <c:v>75990</c:v>
                </c:pt>
                <c:pt idx="132">
                  <c:v>127796</c:v>
                </c:pt>
                <c:pt idx="133">
                  <c:v>248490</c:v>
                </c:pt>
                <c:pt idx="134">
                  <c:v>149990</c:v>
                </c:pt>
                <c:pt idx="135">
                  <c:v>74990</c:v>
                </c:pt>
                <c:pt idx="136">
                  <c:v>149990</c:v>
                </c:pt>
                <c:pt idx="137">
                  <c:v>184008</c:v>
                </c:pt>
                <c:pt idx="138">
                  <c:v>79990</c:v>
                </c:pt>
                <c:pt idx="139">
                  <c:v>47990</c:v>
                </c:pt>
                <c:pt idx="140">
                  <c:v>50990</c:v>
                </c:pt>
                <c:pt idx="141">
                  <c:v>149990</c:v>
                </c:pt>
                <c:pt idx="142">
                  <c:v>34780</c:v>
                </c:pt>
                <c:pt idx="143">
                  <c:v>103817</c:v>
                </c:pt>
                <c:pt idx="144">
                  <c:v>77990</c:v>
                </c:pt>
                <c:pt idx="145">
                  <c:v>127990</c:v>
                </c:pt>
                <c:pt idx="146">
                  <c:v>105990</c:v>
                </c:pt>
                <c:pt idx="147">
                  <c:v>104700</c:v>
                </c:pt>
                <c:pt idx="148">
                  <c:v>109990</c:v>
                </c:pt>
                <c:pt idx="149">
                  <c:v>105990</c:v>
                </c:pt>
                <c:pt idx="150">
                  <c:v>39940</c:v>
                </c:pt>
                <c:pt idx="151">
                  <c:v>154990</c:v>
                </c:pt>
                <c:pt idx="152">
                  <c:v>239990</c:v>
                </c:pt>
                <c:pt idx="153">
                  <c:v>57290</c:v>
                </c:pt>
                <c:pt idx="154">
                  <c:v>33990</c:v>
                </c:pt>
                <c:pt idx="155">
                  <c:v>74990</c:v>
                </c:pt>
                <c:pt idx="156">
                  <c:v>72999</c:v>
                </c:pt>
                <c:pt idx="157">
                  <c:v>125990</c:v>
                </c:pt>
                <c:pt idx="158">
                  <c:v>144900</c:v>
                </c:pt>
                <c:pt idx="159">
                  <c:v>125990</c:v>
                </c:pt>
                <c:pt idx="160">
                  <c:v>134900</c:v>
                </c:pt>
                <c:pt idx="161">
                  <c:v>114900</c:v>
                </c:pt>
                <c:pt idx="162">
                  <c:v>139990</c:v>
                </c:pt>
                <c:pt idx="163">
                  <c:v>114900</c:v>
                </c:pt>
                <c:pt idx="164">
                  <c:v>95600</c:v>
                </c:pt>
                <c:pt idx="165">
                  <c:v>113900</c:v>
                </c:pt>
                <c:pt idx="166">
                  <c:v>139990</c:v>
                </c:pt>
                <c:pt idx="167">
                  <c:v>139990</c:v>
                </c:pt>
                <c:pt idx="168">
                  <c:v>144990</c:v>
                </c:pt>
                <c:pt idx="169">
                  <c:v>139990</c:v>
                </c:pt>
                <c:pt idx="170">
                  <c:v>126890</c:v>
                </c:pt>
                <c:pt idx="171">
                  <c:v>169900</c:v>
                </c:pt>
                <c:pt idx="172">
                  <c:v>79990</c:v>
                </c:pt>
                <c:pt idx="173">
                  <c:v>67490</c:v>
                </c:pt>
                <c:pt idx="174">
                  <c:v>70990</c:v>
                </c:pt>
                <c:pt idx="175">
                  <c:v>142991</c:v>
                </c:pt>
                <c:pt idx="176">
                  <c:v>142113</c:v>
                </c:pt>
                <c:pt idx="177">
                  <c:v>133999</c:v>
                </c:pt>
                <c:pt idx="178">
                  <c:v>112999</c:v>
                </c:pt>
                <c:pt idx="179">
                  <c:v>32990</c:v>
                </c:pt>
                <c:pt idx="180">
                  <c:v>248490</c:v>
                </c:pt>
                <c:pt idx="181">
                  <c:v>87999</c:v>
                </c:pt>
                <c:pt idx="182">
                  <c:v>57999</c:v>
                </c:pt>
                <c:pt idx="183">
                  <c:v>121990</c:v>
                </c:pt>
                <c:pt idx="184">
                  <c:v>94990</c:v>
                </c:pt>
                <c:pt idx="185">
                  <c:v>94990</c:v>
                </c:pt>
                <c:pt idx="186">
                  <c:v>134990</c:v>
                </c:pt>
                <c:pt idx="187">
                  <c:v>119900</c:v>
                </c:pt>
                <c:pt idx="188">
                  <c:v>119900</c:v>
                </c:pt>
                <c:pt idx="189">
                  <c:v>95990</c:v>
                </c:pt>
                <c:pt idx="190">
                  <c:v>119900</c:v>
                </c:pt>
                <c:pt idx="191">
                  <c:v>134990</c:v>
                </c:pt>
                <c:pt idx="192">
                  <c:v>134990</c:v>
                </c:pt>
                <c:pt idx="193">
                  <c:v>95990</c:v>
                </c:pt>
                <c:pt idx="194">
                  <c:v>134990</c:v>
                </c:pt>
                <c:pt idx="195">
                  <c:v>119900</c:v>
                </c:pt>
                <c:pt idx="196">
                  <c:v>33490</c:v>
                </c:pt>
                <c:pt idx="197">
                  <c:v>67990</c:v>
                </c:pt>
                <c:pt idx="198">
                  <c:v>67990</c:v>
                </c:pt>
                <c:pt idx="199">
                  <c:v>113490</c:v>
                </c:pt>
                <c:pt idx="200">
                  <c:v>153990</c:v>
                </c:pt>
                <c:pt idx="201">
                  <c:v>41990</c:v>
                </c:pt>
                <c:pt idx="202">
                  <c:v>107990</c:v>
                </c:pt>
                <c:pt idx="203">
                  <c:v>105871</c:v>
                </c:pt>
                <c:pt idx="204">
                  <c:v>98735</c:v>
                </c:pt>
                <c:pt idx="205">
                  <c:v>71990</c:v>
                </c:pt>
                <c:pt idx="206">
                  <c:v>65990</c:v>
                </c:pt>
                <c:pt idx="207">
                  <c:v>64990</c:v>
                </c:pt>
                <c:pt idx="208">
                  <c:v>37490</c:v>
                </c:pt>
                <c:pt idx="209">
                  <c:v>147990</c:v>
                </c:pt>
                <c:pt idx="210">
                  <c:v>139990</c:v>
                </c:pt>
                <c:pt idx="211">
                  <c:v>121799</c:v>
                </c:pt>
                <c:pt idx="212">
                  <c:v>99990</c:v>
                </c:pt>
                <c:pt idx="213">
                  <c:v>119990</c:v>
                </c:pt>
                <c:pt idx="214">
                  <c:v>152499</c:v>
                </c:pt>
                <c:pt idx="215">
                  <c:v>53990</c:v>
                </c:pt>
                <c:pt idx="216">
                  <c:v>53999</c:v>
                </c:pt>
                <c:pt idx="217">
                  <c:v>104990</c:v>
                </c:pt>
                <c:pt idx="218">
                  <c:v>169900</c:v>
                </c:pt>
                <c:pt idx="219">
                  <c:v>94990</c:v>
                </c:pt>
                <c:pt idx="220">
                  <c:v>119900</c:v>
                </c:pt>
                <c:pt idx="221">
                  <c:v>130994</c:v>
                </c:pt>
                <c:pt idx="222">
                  <c:v>109990</c:v>
                </c:pt>
                <c:pt idx="223">
                  <c:v>195990</c:v>
                </c:pt>
                <c:pt idx="224">
                  <c:v>359990</c:v>
                </c:pt>
                <c:pt idx="225">
                  <c:v>45990</c:v>
                </c:pt>
                <c:pt idx="226">
                  <c:v>140131</c:v>
                </c:pt>
                <c:pt idx="227">
                  <c:v>69990</c:v>
                </c:pt>
                <c:pt idx="228">
                  <c:v>108990</c:v>
                </c:pt>
                <c:pt idx="229">
                  <c:v>76900</c:v>
                </c:pt>
                <c:pt idx="230">
                  <c:v>77990</c:v>
                </c:pt>
                <c:pt idx="231">
                  <c:v>172791</c:v>
                </c:pt>
                <c:pt idx="232">
                  <c:v>75990</c:v>
                </c:pt>
                <c:pt idx="233">
                  <c:v>156999</c:v>
                </c:pt>
                <c:pt idx="234">
                  <c:v>36990</c:v>
                </c:pt>
                <c:pt idx="235">
                  <c:v>134900</c:v>
                </c:pt>
                <c:pt idx="236">
                  <c:v>87990</c:v>
                </c:pt>
                <c:pt idx="237">
                  <c:v>44990</c:v>
                </c:pt>
                <c:pt idx="238">
                  <c:v>79990</c:v>
                </c:pt>
                <c:pt idx="239">
                  <c:v>99990</c:v>
                </c:pt>
                <c:pt idx="240">
                  <c:v>51490</c:v>
                </c:pt>
                <c:pt idx="241">
                  <c:v>107990</c:v>
                </c:pt>
                <c:pt idx="242">
                  <c:v>107990</c:v>
                </c:pt>
                <c:pt idx="243">
                  <c:v>98820</c:v>
                </c:pt>
                <c:pt idx="244">
                  <c:v>117990</c:v>
                </c:pt>
                <c:pt idx="245">
                  <c:v>154990</c:v>
                </c:pt>
                <c:pt idx="246">
                  <c:v>121990</c:v>
                </c:pt>
                <c:pt idx="247">
                  <c:v>139990</c:v>
                </c:pt>
                <c:pt idx="248">
                  <c:v>139990</c:v>
                </c:pt>
                <c:pt idx="249">
                  <c:v>139990</c:v>
                </c:pt>
                <c:pt idx="250">
                  <c:v>42990</c:v>
                </c:pt>
                <c:pt idx="251">
                  <c:v>72190</c:v>
                </c:pt>
                <c:pt idx="252">
                  <c:v>59790</c:v>
                </c:pt>
                <c:pt idx="253">
                  <c:v>74990</c:v>
                </c:pt>
                <c:pt idx="254">
                  <c:v>92990</c:v>
                </c:pt>
                <c:pt idx="255">
                  <c:v>55990</c:v>
                </c:pt>
                <c:pt idx="256">
                  <c:v>71990</c:v>
                </c:pt>
                <c:pt idx="257">
                  <c:v>39490</c:v>
                </c:pt>
                <c:pt idx="258">
                  <c:v>47990</c:v>
                </c:pt>
                <c:pt idx="259">
                  <c:v>139990</c:v>
                </c:pt>
                <c:pt idx="260">
                  <c:v>113490</c:v>
                </c:pt>
                <c:pt idx="261">
                  <c:v>64999</c:v>
                </c:pt>
                <c:pt idx="262">
                  <c:v>379990</c:v>
                </c:pt>
                <c:pt idx="263">
                  <c:v>149990</c:v>
                </c:pt>
                <c:pt idx="264">
                  <c:v>44990</c:v>
                </c:pt>
                <c:pt idx="265">
                  <c:v>92490</c:v>
                </c:pt>
                <c:pt idx="266">
                  <c:v>69999</c:v>
                </c:pt>
                <c:pt idx="267">
                  <c:v>56990</c:v>
                </c:pt>
                <c:pt idx="268">
                  <c:v>58400</c:v>
                </c:pt>
                <c:pt idx="269">
                  <c:v>73990</c:v>
                </c:pt>
                <c:pt idx="270">
                  <c:v>71990</c:v>
                </c:pt>
                <c:pt idx="271">
                  <c:v>84990</c:v>
                </c:pt>
                <c:pt idx="272">
                  <c:v>50990</c:v>
                </c:pt>
                <c:pt idx="273">
                  <c:v>139990</c:v>
                </c:pt>
                <c:pt idx="274">
                  <c:v>180990</c:v>
                </c:pt>
                <c:pt idx="275">
                  <c:v>91190</c:v>
                </c:pt>
                <c:pt idx="276">
                  <c:v>176323</c:v>
                </c:pt>
                <c:pt idx="277">
                  <c:v>63990</c:v>
                </c:pt>
                <c:pt idx="278">
                  <c:v>58999</c:v>
                </c:pt>
                <c:pt idx="279">
                  <c:v>59900</c:v>
                </c:pt>
                <c:pt idx="280">
                  <c:v>364990</c:v>
                </c:pt>
                <c:pt idx="281">
                  <c:v>289900</c:v>
                </c:pt>
                <c:pt idx="282">
                  <c:v>67999</c:v>
                </c:pt>
                <c:pt idx="283">
                  <c:v>114990</c:v>
                </c:pt>
                <c:pt idx="284">
                  <c:v>42290</c:v>
                </c:pt>
                <c:pt idx="285">
                  <c:v>98999</c:v>
                </c:pt>
                <c:pt idx="286">
                  <c:v>52699</c:v>
                </c:pt>
                <c:pt idx="287">
                  <c:v>58990</c:v>
                </c:pt>
                <c:pt idx="288">
                  <c:v>62099</c:v>
                </c:pt>
                <c:pt idx="289">
                  <c:v>106628</c:v>
                </c:pt>
                <c:pt idx="290">
                  <c:v>124990</c:v>
                </c:pt>
                <c:pt idx="291">
                  <c:v>85990</c:v>
                </c:pt>
                <c:pt idx="292">
                  <c:v>97190</c:v>
                </c:pt>
                <c:pt idx="293">
                  <c:v>127980</c:v>
                </c:pt>
                <c:pt idx="294">
                  <c:v>66990</c:v>
                </c:pt>
                <c:pt idx="295">
                  <c:v>92190</c:v>
                </c:pt>
                <c:pt idx="296">
                  <c:v>74990</c:v>
                </c:pt>
                <c:pt idx="297">
                  <c:v>63999</c:v>
                </c:pt>
                <c:pt idx="298">
                  <c:v>80990</c:v>
                </c:pt>
                <c:pt idx="299">
                  <c:v>102999</c:v>
                </c:pt>
                <c:pt idx="300">
                  <c:v>97990</c:v>
                </c:pt>
                <c:pt idx="301">
                  <c:v>81906</c:v>
                </c:pt>
                <c:pt idx="302">
                  <c:v>154990</c:v>
                </c:pt>
                <c:pt idx="303">
                  <c:v>179990</c:v>
                </c:pt>
                <c:pt idx="304">
                  <c:v>87056</c:v>
                </c:pt>
                <c:pt idx="305">
                  <c:v>64900</c:v>
                </c:pt>
                <c:pt idx="306">
                  <c:v>68470</c:v>
                </c:pt>
                <c:pt idx="307">
                  <c:v>89990</c:v>
                </c:pt>
                <c:pt idx="308">
                  <c:v>107873</c:v>
                </c:pt>
                <c:pt idx="309">
                  <c:v>231336</c:v>
                </c:pt>
                <c:pt idx="310">
                  <c:v>62999</c:v>
                </c:pt>
                <c:pt idx="311">
                  <c:v>80004</c:v>
                </c:pt>
                <c:pt idx="312">
                  <c:v>141999</c:v>
                </c:pt>
                <c:pt idx="313">
                  <c:v>66329</c:v>
                </c:pt>
                <c:pt idx="314">
                  <c:v>105000</c:v>
                </c:pt>
                <c:pt idx="315">
                  <c:v>71040</c:v>
                </c:pt>
                <c:pt idx="316">
                  <c:v>35699</c:v>
                </c:pt>
                <c:pt idx="317">
                  <c:v>164990</c:v>
                </c:pt>
                <c:pt idx="318">
                  <c:v>115990</c:v>
                </c:pt>
                <c:pt idx="319">
                  <c:v>84990</c:v>
                </c:pt>
                <c:pt idx="320">
                  <c:v>96500</c:v>
                </c:pt>
                <c:pt idx="321">
                  <c:v>95490</c:v>
                </c:pt>
                <c:pt idx="322">
                  <c:v>139990</c:v>
                </c:pt>
                <c:pt idx="323">
                  <c:v>36690</c:v>
                </c:pt>
                <c:pt idx="324">
                  <c:v>94249</c:v>
                </c:pt>
                <c:pt idx="325">
                  <c:v>96990</c:v>
                </c:pt>
                <c:pt idx="326">
                  <c:v>61990</c:v>
                </c:pt>
                <c:pt idx="327">
                  <c:v>76990</c:v>
                </c:pt>
                <c:pt idx="328">
                  <c:v>64990</c:v>
                </c:pt>
                <c:pt idx="329">
                  <c:v>73999</c:v>
                </c:pt>
                <c:pt idx="330">
                  <c:v>116999</c:v>
                </c:pt>
                <c:pt idx="331">
                  <c:v>81990</c:v>
                </c:pt>
                <c:pt idx="332">
                  <c:v>63900</c:v>
                </c:pt>
                <c:pt idx="333">
                  <c:v>66990</c:v>
                </c:pt>
                <c:pt idx="334">
                  <c:v>66990</c:v>
                </c:pt>
                <c:pt idx="335">
                  <c:v>74990</c:v>
                </c:pt>
                <c:pt idx="336">
                  <c:v>78990</c:v>
                </c:pt>
                <c:pt idx="337">
                  <c:v>78990</c:v>
                </c:pt>
                <c:pt idx="338">
                  <c:v>74990</c:v>
                </c:pt>
                <c:pt idx="339">
                  <c:v>73499</c:v>
                </c:pt>
                <c:pt idx="340">
                  <c:v>38990</c:v>
                </c:pt>
                <c:pt idx="341">
                  <c:v>54490</c:v>
                </c:pt>
                <c:pt idx="342">
                  <c:v>41999</c:v>
                </c:pt>
                <c:pt idx="343">
                  <c:v>76990</c:v>
                </c:pt>
                <c:pt idx="344">
                  <c:v>42990</c:v>
                </c:pt>
                <c:pt idx="345">
                  <c:v>62490</c:v>
                </c:pt>
                <c:pt idx="346">
                  <c:v>121990</c:v>
                </c:pt>
                <c:pt idx="347">
                  <c:v>49990</c:v>
                </c:pt>
                <c:pt idx="348">
                  <c:v>49990</c:v>
                </c:pt>
                <c:pt idx="349">
                  <c:v>143900</c:v>
                </c:pt>
                <c:pt idx="350">
                  <c:v>146940</c:v>
                </c:pt>
                <c:pt idx="351">
                  <c:v>118990</c:v>
                </c:pt>
                <c:pt idx="352">
                  <c:v>44990</c:v>
                </c:pt>
                <c:pt idx="353">
                  <c:v>74727</c:v>
                </c:pt>
                <c:pt idx="354">
                  <c:v>73900</c:v>
                </c:pt>
                <c:pt idx="355">
                  <c:v>84490</c:v>
                </c:pt>
                <c:pt idx="356">
                  <c:v>32349</c:v>
                </c:pt>
                <c:pt idx="357">
                  <c:v>38990</c:v>
                </c:pt>
                <c:pt idx="358">
                  <c:v>83990</c:v>
                </c:pt>
                <c:pt idx="359">
                  <c:v>68990</c:v>
                </c:pt>
                <c:pt idx="360">
                  <c:v>42990</c:v>
                </c:pt>
                <c:pt idx="361">
                  <c:v>54990</c:v>
                </c:pt>
                <c:pt idx="362">
                  <c:v>59990</c:v>
                </c:pt>
                <c:pt idx="363">
                  <c:v>59988</c:v>
                </c:pt>
                <c:pt idx="364">
                  <c:v>29924</c:v>
                </c:pt>
                <c:pt idx="365">
                  <c:v>113990</c:v>
                </c:pt>
                <c:pt idx="366">
                  <c:v>65990</c:v>
                </c:pt>
                <c:pt idx="367">
                  <c:v>71990</c:v>
                </c:pt>
                <c:pt idx="368">
                  <c:v>62990</c:v>
                </c:pt>
                <c:pt idx="369">
                  <c:v>44441</c:v>
                </c:pt>
                <c:pt idx="370">
                  <c:v>97040</c:v>
                </c:pt>
                <c:pt idx="371">
                  <c:v>57999</c:v>
                </c:pt>
                <c:pt idx="372">
                  <c:v>86190</c:v>
                </c:pt>
                <c:pt idx="373">
                  <c:v>124990</c:v>
                </c:pt>
                <c:pt idx="374">
                  <c:v>74999</c:v>
                </c:pt>
                <c:pt idx="375">
                  <c:v>114990</c:v>
                </c:pt>
                <c:pt idx="376">
                  <c:v>67500</c:v>
                </c:pt>
                <c:pt idx="377">
                  <c:v>54990</c:v>
                </c:pt>
                <c:pt idx="378">
                  <c:v>71799</c:v>
                </c:pt>
                <c:pt idx="379">
                  <c:v>55990</c:v>
                </c:pt>
                <c:pt idx="380">
                  <c:v>59990</c:v>
                </c:pt>
                <c:pt idx="381">
                  <c:v>92990</c:v>
                </c:pt>
                <c:pt idx="382">
                  <c:v>109990</c:v>
                </c:pt>
                <c:pt idx="383">
                  <c:v>69990</c:v>
                </c:pt>
                <c:pt idx="384">
                  <c:v>57990</c:v>
                </c:pt>
                <c:pt idx="385">
                  <c:v>59899</c:v>
                </c:pt>
                <c:pt idx="386">
                  <c:v>64990</c:v>
                </c:pt>
                <c:pt idx="387">
                  <c:v>47990</c:v>
                </c:pt>
                <c:pt idx="388">
                  <c:v>148500</c:v>
                </c:pt>
                <c:pt idx="389">
                  <c:v>80490</c:v>
                </c:pt>
                <c:pt idx="390">
                  <c:v>52950</c:v>
                </c:pt>
                <c:pt idx="391">
                  <c:v>23990</c:v>
                </c:pt>
                <c:pt idx="392">
                  <c:v>76000</c:v>
                </c:pt>
                <c:pt idx="393">
                  <c:v>77450</c:v>
                </c:pt>
                <c:pt idx="394">
                  <c:v>79990</c:v>
                </c:pt>
                <c:pt idx="395">
                  <c:v>64990</c:v>
                </c:pt>
                <c:pt idx="396">
                  <c:v>57056</c:v>
                </c:pt>
                <c:pt idx="397">
                  <c:v>45999</c:v>
                </c:pt>
                <c:pt idx="398">
                  <c:v>72990</c:v>
                </c:pt>
                <c:pt idx="399">
                  <c:v>62990</c:v>
                </c:pt>
                <c:pt idx="400">
                  <c:v>88990</c:v>
                </c:pt>
                <c:pt idx="401">
                  <c:v>30400</c:v>
                </c:pt>
                <c:pt idx="402">
                  <c:v>59990</c:v>
                </c:pt>
                <c:pt idx="403">
                  <c:v>114990</c:v>
                </c:pt>
                <c:pt idx="404">
                  <c:v>153890</c:v>
                </c:pt>
                <c:pt idx="405">
                  <c:v>74990</c:v>
                </c:pt>
                <c:pt idx="406">
                  <c:v>90990</c:v>
                </c:pt>
                <c:pt idx="407">
                  <c:v>66990</c:v>
                </c:pt>
                <c:pt idx="408">
                  <c:v>96390</c:v>
                </c:pt>
                <c:pt idx="409">
                  <c:v>88990</c:v>
                </c:pt>
                <c:pt idx="410">
                  <c:v>89999</c:v>
                </c:pt>
                <c:pt idx="411">
                  <c:v>94990</c:v>
                </c:pt>
                <c:pt idx="412">
                  <c:v>110190</c:v>
                </c:pt>
                <c:pt idx="413">
                  <c:v>68500</c:v>
                </c:pt>
                <c:pt idx="414">
                  <c:v>51990</c:v>
                </c:pt>
                <c:pt idx="415">
                  <c:v>69590</c:v>
                </c:pt>
                <c:pt idx="416">
                  <c:v>39990</c:v>
                </c:pt>
                <c:pt idx="417">
                  <c:v>108000</c:v>
                </c:pt>
                <c:pt idx="418">
                  <c:v>77990</c:v>
                </c:pt>
                <c:pt idx="419">
                  <c:v>55999</c:v>
                </c:pt>
                <c:pt idx="420">
                  <c:v>66900</c:v>
                </c:pt>
                <c:pt idx="421">
                  <c:v>64990</c:v>
                </c:pt>
                <c:pt idx="422">
                  <c:v>113500</c:v>
                </c:pt>
                <c:pt idx="423">
                  <c:v>119990</c:v>
                </c:pt>
                <c:pt idx="424">
                  <c:v>59037</c:v>
                </c:pt>
                <c:pt idx="425">
                  <c:v>53990</c:v>
                </c:pt>
                <c:pt idx="426">
                  <c:v>85990</c:v>
                </c:pt>
                <c:pt idx="427">
                  <c:v>85990</c:v>
                </c:pt>
                <c:pt idx="428">
                  <c:v>67999</c:v>
                </c:pt>
                <c:pt idx="429">
                  <c:v>42990</c:v>
                </c:pt>
                <c:pt idx="430">
                  <c:v>88595</c:v>
                </c:pt>
                <c:pt idx="431">
                  <c:v>45990</c:v>
                </c:pt>
                <c:pt idx="432">
                  <c:v>36990</c:v>
                </c:pt>
                <c:pt idx="433">
                  <c:v>229990</c:v>
                </c:pt>
                <c:pt idx="434">
                  <c:v>46150</c:v>
                </c:pt>
                <c:pt idx="435">
                  <c:v>57590</c:v>
                </c:pt>
                <c:pt idx="436">
                  <c:v>45990</c:v>
                </c:pt>
                <c:pt idx="437">
                  <c:v>74990</c:v>
                </c:pt>
                <c:pt idx="438">
                  <c:v>77990</c:v>
                </c:pt>
                <c:pt idx="439">
                  <c:v>63999</c:v>
                </c:pt>
                <c:pt idx="440">
                  <c:v>47990</c:v>
                </c:pt>
                <c:pt idx="441">
                  <c:v>62990</c:v>
                </c:pt>
                <c:pt idx="442">
                  <c:v>69990</c:v>
                </c:pt>
                <c:pt idx="443">
                  <c:v>61499</c:v>
                </c:pt>
                <c:pt idx="444">
                  <c:v>115654</c:v>
                </c:pt>
                <c:pt idx="445">
                  <c:v>41990</c:v>
                </c:pt>
                <c:pt idx="446">
                  <c:v>45990</c:v>
                </c:pt>
                <c:pt idx="447">
                  <c:v>80999</c:v>
                </c:pt>
                <c:pt idx="448">
                  <c:v>56690</c:v>
                </c:pt>
                <c:pt idx="449">
                  <c:v>51000</c:v>
                </c:pt>
                <c:pt idx="450">
                  <c:v>41990</c:v>
                </c:pt>
                <c:pt idx="451">
                  <c:v>179990</c:v>
                </c:pt>
                <c:pt idx="452">
                  <c:v>111999</c:v>
                </c:pt>
                <c:pt idx="453">
                  <c:v>47960</c:v>
                </c:pt>
                <c:pt idx="454">
                  <c:v>82990</c:v>
                </c:pt>
                <c:pt idx="455">
                  <c:v>69490</c:v>
                </c:pt>
                <c:pt idx="456">
                  <c:v>72990</c:v>
                </c:pt>
                <c:pt idx="457">
                  <c:v>54990</c:v>
                </c:pt>
                <c:pt idx="458">
                  <c:v>154391</c:v>
                </c:pt>
                <c:pt idx="459">
                  <c:v>45999</c:v>
                </c:pt>
                <c:pt idx="460">
                  <c:v>100999</c:v>
                </c:pt>
                <c:pt idx="461">
                  <c:v>56040</c:v>
                </c:pt>
                <c:pt idx="462">
                  <c:v>89990</c:v>
                </c:pt>
                <c:pt idx="463">
                  <c:v>86390</c:v>
                </c:pt>
                <c:pt idx="464">
                  <c:v>99980</c:v>
                </c:pt>
                <c:pt idx="465">
                  <c:v>27999</c:v>
                </c:pt>
                <c:pt idx="466">
                  <c:v>55999</c:v>
                </c:pt>
                <c:pt idx="467">
                  <c:v>84780</c:v>
                </c:pt>
                <c:pt idx="468">
                  <c:v>74990</c:v>
                </c:pt>
                <c:pt idx="469">
                  <c:v>70989</c:v>
                </c:pt>
                <c:pt idx="470">
                  <c:v>53990</c:v>
                </c:pt>
                <c:pt idx="471">
                  <c:v>49990</c:v>
                </c:pt>
                <c:pt idx="472">
                  <c:v>121990</c:v>
                </c:pt>
                <c:pt idx="473">
                  <c:v>111869</c:v>
                </c:pt>
                <c:pt idx="474">
                  <c:v>70990</c:v>
                </c:pt>
                <c:pt idx="475">
                  <c:v>54990</c:v>
                </c:pt>
                <c:pt idx="476">
                  <c:v>46490</c:v>
                </c:pt>
                <c:pt idx="477">
                  <c:v>42999</c:v>
                </c:pt>
                <c:pt idx="478">
                  <c:v>71990</c:v>
                </c:pt>
                <c:pt idx="479">
                  <c:v>98999</c:v>
                </c:pt>
                <c:pt idx="480">
                  <c:v>109990</c:v>
                </c:pt>
                <c:pt idx="481">
                  <c:v>123000</c:v>
                </c:pt>
                <c:pt idx="482">
                  <c:v>63990</c:v>
                </c:pt>
                <c:pt idx="483">
                  <c:v>55990</c:v>
                </c:pt>
                <c:pt idx="484">
                  <c:v>62990</c:v>
                </c:pt>
                <c:pt idx="485">
                  <c:v>55990</c:v>
                </c:pt>
                <c:pt idx="486">
                  <c:v>45990</c:v>
                </c:pt>
                <c:pt idx="487">
                  <c:v>27990</c:v>
                </c:pt>
                <c:pt idx="488">
                  <c:v>51990</c:v>
                </c:pt>
                <c:pt idx="489">
                  <c:v>48990</c:v>
                </c:pt>
                <c:pt idx="490">
                  <c:v>46990</c:v>
                </c:pt>
                <c:pt idx="491">
                  <c:v>57990</c:v>
                </c:pt>
                <c:pt idx="492">
                  <c:v>56990</c:v>
                </c:pt>
                <c:pt idx="493">
                  <c:v>41990</c:v>
                </c:pt>
                <c:pt idx="494">
                  <c:v>32990</c:v>
                </c:pt>
                <c:pt idx="495">
                  <c:v>75190</c:v>
                </c:pt>
                <c:pt idx="496">
                  <c:v>72990</c:v>
                </c:pt>
                <c:pt idx="497">
                  <c:v>65990</c:v>
                </c:pt>
                <c:pt idx="498">
                  <c:v>41990</c:v>
                </c:pt>
                <c:pt idx="499">
                  <c:v>29990</c:v>
                </c:pt>
                <c:pt idx="500">
                  <c:v>28990</c:v>
                </c:pt>
                <c:pt idx="501">
                  <c:v>52990</c:v>
                </c:pt>
                <c:pt idx="502">
                  <c:v>60890</c:v>
                </c:pt>
                <c:pt idx="503">
                  <c:v>23990</c:v>
                </c:pt>
                <c:pt idx="504">
                  <c:v>67800</c:v>
                </c:pt>
                <c:pt idx="505">
                  <c:v>44900</c:v>
                </c:pt>
                <c:pt idx="506">
                  <c:v>36990</c:v>
                </c:pt>
                <c:pt idx="507">
                  <c:v>43900</c:v>
                </c:pt>
                <c:pt idx="508">
                  <c:v>55470</c:v>
                </c:pt>
                <c:pt idx="509">
                  <c:v>57500</c:v>
                </c:pt>
                <c:pt idx="510">
                  <c:v>69990</c:v>
                </c:pt>
                <c:pt idx="511">
                  <c:v>50090</c:v>
                </c:pt>
                <c:pt idx="512">
                  <c:v>29989</c:v>
                </c:pt>
                <c:pt idx="513">
                  <c:v>35690</c:v>
                </c:pt>
                <c:pt idx="514">
                  <c:v>49999</c:v>
                </c:pt>
                <c:pt idx="515">
                  <c:v>54990</c:v>
                </c:pt>
                <c:pt idx="516">
                  <c:v>68690</c:v>
                </c:pt>
                <c:pt idx="517">
                  <c:v>49990</c:v>
                </c:pt>
                <c:pt idx="518">
                  <c:v>91990</c:v>
                </c:pt>
                <c:pt idx="519">
                  <c:v>82990</c:v>
                </c:pt>
                <c:pt idx="520">
                  <c:v>43490</c:v>
                </c:pt>
                <c:pt idx="521">
                  <c:v>40799</c:v>
                </c:pt>
                <c:pt idx="522">
                  <c:v>47990</c:v>
                </c:pt>
                <c:pt idx="523">
                  <c:v>35871</c:v>
                </c:pt>
                <c:pt idx="524">
                  <c:v>69990</c:v>
                </c:pt>
                <c:pt idx="525">
                  <c:v>191990</c:v>
                </c:pt>
                <c:pt idx="526">
                  <c:v>92750</c:v>
                </c:pt>
                <c:pt idx="527">
                  <c:v>64990</c:v>
                </c:pt>
                <c:pt idx="528">
                  <c:v>73900</c:v>
                </c:pt>
                <c:pt idx="529">
                  <c:v>78478</c:v>
                </c:pt>
                <c:pt idx="530">
                  <c:v>30990</c:v>
                </c:pt>
                <c:pt idx="531">
                  <c:v>51990</c:v>
                </c:pt>
                <c:pt idx="532">
                  <c:v>77635</c:v>
                </c:pt>
                <c:pt idx="533">
                  <c:v>64490</c:v>
                </c:pt>
                <c:pt idx="534">
                  <c:v>49990</c:v>
                </c:pt>
                <c:pt idx="535">
                  <c:v>179990</c:v>
                </c:pt>
                <c:pt idx="536">
                  <c:v>50962</c:v>
                </c:pt>
                <c:pt idx="537">
                  <c:v>159999</c:v>
                </c:pt>
                <c:pt idx="538">
                  <c:v>129999</c:v>
                </c:pt>
                <c:pt idx="539">
                  <c:v>78999</c:v>
                </c:pt>
                <c:pt idx="540">
                  <c:v>72990</c:v>
                </c:pt>
                <c:pt idx="541">
                  <c:v>79990</c:v>
                </c:pt>
                <c:pt idx="542">
                  <c:v>119990</c:v>
                </c:pt>
                <c:pt idx="543">
                  <c:v>51990</c:v>
                </c:pt>
                <c:pt idx="544">
                  <c:v>114990</c:v>
                </c:pt>
                <c:pt idx="545">
                  <c:v>84990</c:v>
                </c:pt>
                <c:pt idx="546">
                  <c:v>52390</c:v>
                </c:pt>
                <c:pt idx="547">
                  <c:v>69190</c:v>
                </c:pt>
                <c:pt idx="548">
                  <c:v>43000</c:v>
                </c:pt>
                <c:pt idx="549">
                  <c:v>41000</c:v>
                </c:pt>
                <c:pt idx="550">
                  <c:v>34990</c:v>
                </c:pt>
                <c:pt idx="551">
                  <c:v>51999</c:v>
                </c:pt>
                <c:pt idx="552">
                  <c:v>101990</c:v>
                </c:pt>
                <c:pt idx="553">
                  <c:v>38990</c:v>
                </c:pt>
                <c:pt idx="554">
                  <c:v>71990</c:v>
                </c:pt>
                <c:pt idx="555">
                  <c:v>57500</c:v>
                </c:pt>
                <c:pt idx="556">
                  <c:v>59485</c:v>
                </c:pt>
                <c:pt idx="557">
                  <c:v>43990</c:v>
                </c:pt>
                <c:pt idx="558">
                  <c:v>78999</c:v>
                </c:pt>
                <c:pt idx="559">
                  <c:v>98000</c:v>
                </c:pt>
                <c:pt idx="560">
                  <c:v>34990</c:v>
                </c:pt>
                <c:pt idx="561">
                  <c:v>66990</c:v>
                </c:pt>
                <c:pt idx="562">
                  <c:v>76990</c:v>
                </c:pt>
                <c:pt idx="563">
                  <c:v>31990</c:v>
                </c:pt>
                <c:pt idx="564">
                  <c:v>57400</c:v>
                </c:pt>
                <c:pt idx="565">
                  <c:v>35990</c:v>
                </c:pt>
                <c:pt idx="566">
                  <c:v>68790</c:v>
                </c:pt>
                <c:pt idx="567">
                  <c:v>67900</c:v>
                </c:pt>
                <c:pt idx="568">
                  <c:v>64990</c:v>
                </c:pt>
                <c:pt idx="569">
                  <c:v>67890</c:v>
                </c:pt>
                <c:pt idx="570">
                  <c:v>68000</c:v>
                </c:pt>
                <c:pt idx="571">
                  <c:v>75990</c:v>
                </c:pt>
                <c:pt idx="572">
                  <c:v>89990</c:v>
                </c:pt>
                <c:pt idx="573">
                  <c:v>47890</c:v>
                </c:pt>
                <c:pt idx="574">
                  <c:v>52990</c:v>
                </c:pt>
                <c:pt idx="575">
                  <c:v>40999</c:v>
                </c:pt>
                <c:pt idx="576">
                  <c:v>50990</c:v>
                </c:pt>
                <c:pt idx="577">
                  <c:v>56990</c:v>
                </c:pt>
                <c:pt idx="578">
                  <c:v>59990</c:v>
                </c:pt>
                <c:pt idx="579">
                  <c:v>100170</c:v>
                </c:pt>
                <c:pt idx="580">
                  <c:v>75990</c:v>
                </c:pt>
                <c:pt idx="581">
                  <c:v>75142</c:v>
                </c:pt>
                <c:pt idx="582">
                  <c:v>60990</c:v>
                </c:pt>
                <c:pt idx="583">
                  <c:v>57990</c:v>
                </c:pt>
                <c:pt idx="584">
                  <c:v>87216</c:v>
                </c:pt>
                <c:pt idx="585">
                  <c:v>57560</c:v>
                </c:pt>
                <c:pt idx="586">
                  <c:v>80990</c:v>
                </c:pt>
                <c:pt idx="587">
                  <c:v>72990</c:v>
                </c:pt>
                <c:pt idx="588">
                  <c:v>200773</c:v>
                </c:pt>
                <c:pt idx="589">
                  <c:v>34990</c:v>
                </c:pt>
                <c:pt idx="590">
                  <c:v>48990</c:v>
                </c:pt>
                <c:pt idx="591">
                  <c:v>95990</c:v>
                </c:pt>
                <c:pt idx="592">
                  <c:v>47030</c:v>
                </c:pt>
                <c:pt idx="593">
                  <c:v>42990</c:v>
                </c:pt>
                <c:pt idx="594">
                  <c:v>55990</c:v>
                </c:pt>
                <c:pt idx="595">
                  <c:v>56130</c:v>
                </c:pt>
                <c:pt idx="596">
                  <c:v>27990</c:v>
                </c:pt>
                <c:pt idx="597">
                  <c:v>37880</c:v>
                </c:pt>
                <c:pt idx="598">
                  <c:v>99990</c:v>
                </c:pt>
                <c:pt idx="599">
                  <c:v>104900</c:v>
                </c:pt>
                <c:pt idx="600">
                  <c:v>115990</c:v>
                </c:pt>
                <c:pt idx="601">
                  <c:v>50999</c:v>
                </c:pt>
                <c:pt idx="602">
                  <c:v>62990</c:v>
                </c:pt>
                <c:pt idx="603">
                  <c:v>73990</c:v>
                </c:pt>
                <c:pt idx="604">
                  <c:v>94990</c:v>
                </c:pt>
                <c:pt idx="605">
                  <c:v>68222</c:v>
                </c:pt>
                <c:pt idx="606">
                  <c:v>159999</c:v>
                </c:pt>
                <c:pt idx="607">
                  <c:v>65536</c:v>
                </c:pt>
                <c:pt idx="608">
                  <c:v>71990</c:v>
                </c:pt>
                <c:pt idx="609">
                  <c:v>64671</c:v>
                </c:pt>
                <c:pt idx="610">
                  <c:v>75990</c:v>
                </c:pt>
                <c:pt idx="611">
                  <c:v>48999</c:v>
                </c:pt>
                <c:pt idx="612">
                  <c:v>33740</c:v>
                </c:pt>
                <c:pt idx="613">
                  <c:v>51990</c:v>
                </c:pt>
                <c:pt idx="614">
                  <c:v>31790</c:v>
                </c:pt>
                <c:pt idx="615">
                  <c:v>62990</c:v>
                </c:pt>
                <c:pt idx="616">
                  <c:v>41999</c:v>
                </c:pt>
                <c:pt idx="617">
                  <c:v>93999</c:v>
                </c:pt>
                <c:pt idx="618">
                  <c:v>270000</c:v>
                </c:pt>
                <c:pt idx="619">
                  <c:v>59990</c:v>
                </c:pt>
                <c:pt idx="620">
                  <c:v>39990</c:v>
                </c:pt>
                <c:pt idx="621">
                  <c:v>36990</c:v>
                </c:pt>
                <c:pt idx="622">
                  <c:v>47999</c:v>
                </c:pt>
                <c:pt idx="623">
                  <c:v>31990</c:v>
                </c:pt>
                <c:pt idx="624">
                  <c:v>37990</c:v>
                </c:pt>
                <c:pt idx="625">
                  <c:v>39890</c:v>
                </c:pt>
                <c:pt idx="626">
                  <c:v>36990</c:v>
                </c:pt>
                <c:pt idx="627">
                  <c:v>55194</c:v>
                </c:pt>
                <c:pt idx="628">
                  <c:v>64800</c:v>
                </c:pt>
                <c:pt idx="629">
                  <c:v>60990</c:v>
                </c:pt>
                <c:pt idx="630">
                  <c:v>72990</c:v>
                </c:pt>
                <c:pt idx="631">
                  <c:v>58500</c:v>
                </c:pt>
                <c:pt idx="632">
                  <c:v>78286</c:v>
                </c:pt>
                <c:pt idx="633">
                  <c:v>46950</c:v>
                </c:pt>
                <c:pt idx="634">
                  <c:v>364990</c:v>
                </c:pt>
                <c:pt idx="635">
                  <c:v>37999</c:v>
                </c:pt>
                <c:pt idx="636">
                  <c:v>59990</c:v>
                </c:pt>
                <c:pt idx="637">
                  <c:v>87100</c:v>
                </c:pt>
                <c:pt idx="638">
                  <c:v>52750</c:v>
                </c:pt>
                <c:pt idx="639">
                  <c:v>46900</c:v>
                </c:pt>
                <c:pt idx="640">
                  <c:v>66068</c:v>
                </c:pt>
                <c:pt idx="641">
                  <c:v>61012</c:v>
                </c:pt>
                <c:pt idx="642">
                  <c:v>38999</c:v>
                </c:pt>
                <c:pt idx="643">
                  <c:v>31499</c:v>
                </c:pt>
                <c:pt idx="644">
                  <c:v>104890</c:v>
                </c:pt>
                <c:pt idx="645">
                  <c:v>56490</c:v>
                </c:pt>
                <c:pt idx="646">
                  <c:v>49990</c:v>
                </c:pt>
                <c:pt idx="647">
                  <c:v>71590</c:v>
                </c:pt>
                <c:pt idx="648">
                  <c:v>52990</c:v>
                </c:pt>
                <c:pt idx="649">
                  <c:v>89990</c:v>
                </c:pt>
                <c:pt idx="650">
                  <c:v>61999</c:v>
                </c:pt>
                <c:pt idx="651">
                  <c:v>70990</c:v>
                </c:pt>
                <c:pt idx="652">
                  <c:v>61999</c:v>
                </c:pt>
                <c:pt idx="653">
                  <c:v>54500</c:v>
                </c:pt>
                <c:pt idx="654">
                  <c:v>69099</c:v>
                </c:pt>
                <c:pt idx="655">
                  <c:v>48990</c:v>
                </c:pt>
                <c:pt idx="656">
                  <c:v>41990</c:v>
                </c:pt>
                <c:pt idx="657">
                  <c:v>89990</c:v>
                </c:pt>
                <c:pt idx="658">
                  <c:v>24990</c:v>
                </c:pt>
                <c:pt idx="659">
                  <c:v>37990</c:v>
                </c:pt>
                <c:pt idx="660">
                  <c:v>33990</c:v>
                </c:pt>
                <c:pt idx="661">
                  <c:v>69990</c:v>
                </c:pt>
                <c:pt idx="662">
                  <c:v>32356</c:v>
                </c:pt>
                <c:pt idx="663">
                  <c:v>31990</c:v>
                </c:pt>
                <c:pt idx="664">
                  <c:v>40990</c:v>
                </c:pt>
                <c:pt idx="665">
                  <c:v>39800</c:v>
                </c:pt>
                <c:pt idx="666">
                  <c:v>66990</c:v>
                </c:pt>
                <c:pt idx="667">
                  <c:v>47990</c:v>
                </c:pt>
                <c:pt idx="668">
                  <c:v>35990</c:v>
                </c:pt>
                <c:pt idx="669">
                  <c:v>71990</c:v>
                </c:pt>
                <c:pt idx="670">
                  <c:v>59900</c:v>
                </c:pt>
                <c:pt idx="671">
                  <c:v>79990</c:v>
                </c:pt>
                <c:pt idx="672">
                  <c:v>81990</c:v>
                </c:pt>
                <c:pt idx="673">
                  <c:v>59789</c:v>
                </c:pt>
                <c:pt idx="674">
                  <c:v>81999</c:v>
                </c:pt>
                <c:pt idx="675">
                  <c:v>34400</c:v>
                </c:pt>
                <c:pt idx="676">
                  <c:v>68990</c:v>
                </c:pt>
                <c:pt idx="677">
                  <c:v>79990</c:v>
                </c:pt>
                <c:pt idx="678">
                  <c:v>85990</c:v>
                </c:pt>
                <c:pt idx="679">
                  <c:v>35900</c:v>
                </c:pt>
                <c:pt idx="680">
                  <c:v>65990</c:v>
                </c:pt>
                <c:pt idx="681">
                  <c:v>82990</c:v>
                </c:pt>
                <c:pt idx="682">
                  <c:v>70490</c:v>
                </c:pt>
                <c:pt idx="683">
                  <c:v>33999</c:v>
                </c:pt>
                <c:pt idx="684">
                  <c:v>35999</c:v>
                </c:pt>
                <c:pt idx="685">
                  <c:v>62990</c:v>
                </c:pt>
                <c:pt idx="686">
                  <c:v>54490</c:v>
                </c:pt>
                <c:pt idx="687">
                  <c:v>31990</c:v>
                </c:pt>
                <c:pt idx="688">
                  <c:v>41500</c:v>
                </c:pt>
                <c:pt idx="689">
                  <c:v>46990</c:v>
                </c:pt>
                <c:pt idx="690">
                  <c:v>42990</c:v>
                </c:pt>
                <c:pt idx="691">
                  <c:v>45990</c:v>
                </c:pt>
                <c:pt idx="692">
                  <c:v>31990</c:v>
                </c:pt>
                <c:pt idx="693">
                  <c:v>29990</c:v>
                </c:pt>
                <c:pt idx="694">
                  <c:v>33990</c:v>
                </c:pt>
                <c:pt idx="695">
                  <c:v>30990</c:v>
                </c:pt>
                <c:pt idx="696">
                  <c:v>75990</c:v>
                </c:pt>
                <c:pt idx="697">
                  <c:v>41990</c:v>
                </c:pt>
                <c:pt idx="698">
                  <c:v>33990</c:v>
                </c:pt>
                <c:pt idx="699">
                  <c:v>37990</c:v>
                </c:pt>
                <c:pt idx="700">
                  <c:v>36990</c:v>
                </c:pt>
                <c:pt idx="701">
                  <c:v>29990</c:v>
                </c:pt>
                <c:pt idx="702">
                  <c:v>33990</c:v>
                </c:pt>
                <c:pt idx="703">
                  <c:v>50989</c:v>
                </c:pt>
                <c:pt idx="704">
                  <c:v>41990</c:v>
                </c:pt>
                <c:pt idx="705">
                  <c:v>41988</c:v>
                </c:pt>
                <c:pt idx="706">
                  <c:v>34249</c:v>
                </c:pt>
                <c:pt idx="707">
                  <c:v>131990</c:v>
                </c:pt>
                <c:pt idx="708">
                  <c:v>35929</c:v>
                </c:pt>
                <c:pt idx="709">
                  <c:v>68990</c:v>
                </c:pt>
                <c:pt idx="710">
                  <c:v>45090</c:v>
                </c:pt>
                <c:pt idx="711">
                  <c:v>91990</c:v>
                </c:pt>
                <c:pt idx="712">
                  <c:v>41990</c:v>
                </c:pt>
                <c:pt idx="713">
                  <c:v>61990</c:v>
                </c:pt>
                <c:pt idx="714">
                  <c:v>95990</c:v>
                </c:pt>
                <c:pt idx="715">
                  <c:v>89990</c:v>
                </c:pt>
                <c:pt idx="716">
                  <c:v>139990</c:v>
                </c:pt>
                <c:pt idx="717">
                  <c:v>28341</c:v>
                </c:pt>
                <c:pt idx="718">
                  <c:v>42990</c:v>
                </c:pt>
                <c:pt idx="719">
                  <c:v>47990</c:v>
                </c:pt>
                <c:pt idx="720">
                  <c:v>39990</c:v>
                </c:pt>
                <c:pt idx="721">
                  <c:v>35999</c:v>
                </c:pt>
                <c:pt idx="722">
                  <c:v>61890</c:v>
                </c:pt>
                <c:pt idx="723">
                  <c:v>30990</c:v>
                </c:pt>
                <c:pt idx="724">
                  <c:v>52990</c:v>
                </c:pt>
                <c:pt idx="725">
                  <c:v>144990</c:v>
                </c:pt>
                <c:pt idx="726">
                  <c:v>155990</c:v>
                </c:pt>
                <c:pt idx="727">
                  <c:v>107290</c:v>
                </c:pt>
                <c:pt idx="728">
                  <c:v>39999</c:v>
                </c:pt>
                <c:pt idx="729">
                  <c:v>136990</c:v>
                </c:pt>
                <c:pt idx="730">
                  <c:v>64990</c:v>
                </c:pt>
                <c:pt idx="731">
                  <c:v>64990</c:v>
                </c:pt>
                <c:pt idx="732">
                  <c:v>119990</c:v>
                </c:pt>
                <c:pt idx="733">
                  <c:v>62990</c:v>
                </c:pt>
                <c:pt idx="734">
                  <c:v>54990</c:v>
                </c:pt>
                <c:pt idx="735">
                  <c:v>37999</c:v>
                </c:pt>
                <c:pt idx="736">
                  <c:v>36990</c:v>
                </c:pt>
                <c:pt idx="737">
                  <c:v>17990</c:v>
                </c:pt>
                <c:pt idx="738">
                  <c:v>92190</c:v>
                </c:pt>
                <c:pt idx="739">
                  <c:v>74989</c:v>
                </c:pt>
                <c:pt idx="740">
                  <c:v>124990</c:v>
                </c:pt>
                <c:pt idx="741">
                  <c:v>69990</c:v>
                </c:pt>
                <c:pt idx="742">
                  <c:v>31990</c:v>
                </c:pt>
                <c:pt idx="743">
                  <c:v>67990</c:v>
                </c:pt>
                <c:pt idx="744">
                  <c:v>79990</c:v>
                </c:pt>
                <c:pt idx="745">
                  <c:v>37790</c:v>
                </c:pt>
                <c:pt idx="746">
                  <c:v>96990</c:v>
                </c:pt>
                <c:pt idx="747">
                  <c:v>41999</c:v>
                </c:pt>
                <c:pt idx="748">
                  <c:v>33490</c:v>
                </c:pt>
                <c:pt idx="749">
                  <c:v>53700</c:v>
                </c:pt>
                <c:pt idx="750">
                  <c:v>102999</c:v>
                </c:pt>
                <c:pt idx="751">
                  <c:v>178590</c:v>
                </c:pt>
                <c:pt idx="752">
                  <c:v>55490</c:v>
                </c:pt>
                <c:pt idx="753">
                  <c:v>46990</c:v>
                </c:pt>
                <c:pt idx="754">
                  <c:v>88990</c:v>
                </c:pt>
                <c:pt idx="755">
                  <c:v>48999</c:v>
                </c:pt>
                <c:pt idx="756">
                  <c:v>45249</c:v>
                </c:pt>
                <c:pt idx="757">
                  <c:v>63490</c:v>
                </c:pt>
                <c:pt idx="758">
                  <c:v>70990</c:v>
                </c:pt>
                <c:pt idx="759">
                  <c:v>39500</c:v>
                </c:pt>
                <c:pt idx="760">
                  <c:v>60790</c:v>
                </c:pt>
                <c:pt idx="761">
                  <c:v>58290</c:v>
                </c:pt>
                <c:pt idx="762">
                  <c:v>53890</c:v>
                </c:pt>
                <c:pt idx="763">
                  <c:v>36990</c:v>
                </c:pt>
                <c:pt idx="764">
                  <c:v>33990</c:v>
                </c:pt>
                <c:pt idx="765">
                  <c:v>36990</c:v>
                </c:pt>
                <c:pt idx="766">
                  <c:v>36740</c:v>
                </c:pt>
                <c:pt idx="767">
                  <c:v>61990</c:v>
                </c:pt>
                <c:pt idx="768">
                  <c:v>38990</c:v>
                </c:pt>
                <c:pt idx="769">
                  <c:v>47490</c:v>
                </c:pt>
                <c:pt idx="770">
                  <c:v>67900</c:v>
                </c:pt>
                <c:pt idx="771">
                  <c:v>38980</c:v>
                </c:pt>
                <c:pt idx="772">
                  <c:v>47000</c:v>
                </c:pt>
                <c:pt idx="773">
                  <c:v>40000</c:v>
                </c:pt>
                <c:pt idx="774">
                  <c:v>52850</c:v>
                </c:pt>
                <c:pt idx="775">
                  <c:v>32990</c:v>
                </c:pt>
                <c:pt idx="776">
                  <c:v>47000</c:v>
                </c:pt>
                <c:pt idx="777">
                  <c:v>42000</c:v>
                </c:pt>
                <c:pt idx="778">
                  <c:v>40990</c:v>
                </c:pt>
                <c:pt idx="779">
                  <c:v>68849</c:v>
                </c:pt>
                <c:pt idx="780">
                  <c:v>71990</c:v>
                </c:pt>
                <c:pt idx="781">
                  <c:v>24990</c:v>
                </c:pt>
                <c:pt idx="782">
                  <c:v>68990</c:v>
                </c:pt>
                <c:pt idx="783">
                  <c:v>71990</c:v>
                </c:pt>
                <c:pt idx="784">
                  <c:v>57500</c:v>
                </c:pt>
                <c:pt idx="785">
                  <c:v>59990</c:v>
                </c:pt>
                <c:pt idx="786">
                  <c:v>32990</c:v>
                </c:pt>
                <c:pt idx="787">
                  <c:v>67990</c:v>
                </c:pt>
                <c:pt idx="788">
                  <c:v>19989</c:v>
                </c:pt>
                <c:pt idx="789">
                  <c:v>31990</c:v>
                </c:pt>
                <c:pt idx="790">
                  <c:v>36999</c:v>
                </c:pt>
                <c:pt idx="791">
                  <c:v>51990</c:v>
                </c:pt>
                <c:pt idx="792">
                  <c:v>108900</c:v>
                </c:pt>
                <c:pt idx="793">
                  <c:v>69990</c:v>
                </c:pt>
                <c:pt idx="794">
                  <c:v>110160</c:v>
                </c:pt>
                <c:pt idx="795">
                  <c:v>32785</c:v>
                </c:pt>
                <c:pt idx="796">
                  <c:v>92999</c:v>
                </c:pt>
                <c:pt idx="797">
                  <c:v>34999</c:v>
                </c:pt>
                <c:pt idx="798">
                  <c:v>43990</c:v>
                </c:pt>
                <c:pt idx="799">
                  <c:v>275190</c:v>
                </c:pt>
                <c:pt idx="800">
                  <c:v>45990</c:v>
                </c:pt>
                <c:pt idx="801">
                  <c:v>49990</c:v>
                </c:pt>
                <c:pt idx="802">
                  <c:v>69999</c:v>
                </c:pt>
                <c:pt idx="803">
                  <c:v>45990</c:v>
                </c:pt>
                <c:pt idx="804">
                  <c:v>31999</c:v>
                </c:pt>
                <c:pt idx="805">
                  <c:v>66456</c:v>
                </c:pt>
                <c:pt idx="806">
                  <c:v>58190</c:v>
                </c:pt>
                <c:pt idx="807">
                  <c:v>124999</c:v>
                </c:pt>
                <c:pt idx="808">
                  <c:v>89999</c:v>
                </c:pt>
                <c:pt idx="809">
                  <c:v>35990</c:v>
                </c:pt>
                <c:pt idx="810">
                  <c:v>59999</c:v>
                </c:pt>
                <c:pt idx="811">
                  <c:v>70990</c:v>
                </c:pt>
                <c:pt idx="812">
                  <c:v>68499</c:v>
                </c:pt>
                <c:pt idx="813">
                  <c:v>55499</c:v>
                </c:pt>
                <c:pt idx="814">
                  <c:v>60990</c:v>
                </c:pt>
                <c:pt idx="815">
                  <c:v>55990</c:v>
                </c:pt>
                <c:pt idx="816">
                  <c:v>49999</c:v>
                </c:pt>
                <c:pt idx="817">
                  <c:v>75499</c:v>
                </c:pt>
                <c:pt idx="818">
                  <c:v>42999</c:v>
                </c:pt>
                <c:pt idx="819">
                  <c:v>55990</c:v>
                </c:pt>
                <c:pt idx="820">
                  <c:v>56990</c:v>
                </c:pt>
                <c:pt idx="821">
                  <c:v>31999</c:v>
                </c:pt>
                <c:pt idx="822">
                  <c:v>174848</c:v>
                </c:pt>
                <c:pt idx="823">
                  <c:v>49990</c:v>
                </c:pt>
                <c:pt idx="824">
                  <c:v>50000</c:v>
                </c:pt>
                <c:pt idx="825">
                  <c:v>27490</c:v>
                </c:pt>
                <c:pt idx="826">
                  <c:v>27300</c:v>
                </c:pt>
                <c:pt idx="827">
                  <c:v>54990</c:v>
                </c:pt>
                <c:pt idx="828">
                  <c:v>74999</c:v>
                </c:pt>
                <c:pt idx="829">
                  <c:v>45990</c:v>
                </c:pt>
                <c:pt idx="830">
                  <c:v>53890</c:v>
                </c:pt>
                <c:pt idx="831">
                  <c:v>67590</c:v>
                </c:pt>
                <c:pt idx="832">
                  <c:v>89990</c:v>
                </c:pt>
                <c:pt idx="833">
                  <c:v>184990</c:v>
                </c:pt>
                <c:pt idx="834">
                  <c:v>37450</c:v>
                </c:pt>
                <c:pt idx="835">
                  <c:v>66990</c:v>
                </c:pt>
                <c:pt idx="836">
                  <c:v>85990</c:v>
                </c:pt>
                <c:pt idx="837">
                  <c:v>49980</c:v>
                </c:pt>
                <c:pt idx="838">
                  <c:v>57990</c:v>
                </c:pt>
                <c:pt idx="839">
                  <c:v>36590</c:v>
                </c:pt>
                <c:pt idx="840">
                  <c:v>44000</c:v>
                </c:pt>
                <c:pt idx="841">
                  <c:v>51290</c:v>
                </c:pt>
                <c:pt idx="842">
                  <c:v>63808</c:v>
                </c:pt>
                <c:pt idx="843">
                  <c:v>32990</c:v>
                </c:pt>
                <c:pt idx="844">
                  <c:v>89990</c:v>
                </c:pt>
                <c:pt idx="845">
                  <c:v>63034</c:v>
                </c:pt>
                <c:pt idx="846">
                  <c:v>53437</c:v>
                </c:pt>
                <c:pt idx="847">
                  <c:v>77817</c:v>
                </c:pt>
                <c:pt idx="848">
                  <c:v>81246</c:v>
                </c:pt>
                <c:pt idx="849">
                  <c:v>33990</c:v>
                </c:pt>
                <c:pt idx="850">
                  <c:v>34990</c:v>
                </c:pt>
                <c:pt idx="851">
                  <c:v>30100</c:v>
                </c:pt>
                <c:pt idx="852">
                  <c:v>66999</c:v>
                </c:pt>
                <c:pt idx="853">
                  <c:v>33700</c:v>
                </c:pt>
                <c:pt idx="854">
                  <c:v>38910</c:v>
                </c:pt>
                <c:pt idx="855">
                  <c:v>83890</c:v>
                </c:pt>
                <c:pt idx="856">
                  <c:v>40990</c:v>
                </c:pt>
                <c:pt idx="857">
                  <c:v>58489</c:v>
                </c:pt>
                <c:pt idx="858">
                  <c:v>59990</c:v>
                </c:pt>
                <c:pt idx="859">
                  <c:v>123199</c:v>
                </c:pt>
                <c:pt idx="860">
                  <c:v>30990</c:v>
                </c:pt>
                <c:pt idx="861">
                  <c:v>44990</c:v>
                </c:pt>
                <c:pt idx="862">
                  <c:v>88999</c:v>
                </c:pt>
                <c:pt idx="863">
                  <c:v>44999</c:v>
                </c:pt>
                <c:pt idx="864">
                  <c:v>35999</c:v>
                </c:pt>
                <c:pt idx="865">
                  <c:v>30990</c:v>
                </c:pt>
                <c:pt idx="866">
                  <c:v>57990</c:v>
                </c:pt>
                <c:pt idx="867">
                  <c:v>39711</c:v>
                </c:pt>
                <c:pt idx="868">
                  <c:v>33999</c:v>
                </c:pt>
                <c:pt idx="869">
                  <c:v>93990</c:v>
                </c:pt>
                <c:pt idx="870">
                  <c:v>29098</c:v>
                </c:pt>
                <c:pt idx="871">
                  <c:v>33749</c:v>
                </c:pt>
                <c:pt idx="872">
                  <c:v>24990</c:v>
                </c:pt>
                <c:pt idx="873">
                  <c:v>15999</c:v>
                </c:pt>
                <c:pt idx="874">
                  <c:v>39999</c:v>
                </c:pt>
                <c:pt idx="875">
                  <c:v>23999</c:v>
                </c:pt>
                <c:pt idx="876">
                  <c:v>41990</c:v>
                </c:pt>
                <c:pt idx="877">
                  <c:v>57990</c:v>
                </c:pt>
                <c:pt idx="878">
                  <c:v>68990</c:v>
                </c:pt>
                <c:pt idx="879">
                  <c:v>104990</c:v>
                </c:pt>
                <c:pt idx="880">
                  <c:v>51999</c:v>
                </c:pt>
                <c:pt idx="881">
                  <c:v>95990</c:v>
                </c:pt>
                <c:pt idx="882">
                  <c:v>32490</c:v>
                </c:pt>
                <c:pt idx="883">
                  <c:v>112990</c:v>
                </c:pt>
                <c:pt idx="884">
                  <c:v>99999</c:v>
                </c:pt>
                <c:pt idx="885">
                  <c:v>61990</c:v>
                </c:pt>
                <c:pt idx="886">
                  <c:v>72999</c:v>
                </c:pt>
                <c:pt idx="887">
                  <c:v>65999</c:v>
                </c:pt>
                <c:pt idx="888">
                  <c:v>37700</c:v>
                </c:pt>
                <c:pt idx="889">
                  <c:v>60990</c:v>
                </c:pt>
                <c:pt idx="890">
                  <c:v>83990</c:v>
                </c:pt>
                <c:pt idx="891">
                  <c:v>34200</c:v>
                </c:pt>
                <c:pt idx="892">
                  <c:v>40490</c:v>
                </c:pt>
                <c:pt idx="893">
                  <c:v>35750</c:v>
                </c:pt>
                <c:pt idx="894">
                  <c:v>83990</c:v>
                </c:pt>
                <c:pt idx="895">
                  <c:v>54990</c:v>
                </c:pt>
                <c:pt idx="896">
                  <c:v>144990</c:v>
                </c:pt>
                <c:pt idx="897">
                  <c:v>120190</c:v>
                </c:pt>
                <c:pt idx="898">
                  <c:v>77990</c:v>
                </c:pt>
                <c:pt idx="899">
                  <c:v>30950</c:v>
                </c:pt>
                <c:pt idx="900">
                  <c:v>213990</c:v>
                </c:pt>
                <c:pt idx="901">
                  <c:v>70999</c:v>
                </c:pt>
                <c:pt idx="902">
                  <c:v>30999</c:v>
                </c:pt>
                <c:pt idx="903">
                  <c:v>39253</c:v>
                </c:pt>
                <c:pt idx="904">
                  <c:v>63331</c:v>
                </c:pt>
                <c:pt idx="905">
                  <c:v>49999</c:v>
                </c:pt>
                <c:pt idx="906">
                  <c:v>36990</c:v>
                </c:pt>
                <c:pt idx="907">
                  <c:v>79990</c:v>
                </c:pt>
                <c:pt idx="908">
                  <c:v>51999</c:v>
                </c:pt>
                <c:pt idx="909">
                  <c:v>41980</c:v>
                </c:pt>
                <c:pt idx="910">
                  <c:v>43325</c:v>
                </c:pt>
                <c:pt idx="911">
                  <c:v>86700</c:v>
                </c:pt>
                <c:pt idx="912">
                  <c:v>144711</c:v>
                </c:pt>
                <c:pt idx="913">
                  <c:v>74700</c:v>
                </c:pt>
                <c:pt idx="914">
                  <c:v>78000</c:v>
                </c:pt>
                <c:pt idx="915">
                  <c:v>96990</c:v>
                </c:pt>
                <c:pt idx="916">
                  <c:v>35990</c:v>
                </c:pt>
                <c:pt idx="917">
                  <c:v>61500</c:v>
                </c:pt>
                <c:pt idx="918">
                  <c:v>30001</c:v>
                </c:pt>
                <c:pt idx="919">
                  <c:v>68890</c:v>
                </c:pt>
                <c:pt idx="920">
                  <c:v>42990</c:v>
                </c:pt>
                <c:pt idx="921">
                  <c:v>29990</c:v>
                </c:pt>
                <c:pt idx="922">
                  <c:v>64990</c:v>
                </c:pt>
                <c:pt idx="923">
                  <c:v>36382</c:v>
                </c:pt>
                <c:pt idx="924">
                  <c:v>31349</c:v>
                </c:pt>
                <c:pt idx="925">
                  <c:v>110862</c:v>
                </c:pt>
                <c:pt idx="926">
                  <c:v>126305</c:v>
                </c:pt>
                <c:pt idx="927">
                  <c:v>34990</c:v>
                </c:pt>
                <c:pt idx="928">
                  <c:v>125190</c:v>
                </c:pt>
                <c:pt idx="929">
                  <c:v>69500</c:v>
                </c:pt>
                <c:pt idx="930">
                  <c:v>19999</c:v>
                </c:pt>
                <c:pt idx="931">
                  <c:v>57999</c:v>
                </c:pt>
                <c:pt idx="932">
                  <c:v>47690</c:v>
                </c:pt>
                <c:pt idx="933">
                  <c:v>132871</c:v>
                </c:pt>
                <c:pt idx="934">
                  <c:v>78000</c:v>
                </c:pt>
                <c:pt idx="935">
                  <c:v>26999</c:v>
                </c:pt>
                <c:pt idx="936">
                  <c:v>81690</c:v>
                </c:pt>
                <c:pt idx="937">
                  <c:v>55999</c:v>
                </c:pt>
                <c:pt idx="938">
                  <c:v>60500</c:v>
                </c:pt>
                <c:pt idx="939">
                  <c:v>45290</c:v>
                </c:pt>
                <c:pt idx="940">
                  <c:v>41999</c:v>
                </c:pt>
                <c:pt idx="941">
                  <c:v>52999</c:v>
                </c:pt>
                <c:pt idx="942">
                  <c:v>109990</c:v>
                </c:pt>
                <c:pt idx="943">
                  <c:v>57990</c:v>
                </c:pt>
                <c:pt idx="944">
                  <c:v>30970</c:v>
                </c:pt>
                <c:pt idx="945">
                  <c:v>109990</c:v>
                </c:pt>
                <c:pt idx="946">
                  <c:v>28999</c:v>
                </c:pt>
                <c:pt idx="947">
                  <c:v>51300</c:v>
                </c:pt>
                <c:pt idx="948">
                  <c:v>44990</c:v>
                </c:pt>
                <c:pt idx="949">
                  <c:v>35990</c:v>
                </c:pt>
                <c:pt idx="950">
                  <c:v>41690</c:v>
                </c:pt>
                <c:pt idx="951">
                  <c:v>39999</c:v>
                </c:pt>
                <c:pt idx="952">
                  <c:v>49990</c:v>
                </c:pt>
                <c:pt idx="953">
                  <c:v>42990</c:v>
                </c:pt>
                <c:pt idx="954">
                  <c:v>64990</c:v>
                </c:pt>
                <c:pt idx="955">
                  <c:v>38990</c:v>
                </c:pt>
                <c:pt idx="956">
                  <c:v>36990</c:v>
                </c:pt>
                <c:pt idx="957">
                  <c:v>84999</c:v>
                </c:pt>
                <c:pt idx="958">
                  <c:v>29990</c:v>
                </c:pt>
                <c:pt idx="959">
                  <c:v>39990</c:v>
                </c:pt>
                <c:pt idx="960">
                  <c:v>74990</c:v>
                </c:pt>
                <c:pt idx="961">
                  <c:v>71990</c:v>
                </c:pt>
                <c:pt idx="962">
                  <c:v>25990</c:v>
                </c:pt>
                <c:pt idx="963">
                  <c:v>66972</c:v>
                </c:pt>
                <c:pt idx="964">
                  <c:v>61990</c:v>
                </c:pt>
                <c:pt idx="965">
                  <c:v>36990</c:v>
                </c:pt>
                <c:pt idx="966">
                  <c:v>54790</c:v>
                </c:pt>
                <c:pt idx="967">
                  <c:v>44991</c:v>
                </c:pt>
                <c:pt idx="968">
                  <c:v>31750</c:v>
                </c:pt>
                <c:pt idx="969">
                  <c:v>35990</c:v>
                </c:pt>
                <c:pt idx="970">
                  <c:v>54990</c:v>
                </c:pt>
                <c:pt idx="971">
                  <c:v>65990</c:v>
                </c:pt>
                <c:pt idx="972">
                  <c:v>65999</c:v>
                </c:pt>
                <c:pt idx="973">
                  <c:v>60990</c:v>
                </c:pt>
                <c:pt idx="974">
                  <c:v>25990</c:v>
                </c:pt>
                <c:pt idx="975">
                  <c:v>56990</c:v>
                </c:pt>
                <c:pt idx="976">
                  <c:v>48980</c:v>
                </c:pt>
                <c:pt idx="977">
                  <c:v>99990</c:v>
                </c:pt>
                <c:pt idx="978">
                  <c:v>73190</c:v>
                </c:pt>
                <c:pt idx="979">
                  <c:v>39690</c:v>
                </c:pt>
                <c:pt idx="980">
                  <c:v>54990</c:v>
                </c:pt>
                <c:pt idx="981">
                  <c:v>28600</c:v>
                </c:pt>
                <c:pt idx="982">
                  <c:v>94990</c:v>
                </c:pt>
                <c:pt idx="983">
                  <c:v>22746</c:v>
                </c:pt>
                <c:pt idx="984">
                  <c:v>25990</c:v>
                </c:pt>
                <c:pt idx="985">
                  <c:v>33990</c:v>
                </c:pt>
                <c:pt idx="986">
                  <c:v>56538</c:v>
                </c:pt>
                <c:pt idx="987">
                  <c:v>47790</c:v>
                </c:pt>
                <c:pt idx="988">
                  <c:v>30900</c:v>
                </c:pt>
                <c:pt idx="989">
                  <c:v>64990</c:v>
                </c:pt>
                <c:pt idx="990">
                  <c:v>28990</c:v>
                </c:pt>
                <c:pt idx="991">
                  <c:v>62020</c:v>
                </c:pt>
                <c:pt idx="992">
                  <c:v>109990</c:v>
                </c:pt>
                <c:pt idx="993">
                  <c:v>77490</c:v>
                </c:pt>
                <c:pt idx="994">
                  <c:v>79990</c:v>
                </c:pt>
                <c:pt idx="995">
                  <c:v>16806</c:v>
                </c:pt>
                <c:pt idx="996">
                  <c:v>30990</c:v>
                </c:pt>
                <c:pt idx="997">
                  <c:v>43058</c:v>
                </c:pt>
                <c:pt idx="998">
                  <c:v>35616</c:v>
                </c:pt>
                <c:pt idx="999">
                  <c:v>32990</c:v>
                </c:pt>
                <c:pt idx="1000">
                  <c:v>24990</c:v>
                </c:pt>
                <c:pt idx="1001">
                  <c:v>70100</c:v>
                </c:pt>
                <c:pt idx="1002">
                  <c:v>62000</c:v>
                </c:pt>
                <c:pt idx="1003">
                  <c:v>46366</c:v>
                </c:pt>
                <c:pt idx="1004">
                  <c:v>49990</c:v>
                </c:pt>
                <c:pt idx="1005">
                  <c:v>74990</c:v>
                </c:pt>
                <c:pt idx="1006">
                  <c:v>67474</c:v>
                </c:pt>
                <c:pt idx="1007">
                  <c:v>67496</c:v>
                </c:pt>
                <c:pt idx="1008">
                  <c:v>80190</c:v>
                </c:pt>
                <c:pt idx="1009">
                  <c:v>54990</c:v>
                </c:pt>
                <c:pt idx="1010">
                  <c:v>83990</c:v>
                </c:pt>
                <c:pt idx="1011">
                  <c:v>57900</c:v>
                </c:pt>
                <c:pt idx="1012">
                  <c:v>55190</c:v>
                </c:pt>
                <c:pt idx="1013">
                  <c:v>64990</c:v>
                </c:pt>
                <c:pt idx="1014">
                  <c:v>64990</c:v>
                </c:pt>
                <c:pt idx="1015">
                  <c:v>41990</c:v>
                </c:pt>
                <c:pt idx="1016">
                  <c:v>73800</c:v>
                </c:pt>
                <c:pt idx="1017">
                  <c:v>80660</c:v>
                </c:pt>
                <c:pt idx="1018">
                  <c:v>59990</c:v>
                </c:pt>
                <c:pt idx="1019">
                  <c:v>32999</c:v>
                </c:pt>
                <c:pt idx="1020">
                  <c:v>28490</c:v>
                </c:pt>
                <c:pt idx="1021">
                  <c:v>69990</c:v>
                </c:pt>
                <c:pt idx="1022">
                  <c:v>24999</c:v>
                </c:pt>
                <c:pt idx="1023">
                  <c:v>33700</c:v>
                </c:pt>
                <c:pt idx="1024">
                  <c:v>25990</c:v>
                </c:pt>
                <c:pt idx="1025">
                  <c:v>59990</c:v>
                </c:pt>
                <c:pt idx="1026">
                  <c:v>49990</c:v>
                </c:pt>
                <c:pt idx="1027">
                  <c:v>33400</c:v>
                </c:pt>
                <c:pt idx="1028">
                  <c:v>34650</c:v>
                </c:pt>
                <c:pt idx="1029">
                  <c:v>32850</c:v>
                </c:pt>
                <c:pt idx="1030">
                  <c:v>59999</c:v>
                </c:pt>
                <c:pt idx="1031">
                  <c:v>49999</c:v>
                </c:pt>
                <c:pt idx="1032">
                  <c:v>39999</c:v>
                </c:pt>
                <c:pt idx="1033">
                  <c:v>24999</c:v>
                </c:pt>
                <c:pt idx="1034">
                  <c:v>30499</c:v>
                </c:pt>
                <c:pt idx="1035">
                  <c:v>44990</c:v>
                </c:pt>
                <c:pt idx="1036">
                  <c:v>87390</c:v>
                </c:pt>
                <c:pt idx="1037">
                  <c:v>51990</c:v>
                </c:pt>
                <c:pt idx="1038">
                  <c:v>49990</c:v>
                </c:pt>
                <c:pt idx="1039">
                  <c:v>94990</c:v>
                </c:pt>
                <c:pt idx="1040">
                  <c:v>57990</c:v>
                </c:pt>
                <c:pt idx="1041">
                  <c:v>54900</c:v>
                </c:pt>
                <c:pt idx="1042">
                  <c:v>57990</c:v>
                </c:pt>
                <c:pt idx="1043">
                  <c:v>53990</c:v>
                </c:pt>
                <c:pt idx="1044">
                  <c:v>46999</c:v>
                </c:pt>
                <c:pt idx="1045">
                  <c:v>35990</c:v>
                </c:pt>
                <c:pt idx="1046">
                  <c:v>34000</c:v>
                </c:pt>
                <c:pt idx="1047">
                  <c:v>47990</c:v>
                </c:pt>
                <c:pt idx="1048">
                  <c:v>93990</c:v>
                </c:pt>
                <c:pt idx="1049">
                  <c:v>50999</c:v>
                </c:pt>
                <c:pt idx="1050">
                  <c:v>127590</c:v>
                </c:pt>
                <c:pt idx="1051">
                  <c:v>60490</c:v>
                </c:pt>
                <c:pt idx="1052">
                  <c:v>75990</c:v>
                </c:pt>
                <c:pt idx="1053">
                  <c:v>79690</c:v>
                </c:pt>
                <c:pt idx="1054">
                  <c:v>60989</c:v>
                </c:pt>
                <c:pt idx="1055">
                  <c:v>51990</c:v>
                </c:pt>
                <c:pt idx="1056">
                  <c:v>77411</c:v>
                </c:pt>
                <c:pt idx="1057">
                  <c:v>57990</c:v>
                </c:pt>
                <c:pt idx="1058">
                  <c:v>42190</c:v>
                </c:pt>
                <c:pt idx="1059">
                  <c:v>49990</c:v>
                </c:pt>
                <c:pt idx="1060">
                  <c:v>29680</c:v>
                </c:pt>
                <c:pt idx="1061">
                  <c:v>25999</c:v>
                </c:pt>
                <c:pt idx="1062">
                  <c:v>47990</c:v>
                </c:pt>
                <c:pt idx="1063">
                  <c:v>49990</c:v>
                </c:pt>
                <c:pt idx="1064">
                  <c:v>38900</c:v>
                </c:pt>
                <c:pt idx="1065">
                  <c:v>48999</c:v>
                </c:pt>
                <c:pt idx="1066">
                  <c:v>55990</c:v>
                </c:pt>
                <c:pt idx="1067">
                  <c:v>99990</c:v>
                </c:pt>
                <c:pt idx="1068">
                  <c:v>72990</c:v>
                </c:pt>
                <c:pt idx="1069">
                  <c:v>54990</c:v>
                </c:pt>
                <c:pt idx="1070">
                  <c:v>47499</c:v>
                </c:pt>
                <c:pt idx="1071">
                  <c:v>57990</c:v>
                </c:pt>
                <c:pt idx="1072">
                  <c:v>44528</c:v>
                </c:pt>
                <c:pt idx="1073">
                  <c:v>31490</c:v>
                </c:pt>
                <c:pt idx="1074">
                  <c:v>70990</c:v>
                </c:pt>
                <c:pt idx="1075">
                  <c:v>71990</c:v>
                </c:pt>
                <c:pt idx="1076">
                  <c:v>59990</c:v>
                </c:pt>
                <c:pt idx="1077">
                  <c:v>34100</c:v>
                </c:pt>
                <c:pt idx="1078">
                  <c:v>98999</c:v>
                </c:pt>
                <c:pt idx="1079">
                  <c:v>32790</c:v>
                </c:pt>
                <c:pt idx="1080">
                  <c:v>79990</c:v>
                </c:pt>
                <c:pt idx="1081">
                  <c:v>57990</c:v>
                </c:pt>
                <c:pt idx="1082">
                  <c:v>28900</c:v>
                </c:pt>
                <c:pt idx="1083">
                  <c:v>89999</c:v>
                </c:pt>
                <c:pt idx="1084">
                  <c:v>73990</c:v>
                </c:pt>
                <c:pt idx="1085">
                  <c:v>34565</c:v>
                </c:pt>
                <c:pt idx="1086">
                  <c:v>151688</c:v>
                </c:pt>
                <c:pt idx="1087">
                  <c:v>76519</c:v>
                </c:pt>
                <c:pt idx="1088">
                  <c:v>60628</c:v>
                </c:pt>
                <c:pt idx="1089">
                  <c:v>45500</c:v>
                </c:pt>
                <c:pt idx="1090">
                  <c:v>72990</c:v>
                </c:pt>
                <c:pt idx="1091">
                  <c:v>36990</c:v>
                </c:pt>
                <c:pt idx="1092">
                  <c:v>54990</c:v>
                </c:pt>
                <c:pt idx="1093">
                  <c:v>180000</c:v>
                </c:pt>
                <c:pt idx="1094">
                  <c:v>76990</c:v>
                </c:pt>
                <c:pt idx="1095">
                  <c:v>46190</c:v>
                </c:pt>
                <c:pt idx="1096">
                  <c:v>36990</c:v>
                </c:pt>
                <c:pt idx="1097">
                  <c:v>64999</c:v>
                </c:pt>
                <c:pt idx="1098">
                  <c:v>46999</c:v>
                </c:pt>
                <c:pt idx="1099">
                  <c:v>71990</c:v>
                </c:pt>
                <c:pt idx="1100">
                  <c:v>28330</c:v>
                </c:pt>
                <c:pt idx="1101">
                  <c:v>35499</c:v>
                </c:pt>
                <c:pt idx="1102">
                  <c:v>103483</c:v>
                </c:pt>
                <c:pt idx="1103">
                  <c:v>34500</c:v>
                </c:pt>
                <c:pt idx="1104">
                  <c:v>117635</c:v>
                </c:pt>
                <c:pt idx="1105">
                  <c:v>26890</c:v>
                </c:pt>
                <c:pt idx="1106">
                  <c:v>35990</c:v>
                </c:pt>
                <c:pt idx="1107">
                  <c:v>73990</c:v>
                </c:pt>
                <c:pt idx="1108">
                  <c:v>28500</c:v>
                </c:pt>
                <c:pt idx="1109">
                  <c:v>62990</c:v>
                </c:pt>
                <c:pt idx="1110">
                  <c:v>52750</c:v>
                </c:pt>
                <c:pt idx="1111">
                  <c:v>115500</c:v>
                </c:pt>
                <c:pt idx="1112">
                  <c:v>17990</c:v>
                </c:pt>
                <c:pt idx="1113">
                  <c:v>61202</c:v>
                </c:pt>
                <c:pt idx="1114">
                  <c:v>49990</c:v>
                </c:pt>
                <c:pt idx="1115">
                  <c:v>42690</c:v>
                </c:pt>
                <c:pt idx="1116">
                  <c:v>37399</c:v>
                </c:pt>
                <c:pt idx="1117">
                  <c:v>131990</c:v>
                </c:pt>
                <c:pt idx="1118">
                  <c:v>48999</c:v>
                </c:pt>
                <c:pt idx="1119">
                  <c:v>33990</c:v>
                </c:pt>
                <c:pt idx="1120">
                  <c:v>105783</c:v>
                </c:pt>
                <c:pt idx="1121">
                  <c:v>99990</c:v>
                </c:pt>
                <c:pt idx="1122">
                  <c:v>57999</c:v>
                </c:pt>
                <c:pt idx="1123">
                  <c:v>34490</c:v>
                </c:pt>
                <c:pt idx="1124">
                  <c:v>33800</c:v>
                </c:pt>
                <c:pt idx="1125">
                  <c:v>39990</c:v>
                </c:pt>
                <c:pt idx="1126">
                  <c:v>39990</c:v>
                </c:pt>
                <c:pt idx="1127">
                  <c:v>37990</c:v>
                </c:pt>
                <c:pt idx="1128">
                  <c:v>37990</c:v>
                </c:pt>
                <c:pt idx="1129">
                  <c:v>40990</c:v>
                </c:pt>
                <c:pt idx="1130">
                  <c:v>48800</c:v>
                </c:pt>
                <c:pt idx="1131">
                  <c:v>42990</c:v>
                </c:pt>
                <c:pt idx="1132">
                  <c:v>26900</c:v>
                </c:pt>
                <c:pt idx="1133">
                  <c:v>49990</c:v>
                </c:pt>
                <c:pt idx="1134">
                  <c:v>46990</c:v>
                </c:pt>
                <c:pt idx="1135">
                  <c:v>61490</c:v>
                </c:pt>
                <c:pt idx="1136">
                  <c:v>54990</c:v>
                </c:pt>
                <c:pt idx="1137">
                  <c:v>24800</c:v>
                </c:pt>
                <c:pt idx="1138">
                  <c:v>23990</c:v>
                </c:pt>
                <c:pt idx="1139">
                  <c:v>27225</c:v>
                </c:pt>
                <c:pt idx="1140">
                  <c:v>158500</c:v>
                </c:pt>
                <c:pt idx="1141">
                  <c:v>34999</c:v>
                </c:pt>
                <c:pt idx="1142">
                  <c:v>40190</c:v>
                </c:pt>
                <c:pt idx="1143">
                  <c:v>57990</c:v>
                </c:pt>
                <c:pt idx="1144">
                  <c:v>61990</c:v>
                </c:pt>
                <c:pt idx="1145">
                  <c:v>104999</c:v>
                </c:pt>
                <c:pt idx="1146">
                  <c:v>21490</c:v>
                </c:pt>
                <c:pt idx="1147">
                  <c:v>27790</c:v>
                </c:pt>
                <c:pt idx="1148">
                  <c:v>34990</c:v>
                </c:pt>
                <c:pt idx="1149">
                  <c:v>36190</c:v>
                </c:pt>
                <c:pt idx="1150">
                  <c:v>107850</c:v>
                </c:pt>
                <c:pt idx="1151">
                  <c:v>61654</c:v>
                </c:pt>
                <c:pt idx="1152">
                  <c:v>49852</c:v>
                </c:pt>
                <c:pt idx="1153">
                  <c:v>127990</c:v>
                </c:pt>
                <c:pt idx="1154">
                  <c:v>127990</c:v>
                </c:pt>
                <c:pt idx="1155">
                  <c:v>84950</c:v>
                </c:pt>
                <c:pt idx="1156">
                  <c:v>41990</c:v>
                </c:pt>
                <c:pt idx="1157">
                  <c:v>32050</c:v>
                </c:pt>
                <c:pt idx="1158">
                  <c:v>24999</c:v>
                </c:pt>
                <c:pt idx="1159">
                  <c:v>23490</c:v>
                </c:pt>
                <c:pt idx="1160">
                  <c:v>83990</c:v>
                </c:pt>
                <c:pt idx="1161">
                  <c:v>182990</c:v>
                </c:pt>
                <c:pt idx="1162">
                  <c:v>99990</c:v>
                </c:pt>
                <c:pt idx="1163">
                  <c:v>31996</c:v>
                </c:pt>
                <c:pt idx="1164">
                  <c:v>32639</c:v>
                </c:pt>
                <c:pt idx="1165">
                  <c:v>149990</c:v>
                </c:pt>
                <c:pt idx="1166">
                  <c:v>149990</c:v>
                </c:pt>
                <c:pt idx="1167">
                  <c:v>65990</c:v>
                </c:pt>
                <c:pt idx="1168">
                  <c:v>127990</c:v>
                </c:pt>
                <c:pt idx="1169">
                  <c:v>40190</c:v>
                </c:pt>
                <c:pt idx="1170">
                  <c:v>74850</c:v>
                </c:pt>
                <c:pt idx="1171">
                  <c:v>65990</c:v>
                </c:pt>
                <c:pt idx="1172">
                  <c:v>63175</c:v>
                </c:pt>
                <c:pt idx="1173">
                  <c:v>91990</c:v>
                </c:pt>
                <c:pt idx="1174">
                  <c:v>25397</c:v>
                </c:pt>
                <c:pt idx="1175">
                  <c:v>309990</c:v>
                </c:pt>
                <c:pt idx="1176">
                  <c:v>105000</c:v>
                </c:pt>
                <c:pt idx="1177">
                  <c:v>79924</c:v>
                </c:pt>
                <c:pt idx="1178">
                  <c:v>94800</c:v>
                </c:pt>
                <c:pt idx="1179">
                  <c:v>64990</c:v>
                </c:pt>
                <c:pt idx="1180">
                  <c:v>131990</c:v>
                </c:pt>
                <c:pt idx="1181">
                  <c:v>68990</c:v>
                </c:pt>
                <c:pt idx="1182">
                  <c:v>75990</c:v>
                </c:pt>
                <c:pt idx="1183">
                  <c:v>51989</c:v>
                </c:pt>
                <c:pt idx="1184">
                  <c:v>136000</c:v>
                </c:pt>
                <c:pt idx="1185">
                  <c:v>76962</c:v>
                </c:pt>
                <c:pt idx="1186">
                  <c:v>77211</c:v>
                </c:pt>
                <c:pt idx="1187">
                  <c:v>30999</c:v>
                </c:pt>
                <c:pt idx="1188">
                  <c:v>26990</c:v>
                </c:pt>
                <c:pt idx="1189">
                  <c:v>67199</c:v>
                </c:pt>
                <c:pt idx="1190">
                  <c:v>68990</c:v>
                </c:pt>
                <c:pt idx="1191">
                  <c:v>53990</c:v>
                </c:pt>
                <c:pt idx="1192">
                  <c:v>46470</c:v>
                </c:pt>
                <c:pt idx="1193">
                  <c:v>51400</c:v>
                </c:pt>
                <c:pt idx="1194">
                  <c:v>42100</c:v>
                </c:pt>
                <c:pt idx="1195">
                  <c:v>78990</c:v>
                </c:pt>
                <c:pt idx="1196">
                  <c:v>55990</c:v>
                </c:pt>
                <c:pt idx="1197">
                  <c:v>57900</c:v>
                </c:pt>
                <c:pt idx="1198">
                  <c:v>72990</c:v>
                </c:pt>
                <c:pt idx="1199">
                  <c:v>37990</c:v>
                </c:pt>
                <c:pt idx="1200">
                  <c:v>143700</c:v>
                </c:pt>
                <c:pt idx="1201">
                  <c:v>99990</c:v>
                </c:pt>
                <c:pt idx="1202">
                  <c:v>86990</c:v>
                </c:pt>
                <c:pt idx="1203">
                  <c:v>22990</c:v>
                </c:pt>
                <c:pt idx="1204">
                  <c:v>47990</c:v>
                </c:pt>
                <c:pt idx="1205">
                  <c:v>46601</c:v>
                </c:pt>
                <c:pt idx="1206">
                  <c:v>79900</c:v>
                </c:pt>
                <c:pt idx="1207">
                  <c:v>33999</c:v>
                </c:pt>
                <c:pt idx="1208">
                  <c:v>26490</c:v>
                </c:pt>
                <c:pt idx="1209">
                  <c:v>59990</c:v>
                </c:pt>
                <c:pt idx="1210">
                  <c:v>244890</c:v>
                </c:pt>
                <c:pt idx="1211">
                  <c:v>39989</c:v>
                </c:pt>
                <c:pt idx="1212">
                  <c:v>105999</c:v>
                </c:pt>
                <c:pt idx="1213">
                  <c:v>19990</c:v>
                </c:pt>
                <c:pt idx="1214">
                  <c:v>30990</c:v>
                </c:pt>
                <c:pt idx="1215">
                  <c:v>35990</c:v>
                </c:pt>
                <c:pt idx="1216">
                  <c:v>249990</c:v>
                </c:pt>
                <c:pt idx="1217">
                  <c:v>80065</c:v>
                </c:pt>
                <c:pt idx="1218">
                  <c:v>58999</c:v>
                </c:pt>
                <c:pt idx="1219">
                  <c:v>16999</c:v>
                </c:pt>
                <c:pt idx="1220">
                  <c:v>32990</c:v>
                </c:pt>
                <c:pt idx="1221">
                  <c:v>89990</c:v>
                </c:pt>
                <c:pt idx="1222">
                  <c:v>71490</c:v>
                </c:pt>
                <c:pt idx="1223">
                  <c:v>35999</c:v>
                </c:pt>
                <c:pt idx="1224">
                  <c:v>78890</c:v>
                </c:pt>
                <c:pt idx="1225">
                  <c:v>38990</c:v>
                </c:pt>
                <c:pt idx="1226">
                  <c:v>28495</c:v>
                </c:pt>
                <c:pt idx="1227">
                  <c:v>31990</c:v>
                </c:pt>
                <c:pt idx="1228">
                  <c:v>63475</c:v>
                </c:pt>
                <c:pt idx="1229">
                  <c:v>41000</c:v>
                </c:pt>
                <c:pt idx="1230">
                  <c:v>54490</c:v>
                </c:pt>
                <c:pt idx="1231">
                  <c:v>49999</c:v>
                </c:pt>
                <c:pt idx="1232">
                  <c:v>178990</c:v>
                </c:pt>
                <c:pt idx="1233">
                  <c:v>159000</c:v>
                </c:pt>
                <c:pt idx="1234">
                  <c:v>38960</c:v>
                </c:pt>
                <c:pt idx="1235">
                  <c:v>55599</c:v>
                </c:pt>
                <c:pt idx="1236">
                  <c:v>209990</c:v>
                </c:pt>
                <c:pt idx="1237">
                  <c:v>147990</c:v>
                </c:pt>
                <c:pt idx="1238">
                  <c:v>19999</c:v>
                </c:pt>
                <c:pt idx="1239">
                  <c:v>24990</c:v>
                </c:pt>
                <c:pt idx="1240">
                  <c:v>58500</c:v>
                </c:pt>
                <c:pt idx="1241">
                  <c:v>35990</c:v>
                </c:pt>
                <c:pt idx="1242">
                  <c:v>51990</c:v>
                </c:pt>
                <c:pt idx="1243">
                  <c:v>48990</c:v>
                </c:pt>
                <c:pt idx="1244">
                  <c:v>57990</c:v>
                </c:pt>
                <c:pt idx="1245">
                  <c:v>46999</c:v>
                </c:pt>
                <c:pt idx="1246">
                  <c:v>20490</c:v>
                </c:pt>
                <c:pt idx="1247">
                  <c:v>359990</c:v>
                </c:pt>
                <c:pt idx="1248">
                  <c:v>279990</c:v>
                </c:pt>
                <c:pt idx="1249">
                  <c:v>46990</c:v>
                </c:pt>
                <c:pt idx="1250">
                  <c:v>45890</c:v>
                </c:pt>
                <c:pt idx="1251">
                  <c:v>42990</c:v>
                </c:pt>
                <c:pt idx="1252">
                  <c:v>65750</c:v>
                </c:pt>
                <c:pt idx="1253">
                  <c:v>41990</c:v>
                </c:pt>
                <c:pt idx="1254">
                  <c:v>35000</c:v>
                </c:pt>
                <c:pt idx="1255">
                  <c:v>43990</c:v>
                </c:pt>
                <c:pt idx="1256">
                  <c:v>48499</c:v>
                </c:pt>
                <c:pt idx="1257">
                  <c:v>32990</c:v>
                </c:pt>
                <c:pt idx="1258">
                  <c:v>34990</c:v>
                </c:pt>
                <c:pt idx="1259">
                  <c:v>37990</c:v>
                </c:pt>
                <c:pt idx="1260">
                  <c:v>322490</c:v>
                </c:pt>
                <c:pt idx="1261">
                  <c:v>41990</c:v>
                </c:pt>
                <c:pt idx="1262">
                  <c:v>60109</c:v>
                </c:pt>
                <c:pt idx="1263">
                  <c:v>18307</c:v>
                </c:pt>
                <c:pt idx="1264">
                  <c:v>55534</c:v>
                </c:pt>
                <c:pt idx="1265">
                  <c:v>89090</c:v>
                </c:pt>
                <c:pt idx="1266">
                  <c:v>96999</c:v>
                </c:pt>
                <c:pt idx="1267">
                  <c:v>41500</c:v>
                </c:pt>
                <c:pt idx="1268">
                  <c:v>132876</c:v>
                </c:pt>
                <c:pt idx="1269">
                  <c:v>59990</c:v>
                </c:pt>
                <c:pt idx="1270">
                  <c:v>161990</c:v>
                </c:pt>
                <c:pt idx="1271">
                  <c:v>37990</c:v>
                </c:pt>
                <c:pt idx="1272">
                  <c:v>69500</c:v>
                </c:pt>
                <c:pt idx="1273">
                  <c:v>34700</c:v>
                </c:pt>
                <c:pt idx="1274">
                  <c:v>48740</c:v>
                </c:pt>
                <c:pt idx="1275">
                  <c:v>73990</c:v>
                </c:pt>
                <c:pt idx="1276">
                  <c:v>74990</c:v>
                </c:pt>
                <c:pt idx="1277">
                  <c:v>49490</c:v>
                </c:pt>
                <c:pt idx="1278">
                  <c:v>29990</c:v>
                </c:pt>
                <c:pt idx="1279">
                  <c:v>28900</c:v>
                </c:pt>
                <c:pt idx="1280">
                  <c:v>67790</c:v>
                </c:pt>
                <c:pt idx="1281">
                  <c:v>75550</c:v>
                </c:pt>
                <c:pt idx="1282">
                  <c:v>71999</c:v>
                </c:pt>
                <c:pt idx="1283">
                  <c:v>35750</c:v>
                </c:pt>
                <c:pt idx="1284">
                  <c:v>64226</c:v>
                </c:pt>
                <c:pt idx="1285">
                  <c:v>40961</c:v>
                </c:pt>
                <c:pt idx="1286">
                  <c:v>149216</c:v>
                </c:pt>
                <c:pt idx="1287">
                  <c:v>22999</c:v>
                </c:pt>
                <c:pt idx="1288">
                  <c:v>70026</c:v>
                </c:pt>
                <c:pt idx="1289">
                  <c:v>35274</c:v>
                </c:pt>
                <c:pt idx="1290">
                  <c:v>9499</c:v>
                </c:pt>
                <c:pt idx="1291">
                  <c:v>23990</c:v>
                </c:pt>
                <c:pt idx="1292">
                  <c:v>49990</c:v>
                </c:pt>
                <c:pt idx="1293">
                  <c:v>38990</c:v>
                </c:pt>
                <c:pt idx="1294">
                  <c:v>38689</c:v>
                </c:pt>
                <c:pt idx="1295">
                  <c:v>89990</c:v>
                </c:pt>
                <c:pt idx="1296">
                  <c:v>19990</c:v>
                </c:pt>
                <c:pt idx="1297">
                  <c:v>68990</c:v>
                </c:pt>
                <c:pt idx="1298">
                  <c:v>30999</c:v>
                </c:pt>
                <c:pt idx="1299">
                  <c:v>57990</c:v>
                </c:pt>
                <c:pt idx="1300">
                  <c:v>57990</c:v>
                </c:pt>
                <c:pt idx="1301">
                  <c:v>79550</c:v>
                </c:pt>
                <c:pt idx="1302">
                  <c:v>39999</c:v>
                </c:pt>
                <c:pt idx="1303">
                  <c:v>50570</c:v>
                </c:pt>
                <c:pt idx="1304">
                  <c:v>38590</c:v>
                </c:pt>
                <c:pt idx="1305">
                  <c:v>46390</c:v>
                </c:pt>
                <c:pt idx="1306">
                  <c:v>34939</c:v>
                </c:pt>
                <c:pt idx="1307">
                  <c:v>79990</c:v>
                </c:pt>
                <c:pt idx="1308">
                  <c:v>69990</c:v>
                </c:pt>
                <c:pt idx="1309">
                  <c:v>114990</c:v>
                </c:pt>
                <c:pt idx="1310">
                  <c:v>47990</c:v>
                </c:pt>
                <c:pt idx="1311">
                  <c:v>98990</c:v>
                </c:pt>
                <c:pt idx="1312">
                  <c:v>69990</c:v>
                </c:pt>
                <c:pt idx="1313">
                  <c:v>29990</c:v>
                </c:pt>
                <c:pt idx="1314">
                  <c:v>26990</c:v>
                </c:pt>
                <c:pt idx="1315">
                  <c:v>64990</c:v>
                </c:pt>
                <c:pt idx="1316">
                  <c:v>39990</c:v>
                </c:pt>
                <c:pt idx="1317">
                  <c:v>181990</c:v>
                </c:pt>
                <c:pt idx="1318">
                  <c:v>136999</c:v>
                </c:pt>
                <c:pt idx="1319">
                  <c:v>33490</c:v>
                </c:pt>
                <c:pt idx="1320">
                  <c:v>50990</c:v>
                </c:pt>
                <c:pt idx="1321">
                  <c:v>39990</c:v>
                </c:pt>
                <c:pt idx="1322">
                  <c:v>51150</c:v>
                </c:pt>
                <c:pt idx="1323">
                  <c:v>55990</c:v>
                </c:pt>
                <c:pt idx="1324">
                  <c:v>48999</c:v>
                </c:pt>
                <c:pt idx="1325">
                  <c:v>60999</c:v>
                </c:pt>
                <c:pt idx="1326">
                  <c:v>50999</c:v>
                </c:pt>
                <c:pt idx="1327">
                  <c:v>92190</c:v>
                </c:pt>
                <c:pt idx="1328">
                  <c:v>79990</c:v>
                </c:pt>
                <c:pt idx="1329">
                  <c:v>42990</c:v>
                </c:pt>
                <c:pt idx="1330">
                  <c:v>52500</c:v>
                </c:pt>
                <c:pt idx="1331">
                  <c:v>59990</c:v>
                </c:pt>
                <c:pt idx="1332">
                  <c:v>24490</c:v>
                </c:pt>
                <c:pt idx="1333">
                  <c:v>40999</c:v>
                </c:pt>
                <c:pt idx="1334">
                  <c:v>58990</c:v>
                </c:pt>
                <c:pt idx="1335">
                  <c:v>51990</c:v>
                </c:pt>
                <c:pt idx="1336">
                  <c:v>187074</c:v>
                </c:pt>
                <c:pt idx="1337">
                  <c:v>33650</c:v>
                </c:pt>
                <c:pt idx="1338">
                  <c:v>87999</c:v>
                </c:pt>
                <c:pt idx="1339">
                  <c:v>34500</c:v>
                </c:pt>
                <c:pt idx="1340">
                  <c:v>30850</c:v>
                </c:pt>
                <c:pt idx="1341">
                  <c:v>29990</c:v>
                </c:pt>
                <c:pt idx="1342">
                  <c:v>58990</c:v>
                </c:pt>
                <c:pt idx="1343">
                  <c:v>42990</c:v>
                </c:pt>
                <c:pt idx="1344">
                  <c:v>54999</c:v>
                </c:pt>
                <c:pt idx="1345">
                  <c:v>74999</c:v>
                </c:pt>
                <c:pt idx="1346">
                  <c:v>72990</c:v>
                </c:pt>
                <c:pt idx="1347">
                  <c:v>29950</c:v>
                </c:pt>
                <c:pt idx="1348">
                  <c:v>29490</c:v>
                </c:pt>
                <c:pt idx="1349">
                  <c:v>83990</c:v>
                </c:pt>
                <c:pt idx="1350">
                  <c:v>132990</c:v>
                </c:pt>
                <c:pt idx="1351">
                  <c:v>31990</c:v>
                </c:pt>
                <c:pt idx="1352">
                  <c:v>38917</c:v>
                </c:pt>
                <c:pt idx="1353">
                  <c:v>25990</c:v>
                </c:pt>
                <c:pt idx="1354">
                  <c:v>39990</c:v>
                </c:pt>
                <c:pt idx="1355">
                  <c:v>46999</c:v>
                </c:pt>
                <c:pt idx="1356">
                  <c:v>88590</c:v>
                </c:pt>
                <c:pt idx="1357">
                  <c:v>47700</c:v>
                </c:pt>
                <c:pt idx="1358">
                  <c:v>23900</c:v>
                </c:pt>
                <c:pt idx="1359">
                  <c:v>86500</c:v>
                </c:pt>
                <c:pt idx="1360">
                  <c:v>30016</c:v>
                </c:pt>
                <c:pt idx="1361">
                  <c:v>54250</c:v>
                </c:pt>
                <c:pt idx="1362">
                  <c:v>119988</c:v>
                </c:pt>
                <c:pt idx="1363">
                  <c:v>30990</c:v>
                </c:pt>
                <c:pt idx="1364">
                  <c:v>73800</c:v>
                </c:pt>
                <c:pt idx="1365">
                  <c:v>74890</c:v>
                </c:pt>
                <c:pt idx="1366">
                  <c:v>48500</c:v>
                </c:pt>
                <c:pt idx="1367">
                  <c:v>17990</c:v>
                </c:pt>
                <c:pt idx="1368">
                  <c:v>19990</c:v>
                </c:pt>
                <c:pt idx="1369">
                  <c:v>15990</c:v>
                </c:pt>
                <c:pt idx="1370">
                  <c:v>72990</c:v>
                </c:pt>
                <c:pt idx="1371">
                  <c:v>55990</c:v>
                </c:pt>
                <c:pt idx="1372">
                  <c:v>18990</c:v>
                </c:pt>
                <c:pt idx="1373">
                  <c:v>171990</c:v>
                </c:pt>
                <c:pt idx="1374">
                  <c:v>49990</c:v>
                </c:pt>
                <c:pt idx="1375">
                  <c:v>29990</c:v>
                </c:pt>
                <c:pt idx="1376">
                  <c:v>39990</c:v>
                </c:pt>
                <c:pt idx="1377">
                  <c:v>171990</c:v>
                </c:pt>
                <c:pt idx="1378">
                  <c:v>55761</c:v>
                </c:pt>
                <c:pt idx="1379">
                  <c:v>78990</c:v>
                </c:pt>
                <c:pt idx="1380">
                  <c:v>24190</c:v>
                </c:pt>
                <c:pt idx="1381">
                  <c:v>94990</c:v>
                </c:pt>
                <c:pt idx="1382">
                  <c:v>98290</c:v>
                </c:pt>
                <c:pt idx="1383">
                  <c:v>77850</c:v>
                </c:pt>
                <c:pt idx="1384">
                  <c:v>91990</c:v>
                </c:pt>
                <c:pt idx="1385">
                  <c:v>35990</c:v>
                </c:pt>
                <c:pt idx="1386">
                  <c:v>50990</c:v>
                </c:pt>
                <c:pt idx="1387">
                  <c:v>15871</c:v>
                </c:pt>
                <c:pt idx="1388">
                  <c:v>50990</c:v>
                </c:pt>
                <c:pt idx="1389">
                  <c:v>54000</c:v>
                </c:pt>
                <c:pt idx="1390">
                  <c:v>65990</c:v>
                </c:pt>
                <c:pt idx="1391">
                  <c:v>67990</c:v>
                </c:pt>
                <c:pt idx="1392">
                  <c:v>76000</c:v>
                </c:pt>
                <c:pt idx="1393">
                  <c:v>24620</c:v>
                </c:pt>
                <c:pt idx="1394">
                  <c:v>16490</c:v>
                </c:pt>
                <c:pt idx="1395">
                  <c:v>32990</c:v>
                </c:pt>
                <c:pt idx="1396">
                  <c:v>32990</c:v>
                </c:pt>
                <c:pt idx="1397">
                  <c:v>74890</c:v>
                </c:pt>
                <c:pt idx="1398">
                  <c:v>69550</c:v>
                </c:pt>
                <c:pt idx="1399">
                  <c:v>29990</c:v>
                </c:pt>
                <c:pt idx="1400">
                  <c:v>230890</c:v>
                </c:pt>
                <c:pt idx="1401">
                  <c:v>90240</c:v>
                </c:pt>
                <c:pt idx="1402">
                  <c:v>32990</c:v>
                </c:pt>
                <c:pt idx="1403">
                  <c:v>119900</c:v>
                </c:pt>
                <c:pt idx="1404">
                  <c:v>79990</c:v>
                </c:pt>
                <c:pt idx="1405">
                  <c:v>43599</c:v>
                </c:pt>
                <c:pt idx="1406">
                  <c:v>33190</c:v>
                </c:pt>
                <c:pt idx="1407">
                  <c:v>44990</c:v>
                </c:pt>
                <c:pt idx="1408">
                  <c:v>41420</c:v>
                </c:pt>
                <c:pt idx="1409">
                  <c:v>53990</c:v>
                </c:pt>
                <c:pt idx="1410">
                  <c:v>60695</c:v>
                </c:pt>
                <c:pt idx="1411">
                  <c:v>31490</c:v>
                </c:pt>
                <c:pt idx="1412">
                  <c:v>386999</c:v>
                </c:pt>
                <c:pt idx="1413">
                  <c:v>33390</c:v>
                </c:pt>
                <c:pt idx="1414">
                  <c:v>122560</c:v>
                </c:pt>
                <c:pt idx="1415">
                  <c:v>31490</c:v>
                </c:pt>
                <c:pt idx="1416">
                  <c:v>33870</c:v>
                </c:pt>
                <c:pt idx="1417">
                  <c:v>33990</c:v>
                </c:pt>
                <c:pt idx="1418">
                  <c:v>56999</c:v>
                </c:pt>
                <c:pt idx="1419">
                  <c:v>49990</c:v>
                </c:pt>
                <c:pt idx="1420">
                  <c:v>91690</c:v>
                </c:pt>
                <c:pt idx="1421">
                  <c:v>64694</c:v>
                </c:pt>
                <c:pt idx="1422">
                  <c:v>70426</c:v>
                </c:pt>
                <c:pt idx="1423">
                  <c:v>37265</c:v>
                </c:pt>
                <c:pt idx="1424">
                  <c:v>163716</c:v>
                </c:pt>
                <c:pt idx="1425">
                  <c:v>26900</c:v>
                </c:pt>
                <c:pt idx="1426">
                  <c:v>89264</c:v>
                </c:pt>
                <c:pt idx="1427">
                  <c:v>64490</c:v>
                </c:pt>
                <c:pt idx="1428">
                  <c:v>71990</c:v>
                </c:pt>
                <c:pt idx="1429">
                  <c:v>161187</c:v>
                </c:pt>
                <c:pt idx="1430">
                  <c:v>52938</c:v>
                </c:pt>
                <c:pt idx="1431">
                  <c:v>31990</c:v>
                </c:pt>
                <c:pt idx="1432">
                  <c:v>121999</c:v>
                </c:pt>
                <c:pt idx="1433">
                  <c:v>40499</c:v>
                </c:pt>
                <c:pt idx="1434">
                  <c:v>29990</c:v>
                </c:pt>
                <c:pt idx="1435">
                  <c:v>30880</c:v>
                </c:pt>
                <c:pt idx="1436">
                  <c:v>57890</c:v>
                </c:pt>
                <c:pt idx="1437">
                  <c:v>199990</c:v>
                </c:pt>
                <c:pt idx="1438">
                  <c:v>72490</c:v>
                </c:pt>
                <c:pt idx="1439">
                  <c:v>129990</c:v>
                </c:pt>
                <c:pt idx="1440">
                  <c:v>34990</c:v>
                </c:pt>
                <c:pt idx="1441">
                  <c:v>34990</c:v>
                </c:pt>
                <c:pt idx="1442">
                  <c:v>33990</c:v>
                </c:pt>
                <c:pt idx="1443">
                  <c:v>35990</c:v>
                </c:pt>
                <c:pt idx="1444">
                  <c:v>44500</c:v>
                </c:pt>
                <c:pt idx="1445">
                  <c:v>146990</c:v>
                </c:pt>
                <c:pt idx="1446">
                  <c:v>99990</c:v>
                </c:pt>
                <c:pt idx="1447">
                  <c:v>78190</c:v>
                </c:pt>
                <c:pt idx="1448">
                  <c:v>35990</c:v>
                </c:pt>
                <c:pt idx="1449">
                  <c:v>25900</c:v>
                </c:pt>
                <c:pt idx="1450">
                  <c:v>167198</c:v>
                </c:pt>
                <c:pt idx="1451">
                  <c:v>155399</c:v>
                </c:pt>
                <c:pt idx="1452">
                  <c:v>95990</c:v>
                </c:pt>
                <c:pt idx="1453">
                  <c:v>44999</c:v>
                </c:pt>
                <c:pt idx="1454">
                  <c:v>16990</c:v>
                </c:pt>
                <c:pt idx="1455">
                  <c:v>148990</c:v>
                </c:pt>
                <c:pt idx="1456">
                  <c:v>23005</c:v>
                </c:pt>
                <c:pt idx="1457">
                  <c:v>26999</c:v>
                </c:pt>
                <c:pt idx="1458">
                  <c:v>21999</c:v>
                </c:pt>
                <c:pt idx="1459">
                  <c:v>18999</c:v>
                </c:pt>
                <c:pt idx="1460">
                  <c:v>115390</c:v>
                </c:pt>
                <c:pt idx="1461">
                  <c:v>74500</c:v>
                </c:pt>
                <c:pt idx="1462">
                  <c:v>42990</c:v>
                </c:pt>
                <c:pt idx="1463">
                  <c:v>59990</c:v>
                </c:pt>
                <c:pt idx="1464">
                  <c:v>42990</c:v>
                </c:pt>
                <c:pt idx="1465">
                  <c:v>285711</c:v>
                </c:pt>
                <c:pt idx="1466">
                  <c:v>135990</c:v>
                </c:pt>
                <c:pt idx="1467">
                  <c:v>173999</c:v>
                </c:pt>
                <c:pt idx="1468">
                  <c:v>66592</c:v>
                </c:pt>
                <c:pt idx="1469">
                  <c:v>102990</c:v>
                </c:pt>
                <c:pt idx="1470">
                  <c:v>86999</c:v>
                </c:pt>
                <c:pt idx="1471">
                  <c:v>102298</c:v>
                </c:pt>
                <c:pt idx="1472">
                  <c:v>122990</c:v>
                </c:pt>
                <c:pt idx="1473">
                  <c:v>84999</c:v>
                </c:pt>
                <c:pt idx="1474">
                  <c:v>109990</c:v>
                </c:pt>
                <c:pt idx="1475">
                  <c:v>114990</c:v>
                </c:pt>
                <c:pt idx="1476">
                  <c:v>133990</c:v>
                </c:pt>
                <c:pt idx="1477">
                  <c:v>82499</c:v>
                </c:pt>
                <c:pt idx="1478">
                  <c:v>104999</c:v>
                </c:pt>
                <c:pt idx="1479">
                  <c:v>79999</c:v>
                </c:pt>
                <c:pt idx="1480">
                  <c:v>32990</c:v>
                </c:pt>
                <c:pt idx="1481">
                  <c:v>27100</c:v>
                </c:pt>
                <c:pt idx="1482">
                  <c:v>37990</c:v>
                </c:pt>
                <c:pt idx="1483">
                  <c:v>41890</c:v>
                </c:pt>
                <c:pt idx="1484">
                  <c:v>42990</c:v>
                </c:pt>
                <c:pt idx="1485">
                  <c:v>59990</c:v>
                </c:pt>
                <c:pt idx="1486">
                  <c:v>75990</c:v>
                </c:pt>
                <c:pt idx="1487">
                  <c:v>83500</c:v>
                </c:pt>
                <c:pt idx="1488">
                  <c:v>21591</c:v>
                </c:pt>
                <c:pt idx="1489">
                  <c:v>23999</c:v>
                </c:pt>
                <c:pt idx="1490">
                  <c:v>77966</c:v>
                </c:pt>
                <c:pt idx="1491">
                  <c:v>39990</c:v>
                </c:pt>
                <c:pt idx="1492">
                  <c:v>47590</c:v>
                </c:pt>
                <c:pt idx="1493">
                  <c:v>189990</c:v>
                </c:pt>
                <c:pt idx="1494">
                  <c:v>11990</c:v>
                </c:pt>
                <c:pt idx="1495">
                  <c:v>35990</c:v>
                </c:pt>
                <c:pt idx="1496">
                  <c:v>40500</c:v>
                </c:pt>
                <c:pt idx="1497">
                  <c:v>77990</c:v>
                </c:pt>
                <c:pt idx="1498">
                  <c:v>66190</c:v>
                </c:pt>
                <c:pt idx="1499">
                  <c:v>28990</c:v>
                </c:pt>
                <c:pt idx="1500">
                  <c:v>86990</c:v>
                </c:pt>
                <c:pt idx="1501">
                  <c:v>86890</c:v>
                </c:pt>
                <c:pt idx="1502">
                  <c:v>28990</c:v>
                </c:pt>
                <c:pt idx="1503">
                  <c:v>46990</c:v>
                </c:pt>
                <c:pt idx="1504">
                  <c:v>39290</c:v>
                </c:pt>
                <c:pt idx="1505">
                  <c:v>76990</c:v>
                </c:pt>
                <c:pt idx="1506">
                  <c:v>82999</c:v>
                </c:pt>
                <c:pt idx="1507">
                  <c:v>53490</c:v>
                </c:pt>
                <c:pt idx="1508">
                  <c:v>25490</c:v>
                </c:pt>
                <c:pt idx="1509">
                  <c:v>39990</c:v>
                </c:pt>
                <c:pt idx="1510">
                  <c:v>23999</c:v>
                </c:pt>
                <c:pt idx="1511">
                  <c:v>49890</c:v>
                </c:pt>
                <c:pt idx="1512">
                  <c:v>23990</c:v>
                </c:pt>
                <c:pt idx="1513">
                  <c:v>63990</c:v>
                </c:pt>
                <c:pt idx="1514">
                  <c:v>16990</c:v>
                </c:pt>
                <c:pt idx="1515">
                  <c:v>48853</c:v>
                </c:pt>
                <c:pt idx="1516">
                  <c:v>62890</c:v>
                </c:pt>
                <c:pt idx="1517">
                  <c:v>50990</c:v>
                </c:pt>
                <c:pt idx="1518">
                  <c:v>50990</c:v>
                </c:pt>
                <c:pt idx="1519">
                  <c:v>80999</c:v>
                </c:pt>
                <c:pt idx="1520">
                  <c:v>87999</c:v>
                </c:pt>
                <c:pt idx="1521">
                  <c:v>69990</c:v>
                </c:pt>
                <c:pt idx="1522">
                  <c:v>72990</c:v>
                </c:pt>
                <c:pt idx="1523">
                  <c:v>91000</c:v>
                </c:pt>
                <c:pt idx="1524">
                  <c:v>68499</c:v>
                </c:pt>
                <c:pt idx="1525">
                  <c:v>43990</c:v>
                </c:pt>
                <c:pt idx="1526">
                  <c:v>60490</c:v>
                </c:pt>
                <c:pt idx="1527">
                  <c:v>68999</c:v>
                </c:pt>
                <c:pt idx="1528">
                  <c:v>84990</c:v>
                </c:pt>
                <c:pt idx="1529">
                  <c:v>72990</c:v>
                </c:pt>
                <c:pt idx="1530">
                  <c:v>67990</c:v>
                </c:pt>
                <c:pt idx="1531">
                  <c:v>101990</c:v>
                </c:pt>
                <c:pt idx="1532">
                  <c:v>49899</c:v>
                </c:pt>
                <c:pt idx="1533">
                  <c:v>53000</c:v>
                </c:pt>
                <c:pt idx="1534">
                  <c:v>42990</c:v>
                </c:pt>
                <c:pt idx="1535">
                  <c:v>149990</c:v>
                </c:pt>
                <c:pt idx="1536">
                  <c:v>85990</c:v>
                </c:pt>
                <c:pt idx="1537">
                  <c:v>31990</c:v>
                </c:pt>
                <c:pt idx="1538">
                  <c:v>124319</c:v>
                </c:pt>
                <c:pt idx="1539">
                  <c:v>42990</c:v>
                </c:pt>
                <c:pt idx="1540">
                  <c:v>42670</c:v>
                </c:pt>
                <c:pt idx="1541">
                  <c:v>47810</c:v>
                </c:pt>
                <c:pt idx="1542">
                  <c:v>42990</c:v>
                </c:pt>
                <c:pt idx="1543">
                  <c:v>367905</c:v>
                </c:pt>
                <c:pt idx="1544">
                  <c:v>35990</c:v>
                </c:pt>
                <c:pt idx="1545">
                  <c:v>30400</c:v>
                </c:pt>
                <c:pt idx="1546">
                  <c:v>138590</c:v>
                </c:pt>
                <c:pt idx="1547">
                  <c:v>28490</c:v>
                </c:pt>
                <c:pt idx="1548">
                  <c:v>261990</c:v>
                </c:pt>
                <c:pt idx="1549">
                  <c:v>53657</c:v>
                </c:pt>
                <c:pt idx="1550">
                  <c:v>193990</c:v>
                </c:pt>
                <c:pt idx="1551">
                  <c:v>67125</c:v>
                </c:pt>
                <c:pt idx="1552">
                  <c:v>23990</c:v>
                </c:pt>
                <c:pt idx="1553">
                  <c:v>105441</c:v>
                </c:pt>
                <c:pt idx="1554">
                  <c:v>137032</c:v>
                </c:pt>
                <c:pt idx="1555">
                  <c:v>31980</c:v>
                </c:pt>
                <c:pt idx="1556">
                  <c:v>123518</c:v>
                </c:pt>
                <c:pt idx="1557">
                  <c:v>56990</c:v>
                </c:pt>
                <c:pt idx="1558">
                  <c:v>21990</c:v>
                </c:pt>
                <c:pt idx="1559">
                  <c:v>17500</c:v>
                </c:pt>
                <c:pt idx="1560">
                  <c:v>28990</c:v>
                </c:pt>
                <c:pt idx="1561">
                  <c:v>71999</c:v>
                </c:pt>
                <c:pt idx="1562">
                  <c:v>196298</c:v>
                </c:pt>
                <c:pt idx="1563">
                  <c:v>22390</c:v>
                </c:pt>
                <c:pt idx="1564">
                  <c:v>64990</c:v>
                </c:pt>
                <c:pt idx="1565">
                  <c:v>33990</c:v>
                </c:pt>
                <c:pt idx="1566">
                  <c:v>47999</c:v>
                </c:pt>
                <c:pt idx="1567">
                  <c:v>31593</c:v>
                </c:pt>
                <c:pt idx="1568">
                  <c:v>30990</c:v>
                </c:pt>
                <c:pt idx="1569">
                  <c:v>84990</c:v>
                </c:pt>
                <c:pt idx="1570">
                  <c:v>30990</c:v>
                </c:pt>
                <c:pt idx="1571">
                  <c:v>92990</c:v>
                </c:pt>
                <c:pt idx="1572">
                  <c:v>197635</c:v>
                </c:pt>
                <c:pt idx="1573">
                  <c:v>57990</c:v>
                </c:pt>
                <c:pt idx="1574">
                  <c:v>259249</c:v>
                </c:pt>
                <c:pt idx="1575">
                  <c:v>42990</c:v>
                </c:pt>
                <c:pt idx="1576">
                  <c:v>16990</c:v>
                </c:pt>
                <c:pt idx="1577">
                  <c:v>21564</c:v>
                </c:pt>
                <c:pt idx="1578">
                  <c:v>18990</c:v>
                </c:pt>
                <c:pt idx="1579">
                  <c:v>18990</c:v>
                </c:pt>
                <c:pt idx="1580">
                  <c:v>42003</c:v>
                </c:pt>
                <c:pt idx="1581">
                  <c:v>36990</c:v>
                </c:pt>
                <c:pt idx="1582">
                  <c:v>64999</c:v>
                </c:pt>
                <c:pt idx="1583">
                  <c:v>64340</c:v>
                </c:pt>
                <c:pt idx="1584">
                  <c:v>239999</c:v>
                </c:pt>
                <c:pt idx="1585">
                  <c:v>23999</c:v>
                </c:pt>
                <c:pt idx="1586">
                  <c:v>26990</c:v>
                </c:pt>
                <c:pt idx="1587">
                  <c:v>41700</c:v>
                </c:pt>
                <c:pt idx="1588">
                  <c:v>51490</c:v>
                </c:pt>
                <c:pt idx="1589">
                  <c:v>78190</c:v>
                </c:pt>
                <c:pt idx="1590">
                  <c:v>28990</c:v>
                </c:pt>
                <c:pt idx="1591">
                  <c:v>79000</c:v>
                </c:pt>
                <c:pt idx="1592">
                  <c:v>21990</c:v>
                </c:pt>
                <c:pt idx="1593">
                  <c:v>30490</c:v>
                </c:pt>
                <c:pt idx="1594">
                  <c:v>68490</c:v>
                </c:pt>
                <c:pt idx="1595">
                  <c:v>179235</c:v>
                </c:pt>
                <c:pt idx="1596">
                  <c:v>36990</c:v>
                </c:pt>
                <c:pt idx="1597">
                  <c:v>92990</c:v>
                </c:pt>
                <c:pt idx="1598">
                  <c:v>174990</c:v>
                </c:pt>
                <c:pt idx="1599">
                  <c:v>118000</c:v>
                </c:pt>
                <c:pt idx="1600">
                  <c:v>108990</c:v>
                </c:pt>
                <c:pt idx="1601">
                  <c:v>142490</c:v>
                </c:pt>
                <c:pt idx="1602">
                  <c:v>109199</c:v>
                </c:pt>
                <c:pt idx="1603">
                  <c:v>31990</c:v>
                </c:pt>
                <c:pt idx="1604">
                  <c:v>36990</c:v>
                </c:pt>
                <c:pt idx="1605">
                  <c:v>229990</c:v>
                </c:pt>
                <c:pt idx="1606">
                  <c:v>51990</c:v>
                </c:pt>
                <c:pt idx="1607">
                  <c:v>159990</c:v>
                </c:pt>
                <c:pt idx="1608">
                  <c:v>144990</c:v>
                </c:pt>
                <c:pt idx="1609">
                  <c:v>56900</c:v>
                </c:pt>
                <c:pt idx="1610">
                  <c:v>67999</c:v>
                </c:pt>
                <c:pt idx="1611">
                  <c:v>157999</c:v>
                </c:pt>
                <c:pt idx="1612">
                  <c:v>93990</c:v>
                </c:pt>
                <c:pt idx="1613">
                  <c:v>49990</c:v>
                </c:pt>
                <c:pt idx="1614">
                  <c:v>69990</c:v>
                </c:pt>
                <c:pt idx="1615">
                  <c:v>98991</c:v>
                </c:pt>
                <c:pt idx="1616">
                  <c:v>129999</c:v>
                </c:pt>
                <c:pt idx="1617">
                  <c:v>161991</c:v>
                </c:pt>
                <c:pt idx="1618">
                  <c:v>114900</c:v>
                </c:pt>
                <c:pt idx="1619">
                  <c:v>159990</c:v>
                </c:pt>
                <c:pt idx="1620">
                  <c:v>166220</c:v>
                </c:pt>
                <c:pt idx="1621">
                  <c:v>99990</c:v>
                </c:pt>
                <c:pt idx="1622">
                  <c:v>268990</c:v>
                </c:pt>
                <c:pt idx="1623">
                  <c:v>121990</c:v>
                </c:pt>
                <c:pt idx="1624">
                  <c:v>210990</c:v>
                </c:pt>
                <c:pt idx="1625">
                  <c:v>18999</c:v>
                </c:pt>
                <c:pt idx="1626">
                  <c:v>69990</c:v>
                </c:pt>
                <c:pt idx="1627">
                  <c:v>69990</c:v>
                </c:pt>
                <c:pt idx="1628">
                  <c:v>31330</c:v>
                </c:pt>
                <c:pt idx="1629">
                  <c:v>69999</c:v>
                </c:pt>
                <c:pt idx="1630">
                  <c:v>118990</c:v>
                </c:pt>
                <c:pt idx="1631">
                  <c:v>158812</c:v>
                </c:pt>
                <c:pt idx="1632">
                  <c:v>69990</c:v>
                </c:pt>
                <c:pt idx="1633">
                  <c:v>141990</c:v>
                </c:pt>
                <c:pt idx="1634">
                  <c:v>45990</c:v>
                </c:pt>
                <c:pt idx="1635">
                  <c:v>50490</c:v>
                </c:pt>
                <c:pt idx="1636">
                  <c:v>52990</c:v>
                </c:pt>
                <c:pt idx="1637">
                  <c:v>396990</c:v>
                </c:pt>
                <c:pt idx="1638">
                  <c:v>66990</c:v>
                </c:pt>
                <c:pt idx="1639">
                  <c:v>35590</c:v>
                </c:pt>
                <c:pt idx="1640">
                  <c:v>69990</c:v>
                </c:pt>
                <c:pt idx="1641">
                  <c:v>110990</c:v>
                </c:pt>
                <c:pt idx="1642">
                  <c:v>211990</c:v>
                </c:pt>
                <c:pt idx="1643">
                  <c:v>70990</c:v>
                </c:pt>
                <c:pt idx="1644">
                  <c:v>94990</c:v>
                </c:pt>
                <c:pt idx="1645">
                  <c:v>123905</c:v>
                </c:pt>
                <c:pt idx="1646">
                  <c:v>12990</c:v>
                </c:pt>
                <c:pt idx="1647">
                  <c:v>15790</c:v>
                </c:pt>
                <c:pt idx="1648">
                  <c:v>80999</c:v>
                </c:pt>
                <c:pt idx="1649">
                  <c:v>115736</c:v>
                </c:pt>
                <c:pt idx="1650">
                  <c:v>144990</c:v>
                </c:pt>
                <c:pt idx="1651">
                  <c:v>49299</c:v>
                </c:pt>
                <c:pt idx="1652">
                  <c:v>120990</c:v>
                </c:pt>
                <c:pt idx="1653">
                  <c:v>26990</c:v>
                </c:pt>
                <c:pt idx="1654">
                  <c:v>68490</c:v>
                </c:pt>
                <c:pt idx="1655">
                  <c:v>44990</c:v>
                </c:pt>
                <c:pt idx="1656">
                  <c:v>232990</c:v>
                </c:pt>
                <c:pt idx="1657">
                  <c:v>49968</c:v>
                </c:pt>
                <c:pt idx="1658">
                  <c:v>87990</c:v>
                </c:pt>
                <c:pt idx="1659">
                  <c:v>98820</c:v>
                </c:pt>
                <c:pt idx="1660">
                  <c:v>277411</c:v>
                </c:pt>
                <c:pt idx="1661">
                  <c:v>55990</c:v>
                </c:pt>
                <c:pt idx="1662">
                  <c:v>219990</c:v>
                </c:pt>
                <c:pt idx="1663">
                  <c:v>201288</c:v>
                </c:pt>
                <c:pt idx="1664">
                  <c:v>180093</c:v>
                </c:pt>
                <c:pt idx="1665">
                  <c:v>31890</c:v>
                </c:pt>
                <c:pt idx="1666">
                  <c:v>40980</c:v>
                </c:pt>
                <c:pt idx="1667">
                  <c:v>64999</c:v>
                </c:pt>
                <c:pt idx="1668">
                  <c:v>44990</c:v>
                </c:pt>
                <c:pt idx="1669">
                  <c:v>62990</c:v>
                </c:pt>
                <c:pt idx="1670">
                  <c:v>297000</c:v>
                </c:pt>
                <c:pt idx="1671">
                  <c:v>165462</c:v>
                </c:pt>
                <c:pt idx="1672">
                  <c:v>76000</c:v>
                </c:pt>
                <c:pt idx="1673">
                  <c:v>115990</c:v>
                </c:pt>
                <c:pt idx="1674">
                  <c:v>207990</c:v>
                </c:pt>
                <c:pt idx="1675">
                  <c:v>66990</c:v>
                </c:pt>
                <c:pt idx="1676">
                  <c:v>154990</c:v>
                </c:pt>
                <c:pt idx="1677">
                  <c:v>136999</c:v>
                </c:pt>
                <c:pt idx="1678">
                  <c:v>361990</c:v>
                </c:pt>
                <c:pt idx="1679">
                  <c:v>163660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50-432F-BA24-949BC228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4"/>
        <c:overlap val="-27"/>
        <c:axId val="1327169543"/>
        <c:axId val="1327171591"/>
      </c:barChart>
      <c:catAx>
        <c:axId val="1327169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71591"/>
        <c:crosses val="autoZero"/>
        <c:auto val="1"/>
        <c:lblAlgn val="ctr"/>
        <c:lblOffset val="100"/>
        <c:noMultiLvlLbl val="0"/>
      </c:catAx>
      <c:valAx>
        <c:axId val="132717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\ ?/?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169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2</xdr:row>
      <xdr:rowOff>104775</xdr:rowOff>
    </xdr:from>
    <xdr:to>
      <xdr:col>13</xdr:col>
      <xdr:colOff>76200</xdr:colOff>
      <xdr:row>16</xdr:row>
      <xdr:rowOff>85725</xdr:rowOff>
    </xdr:to>
    <xdr:graphicFrame macro="">
      <xdr:nvGraphicFramePr>
        <xdr:cNvPr id="2" name="Chart 4" descr="The prices are divided based on the number of reviews" title="Rating Vs Price">
          <a:extLst>
            <a:ext uri="{FF2B5EF4-FFF2-40B4-BE49-F238E27FC236}">
              <a16:creationId xmlns:a16="http://schemas.microsoft.com/office/drawing/2014/main" id="{6AD31595-F724-4DFD-88CD-30C802C25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2.971444907409" createdVersion="8" refreshedVersion="8" minRefreshableVersion="3" recordCount="1680" xr:uid="{0BC77427-C430-4FE6-9952-332D2AEBCAF7}">
  <cacheSource type="worksheet">
    <worksheetSource ref="A1:S1681" sheet="Cleaned Laptop Dataset"/>
  </cacheSource>
  <cacheFields count="19">
    <cacheField name="Model Name (Fixed)" numFmtId="0">
      <sharedItems/>
    </cacheField>
    <cacheField name="Model Name" numFmtId="0">
      <sharedItems/>
    </cacheField>
    <cacheField name="Price" numFmtId="2">
      <sharedItems containsSemiMixedTypes="0" containsString="0" containsNumber="1" containsInteger="1" minValue="9499" maxValue="396990" count="865">
        <n v="118990"/>
        <n v="191990"/>
        <n v="58890"/>
        <n v="88990"/>
        <n v="119990"/>
        <n v="229990"/>
        <n v="38990"/>
        <n v="150990"/>
        <n v="110990"/>
        <n v="99990"/>
        <n v="279990"/>
        <n v="257454"/>
        <n v="133051"/>
        <n v="87490"/>
        <n v="159990"/>
        <n v="55990"/>
        <n v="42900"/>
        <n v="201990"/>
        <n v="182990"/>
        <n v="136990"/>
        <n v="81889"/>
        <n v="54990"/>
        <n v="131990"/>
        <n v="120499"/>
        <n v="91190"/>
        <n v="121990"/>
        <n v="154990"/>
        <n v="71990"/>
        <n v="349900"/>
        <n v="209990"/>
        <n v="72990"/>
        <n v="80150"/>
        <n v="90000"/>
        <n v="105400"/>
        <n v="61378"/>
        <n v="202389"/>
        <n v="376627"/>
        <n v="141900"/>
        <n v="161990"/>
        <n v="202990"/>
        <n v="126990"/>
        <n v="41711"/>
        <n v="51990"/>
        <n v="135000"/>
        <n v="146250"/>
        <n v="94989"/>
        <n v="67990"/>
        <n v="36990"/>
        <n v="122990"/>
        <n v="138990"/>
        <n v="150699"/>
        <n v="329990"/>
        <n v="93190"/>
        <n v="168990"/>
        <n v="172090"/>
        <n v="73990"/>
        <n v="30980"/>
        <n v="199900"/>
        <n v="289900"/>
        <n v="189900"/>
        <n v="76999"/>
        <n v="57005"/>
        <n v="62990"/>
        <n v="72000"/>
        <n v="230503"/>
        <n v="285490"/>
        <n v="89990"/>
        <n v="34700"/>
        <n v="139990"/>
        <n v="201288"/>
        <n v="65499"/>
        <n v="42690"/>
        <n v="112430"/>
        <n v="65570"/>
        <n v="269990"/>
        <n v="87999"/>
        <n v="192990"/>
        <n v="133000"/>
        <n v="80500"/>
        <n v="149837"/>
        <n v="189183"/>
        <n v="362990"/>
        <n v="86650"/>
        <n v="126980"/>
        <n v="239990"/>
        <n v="198114"/>
        <n v="232999"/>
        <n v="178900"/>
        <n v="103490"/>
        <n v="128000"/>
        <n v="261990"/>
        <n v="33900"/>
        <n v="214903"/>
        <n v="182341"/>
        <n v="69890"/>
        <n v="125900"/>
        <n v="304980"/>
        <n v="169900"/>
        <n v="224990"/>
        <n v="109990"/>
        <n v="230694"/>
        <n v="84540"/>
        <n v="121299"/>
        <n v="279890"/>
        <n v="94990"/>
        <n v="179990"/>
        <n v="77990"/>
        <n v="69990"/>
        <n v="70990"/>
        <n v="75990"/>
        <n v="147990"/>
        <n v="172990"/>
        <n v="162990"/>
        <n v="107990"/>
        <n v="39990"/>
        <n v="189990"/>
        <n v="144990"/>
        <n v="69665"/>
        <n v="127796"/>
        <n v="248490"/>
        <n v="149990"/>
        <n v="74990"/>
        <n v="184008"/>
        <n v="79990"/>
        <n v="47990"/>
        <n v="50990"/>
        <n v="34780"/>
        <n v="103817"/>
        <n v="127990"/>
        <n v="105990"/>
        <n v="104700"/>
        <n v="39940"/>
        <n v="57290"/>
        <n v="33990"/>
        <n v="72999"/>
        <n v="125990"/>
        <n v="144900"/>
        <n v="134900"/>
        <n v="114900"/>
        <n v="95600"/>
        <n v="113900"/>
        <n v="126890"/>
        <n v="67490"/>
        <n v="142991"/>
        <n v="142113"/>
        <n v="133999"/>
        <n v="112999"/>
        <n v="32990"/>
        <n v="57999"/>
        <n v="134990"/>
        <n v="119900"/>
        <n v="95990"/>
        <n v="33490"/>
        <n v="113490"/>
        <n v="153990"/>
        <n v="41990"/>
        <n v="105871"/>
        <n v="98735"/>
        <n v="65990"/>
        <n v="64990"/>
        <n v="37490"/>
        <n v="121799"/>
        <n v="152499"/>
        <n v="53990"/>
        <n v="53999"/>
        <n v="104990"/>
        <n v="130994"/>
        <n v="195990"/>
        <n v="359990"/>
        <n v="45990"/>
        <n v="140131"/>
        <n v="108990"/>
        <n v="76900"/>
        <n v="172791"/>
        <n v="156999"/>
        <n v="87990"/>
        <n v="44990"/>
        <n v="51490"/>
        <n v="98820"/>
        <n v="117990"/>
        <n v="42990"/>
        <n v="72190"/>
        <n v="59790"/>
        <n v="92990"/>
        <n v="39490"/>
        <n v="64999"/>
        <n v="379990"/>
        <n v="92490"/>
        <n v="69999"/>
        <n v="56990"/>
        <n v="58400"/>
        <n v="84990"/>
        <n v="180990"/>
        <n v="176323"/>
        <n v="63990"/>
        <n v="58999"/>
        <n v="59900"/>
        <n v="364990"/>
        <n v="67999"/>
        <n v="114990"/>
        <n v="42290"/>
        <n v="98999"/>
        <n v="52699"/>
        <n v="58990"/>
        <n v="62099"/>
        <n v="106628"/>
        <n v="124990"/>
        <n v="85990"/>
        <n v="97190"/>
        <n v="127980"/>
        <n v="66990"/>
        <n v="92190"/>
        <n v="63999"/>
        <n v="80990"/>
        <n v="102999"/>
        <n v="97990"/>
        <n v="81906"/>
        <n v="87056"/>
        <n v="64900"/>
        <n v="68470"/>
        <n v="107873"/>
        <n v="231336"/>
        <n v="62999"/>
        <n v="80004"/>
        <n v="141999"/>
        <n v="66329"/>
        <n v="105000"/>
        <n v="71040"/>
        <n v="35699"/>
        <n v="164990"/>
        <n v="115990"/>
        <n v="96500"/>
        <n v="95490"/>
        <n v="36690"/>
        <n v="94249"/>
        <n v="96990"/>
        <n v="61990"/>
        <n v="76990"/>
        <n v="73999"/>
        <n v="116999"/>
        <n v="81990"/>
        <n v="63900"/>
        <n v="78990"/>
        <n v="73499"/>
        <n v="54490"/>
        <n v="41999"/>
        <n v="62490"/>
        <n v="49990"/>
        <n v="143900"/>
        <n v="146940"/>
        <n v="74727"/>
        <n v="73900"/>
        <n v="84490"/>
        <n v="32349"/>
        <n v="83990"/>
        <n v="68990"/>
        <n v="59990"/>
        <n v="59988"/>
        <n v="29924"/>
        <n v="113990"/>
        <n v="44441"/>
        <n v="97040"/>
        <n v="86190"/>
        <n v="74999"/>
        <n v="67500"/>
        <n v="71799"/>
        <n v="57990"/>
        <n v="59899"/>
        <n v="148500"/>
        <n v="80490"/>
        <n v="52950"/>
        <n v="23990"/>
        <n v="76000"/>
        <n v="77450"/>
        <n v="57056"/>
        <n v="45999"/>
        <n v="30400"/>
        <n v="153890"/>
        <n v="90990"/>
        <n v="96390"/>
        <n v="89999"/>
        <n v="110190"/>
        <n v="68500"/>
        <n v="69590"/>
        <n v="108000"/>
        <n v="55999"/>
        <n v="66900"/>
        <n v="113500"/>
        <n v="59037"/>
        <n v="88595"/>
        <n v="46150"/>
        <n v="57590"/>
        <n v="61499"/>
        <n v="115654"/>
        <n v="80999"/>
        <n v="56690"/>
        <n v="51000"/>
        <n v="111999"/>
        <n v="47960"/>
        <n v="82990"/>
        <n v="69490"/>
        <n v="154391"/>
        <n v="100999"/>
        <n v="56040"/>
        <n v="86390"/>
        <n v="99980"/>
        <n v="27999"/>
        <n v="84780"/>
        <n v="70989"/>
        <n v="111869"/>
        <n v="46490"/>
        <n v="42999"/>
        <n v="123000"/>
        <n v="27990"/>
        <n v="48990"/>
        <n v="46990"/>
        <n v="75190"/>
        <n v="29990"/>
        <n v="28990"/>
        <n v="52990"/>
        <n v="60890"/>
        <n v="67800"/>
        <n v="44900"/>
        <n v="43900"/>
        <n v="55470"/>
        <n v="57500"/>
        <n v="50090"/>
        <n v="29989"/>
        <n v="35690"/>
        <n v="49999"/>
        <n v="68690"/>
        <n v="91990"/>
        <n v="43490"/>
        <n v="40799"/>
        <n v="35871"/>
        <n v="92750"/>
        <n v="78478"/>
        <n v="30990"/>
        <n v="77635"/>
        <n v="64490"/>
        <n v="50962"/>
        <n v="159999"/>
        <n v="129999"/>
        <n v="78999"/>
        <n v="52390"/>
        <n v="69190"/>
        <n v="43000"/>
        <n v="41000"/>
        <n v="34990"/>
        <n v="51999"/>
        <n v="101990"/>
        <n v="59485"/>
        <n v="43990"/>
        <n v="98000"/>
        <n v="31990"/>
        <n v="57400"/>
        <n v="35990"/>
        <n v="68790"/>
        <n v="67900"/>
        <n v="67890"/>
        <n v="68000"/>
        <n v="47890"/>
        <n v="40999"/>
        <n v="100170"/>
        <n v="75142"/>
        <n v="60990"/>
        <n v="87216"/>
        <n v="57560"/>
        <n v="200773"/>
        <n v="47030"/>
        <n v="56130"/>
        <n v="37880"/>
        <n v="104900"/>
        <n v="50999"/>
        <n v="68222"/>
        <n v="65536"/>
        <n v="64671"/>
        <n v="48999"/>
        <n v="33740"/>
        <n v="31790"/>
        <n v="93999"/>
        <n v="270000"/>
        <n v="47999"/>
        <n v="37990"/>
        <n v="39890"/>
        <n v="55194"/>
        <n v="64800"/>
        <n v="58500"/>
        <n v="78286"/>
        <n v="46950"/>
        <n v="37999"/>
        <n v="87100"/>
        <n v="52750"/>
        <n v="46900"/>
        <n v="66068"/>
        <n v="61012"/>
        <n v="38999"/>
        <n v="31499"/>
        <n v="104890"/>
        <n v="56490"/>
        <n v="71590"/>
        <n v="61999"/>
        <n v="54500"/>
        <n v="69099"/>
        <n v="24990"/>
        <n v="32356"/>
        <n v="40990"/>
        <n v="39800"/>
        <n v="59789"/>
        <n v="81999"/>
        <n v="34400"/>
        <n v="35900"/>
        <n v="70490"/>
        <n v="33999"/>
        <n v="35999"/>
        <n v="41500"/>
        <n v="50989"/>
        <n v="41988"/>
        <n v="34249"/>
        <n v="35929"/>
        <n v="45090"/>
        <n v="28341"/>
        <n v="61890"/>
        <n v="155990"/>
        <n v="107290"/>
        <n v="39999"/>
        <n v="17990"/>
        <n v="74989"/>
        <n v="37790"/>
        <n v="53700"/>
        <n v="178590"/>
        <n v="55490"/>
        <n v="45249"/>
        <n v="63490"/>
        <n v="39500"/>
        <n v="60790"/>
        <n v="58290"/>
        <n v="53890"/>
        <n v="36740"/>
        <n v="47490"/>
        <n v="38980"/>
        <n v="47000"/>
        <n v="40000"/>
        <n v="52850"/>
        <n v="42000"/>
        <n v="68849"/>
        <n v="19989"/>
        <n v="36999"/>
        <n v="108900"/>
        <n v="110160"/>
        <n v="32785"/>
        <n v="92999"/>
        <n v="34999"/>
        <n v="275190"/>
        <n v="31999"/>
        <n v="66456"/>
        <n v="58190"/>
        <n v="124999"/>
        <n v="59999"/>
        <n v="68499"/>
        <n v="55499"/>
        <n v="75499"/>
        <n v="174848"/>
        <n v="50000"/>
        <n v="27490"/>
        <n v="27300"/>
        <n v="67590"/>
        <n v="184990"/>
        <n v="37450"/>
        <n v="49980"/>
        <n v="36590"/>
        <n v="44000"/>
        <n v="51290"/>
        <n v="63808"/>
        <n v="63034"/>
        <n v="53437"/>
        <n v="77817"/>
        <n v="81246"/>
        <n v="30100"/>
        <n v="66999"/>
        <n v="33700"/>
        <n v="38910"/>
        <n v="83890"/>
        <n v="58489"/>
        <n v="123199"/>
        <n v="88999"/>
        <n v="44999"/>
        <n v="39711"/>
        <n v="93990"/>
        <n v="29098"/>
        <n v="33749"/>
        <n v="15999"/>
        <n v="23999"/>
        <n v="32490"/>
        <n v="112990"/>
        <n v="99999"/>
        <n v="65999"/>
        <n v="37700"/>
        <n v="34200"/>
        <n v="40490"/>
        <n v="35750"/>
        <n v="120190"/>
        <n v="30950"/>
        <n v="213990"/>
        <n v="70999"/>
        <n v="30999"/>
        <n v="39253"/>
        <n v="63331"/>
        <n v="41980"/>
        <n v="43325"/>
        <n v="86700"/>
        <n v="144711"/>
        <n v="74700"/>
        <n v="78000"/>
        <n v="61500"/>
        <n v="30001"/>
        <n v="68890"/>
        <n v="36382"/>
        <n v="31349"/>
        <n v="110862"/>
        <n v="126305"/>
        <n v="125190"/>
        <n v="69500"/>
        <n v="19999"/>
        <n v="47690"/>
        <n v="132871"/>
        <n v="26999"/>
        <n v="81690"/>
        <n v="60500"/>
        <n v="45290"/>
        <n v="52999"/>
        <n v="30970"/>
        <n v="28999"/>
        <n v="51300"/>
        <n v="41690"/>
        <n v="84999"/>
        <n v="25990"/>
        <n v="66972"/>
        <n v="54790"/>
        <n v="44991"/>
        <n v="31750"/>
        <n v="48980"/>
        <n v="73190"/>
        <n v="39690"/>
        <n v="28600"/>
        <n v="22746"/>
        <n v="56538"/>
        <n v="47790"/>
        <n v="30900"/>
        <n v="62020"/>
        <n v="77490"/>
        <n v="16806"/>
        <n v="43058"/>
        <n v="35616"/>
        <n v="70100"/>
        <n v="62000"/>
        <n v="46366"/>
        <n v="67474"/>
        <n v="67496"/>
        <n v="80190"/>
        <n v="57900"/>
        <n v="55190"/>
        <n v="73800"/>
        <n v="80660"/>
        <n v="32999"/>
        <n v="28490"/>
        <n v="24999"/>
        <n v="33400"/>
        <n v="34650"/>
        <n v="32850"/>
        <n v="30499"/>
        <n v="87390"/>
        <n v="54900"/>
        <n v="46999"/>
        <n v="34000"/>
        <n v="127590"/>
        <n v="60490"/>
        <n v="79690"/>
        <n v="60989"/>
        <n v="77411"/>
        <n v="42190"/>
        <n v="29680"/>
        <n v="25999"/>
        <n v="38900"/>
        <n v="47499"/>
        <n v="44528"/>
        <n v="31490"/>
        <n v="34100"/>
        <n v="32790"/>
        <n v="28900"/>
        <n v="34565"/>
        <n v="151688"/>
        <n v="76519"/>
        <n v="60628"/>
        <n v="45500"/>
        <n v="180000"/>
        <n v="46190"/>
        <n v="28330"/>
        <n v="35499"/>
        <n v="103483"/>
        <n v="34500"/>
        <n v="117635"/>
        <n v="26890"/>
        <n v="28500"/>
        <n v="115500"/>
        <n v="61202"/>
        <n v="37399"/>
        <n v="105783"/>
        <n v="34490"/>
        <n v="33800"/>
        <n v="48800"/>
        <n v="26900"/>
        <n v="61490"/>
        <n v="24800"/>
        <n v="27225"/>
        <n v="158500"/>
        <n v="40190"/>
        <n v="104999"/>
        <n v="21490"/>
        <n v="27790"/>
        <n v="36190"/>
        <n v="107850"/>
        <n v="61654"/>
        <n v="49852"/>
        <n v="84950"/>
        <n v="32050"/>
        <n v="23490"/>
        <n v="31996"/>
        <n v="32639"/>
        <n v="74850"/>
        <n v="63175"/>
        <n v="25397"/>
        <n v="309990"/>
        <n v="79924"/>
        <n v="94800"/>
        <n v="51989"/>
        <n v="136000"/>
        <n v="76962"/>
        <n v="77211"/>
        <n v="26990"/>
        <n v="67199"/>
        <n v="46470"/>
        <n v="51400"/>
        <n v="42100"/>
        <n v="143700"/>
        <n v="86990"/>
        <n v="22990"/>
        <n v="46601"/>
        <n v="79900"/>
        <n v="26490"/>
        <n v="244890"/>
        <n v="39989"/>
        <n v="105999"/>
        <n v="19990"/>
        <n v="249990"/>
        <n v="80065"/>
        <n v="16999"/>
        <n v="71490"/>
        <n v="78890"/>
        <n v="28495"/>
        <n v="63475"/>
        <n v="178990"/>
        <n v="159000"/>
        <n v="38960"/>
        <n v="55599"/>
        <n v="20490"/>
        <n v="45890"/>
        <n v="65750"/>
        <n v="35000"/>
        <n v="48499"/>
        <n v="322490"/>
        <n v="60109"/>
        <n v="18307"/>
        <n v="55534"/>
        <n v="89090"/>
        <n v="96999"/>
        <n v="132876"/>
        <n v="48740"/>
        <n v="49490"/>
        <n v="67790"/>
        <n v="75550"/>
        <n v="71999"/>
        <n v="64226"/>
        <n v="40961"/>
        <n v="149216"/>
        <n v="22999"/>
        <n v="70026"/>
        <n v="35274"/>
        <n v="9499"/>
        <n v="38689"/>
        <n v="79550"/>
        <n v="50570"/>
        <n v="38590"/>
        <n v="46390"/>
        <n v="34939"/>
        <n v="98990"/>
        <n v="181990"/>
        <n v="136999"/>
        <n v="51150"/>
        <n v="60999"/>
        <n v="52500"/>
        <n v="24490"/>
        <n v="187074"/>
        <n v="33650"/>
        <n v="30850"/>
        <n v="54999"/>
        <n v="29950"/>
        <n v="29490"/>
        <n v="132990"/>
        <n v="38917"/>
        <n v="88590"/>
        <n v="47700"/>
        <n v="23900"/>
        <n v="86500"/>
        <n v="30016"/>
        <n v="54250"/>
        <n v="119988"/>
        <n v="74890"/>
        <n v="48500"/>
        <n v="15990"/>
        <n v="18990"/>
        <n v="171990"/>
        <n v="55761"/>
        <n v="24190"/>
        <n v="98290"/>
        <n v="77850"/>
        <n v="15871"/>
        <n v="54000"/>
        <n v="24620"/>
        <n v="16490"/>
        <n v="69550"/>
        <n v="230890"/>
        <n v="90240"/>
        <n v="43599"/>
        <n v="33190"/>
        <n v="41420"/>
        <n v="60695"/>
        <n v="386999"/>
        <n v="33390"/>
        <n v="122560"/>
        <n v="33870"/>
        <n v="56999"/>
        <n v="91690"/>
        <n v="64694"/>
        <n v="70426"/>
        <n v="37265"/>
        <n v="163716"/>
        <n v="89264"/>
        <n v="161187"/>
        <n v="52938"/>
        <n v="121999"/>
        <n v="40499"/>
        <n v="30880"/>
        <n v="57890"/>
        <n v="199990"/>
        <n v="72490"/>
        <n v="129990"/>
        <n v="44500"/>
        <n v="146990"/>
        <n v="78190"/>
        <n v="25900"/>
        <n v="167198"/>
        <n v="155399"/>
        <n v="16990"/>
        <n v="148990"/>
        <n v="23005"/>
        <n v="21999"/>
        <n v="18999"/>
        <n v="115390"/>
        <n v="74500"/>
        <n v="285711"/>
        <n v="135990"/>
        <n v="173999"/>
        <n v="66592"/>
        <n v="102990"/>
        <n v="86999"/>
        <n v="102298"/>
        <n v="133990"/>
        <n v="82499"/>
        <n v="79999"/>
        <n v="27100"/>
        <n v="41890"/>
        <n v="83500"/>
        <n v="21591"/>
        <n v="77966"/>
        <n v="47590"/>
        <n v="11990"/>
        <n v="40500"/>
        <n v="66190"/>
        <n v="86890"/>
        <n v="39290"/>
        <n v="82999"/>
        <n v="53490"/>
        <n v="25490"/>
        <n v="49890"/>
        <n v="48853"/>
        <n v="62890"/>
        <n v="91000"/>
        <n v="68999"/>
        <n v="49899"/>
        <n v="53000"/>
        <n v="124319"/>
        <n v="42670"/>
        <n v="47810"/>
        <n v="367905"/>
        <n v="138590"/>
        <n v="53657"/>
        <n v="193990"/>
        <n v="67125"/>
        <n v="105441"/>
        <n v="137032"/>
        <n v="31980"/>
        <n v="123518"/>
        <n v="21990"/>
        <n v="17500"/>
        <n v="196298"/>
        <n v="22390"/>
        <n v="31593"/>
        <n v="197635"/>
        <n v="259249"/>
        <n v="21564"/>
        <n v="42003"/>
        <n v="64340"/>
        <n v="239999"/>
        <n v="41700"/>
        <n v="79000"/>
        <n v="30490"/>
        <n v="68490"/>
        <n v="179235"/>
        <n v="174990"/>
        <n v="118000"/>
        <n v="142490"/>
        <n v="109199"/>
        <n v="56900"/>
        <n v="157999"/>
        <n v="98991"/>
        <n v="161991"/>
        <n v="166220"/>
        <n v="268990"/>
        <n v="210990"/>
        <n v="31330"/>
        <n v="158812"/>
        <n v="141990"/>
        <n v="50490"/>
        <n v="396990"/>
        <n v="35590"/>
        <n v="211990"/>
        <n v="123905"/>
        <n v="12990"/>
        <n v="15790"/>
        <n v="115736"/>
        <n v="49299"/>
        <n v="120990"/>
        <n v="232990"/>
        <n v="49968"/>
        <n v="277411"/>
        <n v="219990"/>
        <n v="180093"/>
        <n v="31890"/>
        <n v="40980"/>
        <n v="297000"/>
        <n v="165462"/>
        <n v="207990"/>
        <n v="361990"/>
        <n v="163660"/>
      </sharedItems>
    </cacheField>
    <cacheField name="No Of Rating" numFmtId="2">
      <sharedItems containsSemiMixedTypes="0" containsString="0" containsNumber="1" containsInteger="1" minValue="1" maxValue="19250"/>
    </cacheField>
    <cacheField name="Rating" numFmtId="12">
      <sharedItems containsSemiMixedTypes="0" containsString="0" containsNumber="1" containsInteger="1" minValue="20" maxValue="100"/>
    </cacheField>
    <cacheField name="Laptop Tier" numFmtId="12">
      <sharedItems count="3">
        <s v="Top-Tier"/>
        <s v="Mid-Tier"/>
        <s v="Low-Tier"/>
      </sharedItems>
    </cacheField>
    <cacheField name="Released" numFmtId="0">
      <sharedItems containsNonDate="0" containsDate="1" containsString="0" containsBlank="1" minDate="2018-11-01T00:00:00" maxDate="2025-05-02T00:00:00"/>
    </cacheField>
    <cacheField name="Full Spec" numFmtId="0">
      <sharedItems/>
    </cacheField>
    <cacheField name="OS" numFmtId="0">
      <sharedItems/>
    </cacheField>
    <cacheField name="Storage" numFmtId="0">
      <sharedItems count="86">
        <s v="16 GB Unified Memory RAM, 256 GB SSD"/>
        <s v="24 GB Unified Memory RAM, 512 GB SSD"/>
        <s v="16 GB DDR4 RAM, 512 GB SSD"/>
        <s v="16 GB LPDDR5X RAM, 1 TB SSD"/>
        <s v="24 GB Unified Memory RAM, 1 TB SSD"/>
        <s v="8 GB DDR4 RAM, 512 GB SSD"/>
        <s v="16 GB DDR5 RAM, 512 GB SSD"/>
        <s v="32 GB LPDDR5X RAM, 1 TB SSD"/>
        <s v="16 GB LPDDR5X RAM, 512 GB SSD"/>
        <s v="48 GB Unified Memory RAM, 512 GB SSD"/>
        <s v="16 GB DDR5 RAM, 1 TB SSD"/>
        <s v="16 GB DDR5 RAM, 256 GB SSD"/>
        <s v="32 GB LPDDR5X RAM, 2 TB SSD"/>
        <s v="16 GB Unified Memory RAM, 1 TB SSD"/>
        <s v="8 GB DDR4 RAM, 1 TB SSD"/>
        <s v="36 GB Unified Memory RAM, 1 TB SSD"/>
        <s v="8 GB DDR5 RAM, 512 GB SSD"/>
        <s v="16 GB LPDDR5 RAM, 512 GB SSD"/>
        <s v="24 GB LPDDR5X RAM, 1 TB SSD"/>
        <s v="32 GB DDR5 RAM, 1 TB SSD"/>
        <s v="8 GB LPDDR5 RAM, 512 GB SSD"/>
        <s v="16 GB LPDDR5 RAM, 1 TB SSD"/>
        <s v="32 GB DDR5 RAM, 2 TB SSD"/>
        <s v="16 GB DDR4 RAM, 1 TB SSD"/>
        <s v="18 GB RAM, 512 GB SSD"/>
        <s v="8 GB RAM, 512 GB SSD"/>
        <s v="18 GB RAM, 1 TB SSD"/>
        <s v="16 GB LPDDR5 RAM, 256 GB SSD"/>
        <s v="16 GB RAM, 512 GB SSD"/>
        <s v="32 GB RAM, 1 TB SSD"/>
        <s v="16 GB LPDDR4X RAM, 512 GB SSD"/>
        <s v="8 GB LPDDR5 RAM, 256 GB SSD"/>
        <s v="16 GB Unified Memory RAM, 512 GB SSD"/>
        <s v="16 GB RAM, 1 TB SSD"/>
        <s v="16 GB DDR4 RAM, 1 TB HDD"/>
        <s v="32 GB LPDDR4X RAM, 1 TB SSD"/>
        <s v="16 GB LPDDR4X RAM, 1 TB SSD"/>
        <s v="8 GB DDR4 RAM, 1 TB HDD"/>
        <s v="8 GB DDR4 RAM, 256 GB SSD"/>
        <s v="8 GB Unified Memory RAM, 512 GB SSD"/>
        <s v="8 GB Unified Memory RAM, 256 GB SSD"/>
        <s v="8 GB RAM, 1 TB SSD"/>
        <s v="8 GB DDR5 RAM, 1 TB SSD"/>
        <s v="16 GB RAM, 256 GB SSD"/>
        <s v="24 GB DDR5 RAM, 512 GB SSD"/>
        <s v="8 GB DDR4 RAM, 2 TB HDD"/>
        <s v="32 GB LPDDR5 RAM, 1 TB SSD"/>
        <s v="8 GB RAM, 256 GB SSD"/>
        <s v="8 GB LPDDR4X RAM, 512 GB SSD"/>
        <s v="4 GB DDR4 RAM, 1 TB HDD"/>
        <s v="36 GB RAM, 512 GB SSD"/>
        <s v="4 GB DDR4 RAM, 512 GB SSD"/>
        <s v="4 GB DDR4 RAM, 256 GB SSD"/>
        <s v="8 GB LPDDR3 RAM, 128 GB SSD"/>
        <s v="24 GB LPDDR5X RAM, 512 GB SSD"/>
        <s v="12 GB DDR5 RAM, 512 GB SSD"/>
        <s v="8 GB LPDDR4X RAM"/>
        <s v="8 GB LPDDR4X RAM, 256 GB SSD"/>
        <s v="32 GB DDR5 RAM, 512 GB SSD"/>
        <s v="8 GB LPDDR4 RAM, 512 GB SSD"/>
        <s v="64 GB DDR5 RAM, 2 TB SSD"/>
        <s v="4 GB DDR3 RAM, 1 TB HDD"/>
        <s v="8 GB LPDDR5 RAM, 512 SSD"/>
        <s v="4 GB LPDDR4X RAM"/>
        <s v="4 GB LPDDR5 RAM"/>
        <s v="8 GB LPDDR5 RAM, 1 TB SSD"/>
        <s v="4 GB LPDDR4 RAM"/>
        <s v="32 GB DDR4 RAM, 1 TB SSD"/>
        <s v="16 GB DDR4 RAM, 512 SSD"/>
        <s v="4 GB LPDDR4X RAM, 128 GB SSD"/>
        <s v="12 GB LPDDR5 RAM, 512 GB SSD"/>
        <s v="4 GB DDR4 RAM, 128 GB SSD"/>
        <s v="4 GB DDR3 RAM, 500 GB HDD"/>
        <s v="4 GB LPDDR4 RAM, 64 GB SSD"/>
        <s v="4 GB DDR4 RAM, 2 TB HDD"/>
        <s v="8 GB DDR4 RAM"/>
        <s v="4 GB LPDDR4X RAM, 64 GB SSD"/>
        <s v="8 GB LPDDR3 RAM, 512 GB SSD"/>
        <s v="8 GB DDR4 RAM, 128 GB SSD"/>
        <s v="16 GB LPDDR4 RAM, 512 GB SSD"/>
        <s v="4 GB DDR3 RAM, 64 GB SSD"/>
        <s v="8 GB LPDDR5 RAM"/>
        <s v="4 GB DDR4 RAM"/>
        <s v="24 GB DDR5 RAM, 1 TB SSD"/>
        <s v="8 GB LPDDR5 RAM, 128 GB SSD"/>
        <s v="4 GB LPDDR4 RAM, 128 GB SSD"/>
      </sharedItems>
    </cacheField>
    <cacheField name="Display" numFmtId="0">
      <sharedItems/>
    </cacheField>
    <cacheField name="Camera" numFmtId="0">
      <sharedItems containsBlank="1"/>
    </cacheField>
    <cacheField name="Slim" numFmtId="0">
      <sharedItems containsBlank="1"/>
    </cacheField>
    <cacheField name="HDMI" numFmtId="0">
      <sharedItems containsBlank="1"/>
    </cacheField>
    <cacheField name="USB Type" numFmtId="0">
      <sharedItems containsBlank="1"/>
    </cacheField>
    <cacheField name="Spec_Score" numFmtId="0">
      <sharedItems containsString="0" containsBlank="1" containsNumber="1" containsInteger="1" minValue="71" maxValue="87"/>
    </cacheField>
    <cacheField name="Manufacterer" numFmtId="0">
      <sharedItems count="19">
        <s v="Apple"/>
        <s v="Acer"/>
        <s v="Asus"/>
        <s v="MSI"/>
        <s v="Microsoft"/>
        <s v="Lenovo"/>
        <s v="Dell"/>
        <s v="HP"/>
        <s v="Samsung"/>
        <s v="Fujitsu"/>
        <s v="Infinix"/>
        <s v="Gigabyte"/>
        <s v="Motorola"/>
        <s v="Primebo"/>
        <s v="Wings"/>
        <s v="Zebronics"/>
        <s v="Avita"/>
        <s v="Thomson"/>
        <s v="" u="1"/>
      </sharedItems>
    </cacheField>
    <cacheField name="Processor " numFmtId="0">
      <sharedItems count="70">
        <s v="AMD Deca-Core Ryzen 9"/>
        <s v="AMD Dodeca-Core"/>
        <s v="AMD Dodeca-Core Ryzen 9"/>
        <s v="AMD Dual-Core A6 APU "/>
        <s v="AMD Dual-Core Athlon "/>
        <s v="AMD Dual-Core Ryzen 3"/>
        <s v="AMD Hexa-Core Ryzen 5"/>
        <s v="AMD Hexa-Core"/>
        <s v="AMD Hexa-Core Ryzen AI"/>
        <s v="AMD Hexadeca-Core Ryzen 9"/>
        <s v="AMD Octa-Core Ryzen 7"/>
        <s v="AMD Octa-Core Ryzen 9"/>
        <s v="AMD Octa-Core Ryzen AI 7"/>
        <s v="AMD Octa-Core Ryzen AI"/>
        <s v="AMD Quad-Core A6 APU"/>
        <s v="AMD Quad-Core A8 APU "/>
        <s v="AMD Quad-Core APU "/>
        <s v="AMD Quad-Core Ryzen 3"/>
        <s v="AMD Quad-Core Ryzen 5"/>
        <s v="Apple M2"/>
        <s v="Apple M3"/>
        <s v="Apple M4"/>
        <s v="Intel Celeron Dual-Core"/>
        <s v="Intel Celeron Quad-Core"/>
        <s v="Intel Core 3 (Series 1)"/>
        <s v="Intel Core 5 (Series 1)"/>
        <s v="Intel Core 5 (Series 2)"/>
        <s v="Intel Core 7 (Series 1)"/>
        <s v="Intel Core 7 (Series 2)"/>
        <s v="Intel Core i3 (10th Gen)"/>
        <s v="Intel Core i3 (11th Gen)"/>
        <s v="Intel Core i3 (12th Gen)"/>
        <s v="Intel Core i3 (13th Gen)"/>
        <s v="Intel Core i3 (4th Gen)"/>
        <s v="Intel Core i3 (6th Gen)"/>
        <s v="Intel Core i3 (7th Gen)"/>
        <s v="Intel Core i3 (8th Gen)"/>
        <s v="Intel Core i3 (8th Gen) "/>
        <s v="Intel Core i5 (10th Gen)"/>
        <s v="Intel Core i5 (11th Gen)"/>
        <s v="Intel Core i5 (12th Gen)"/>
        <s v="Intel Core i5 (13th Gen)"/>
        <s v="Intel Core i5 (6th Gen)"/>
        <s v="Intel Core i5 (7th Gen)"/>
        <s v="Intel Core i5 (8th Gen)"/>
        <s v="Intel Core i5 (9th Gen)"/>
        <s v="Intel Core i7 (10th Gen)"/>
        <s v="Intel Core i7 (11th Gen)"/>
        <s v="Intel Core i7 (12th Gen)"/>
        <s v="Intel Core i7 (13th Gen)"/>
        <s v="Intel Core i7 (14th Gen)"/>
        <s v="Intel Core i7 (7th Gen)"/>
        <s v="Intel Core i7 (8th Gen)"/>
        <s v="Intel Core i7 (9th Gen)"/>
        <s v="Intel Core i9 (11th Gen)"/>
        <s v="Intel Core i9 (12th Gen)"/>
        <s v="Intel Core i9 (13th Gen)"/>
        <s v="Intel Core i9 (14th Gen)"/>
        <s v="Intel Core Ultra 5"/>
        <s v="Intel Core Ultra 7"/>
        <s v="Intel Core Ultra 9"/>
        <s v="Intel Pentium Gold"/>
        <s v="Intel Pentium Quad-Core"/>
        <s v="MediaTek Octa-core "/>
        <s v="Qualcomm Snapdragon Octa-Core"/>
        <s v="Snapdragon X Elite"/>
        <s v="Snapdragon X Plus "/>
        <s v="Snapdragon X Plus Deca-Core"/>
        <s v="Snapdragon X Plus Octa-Core"/>
        <e v="#REF!" u="1"/>
      </sharedItems>
    </cacheField>
    <cacheField name="RAM" numFmtId="0">
      <sharedItems count="10">
        <s v="16 GB"/>
        <s v="24 GB"/>
        <s v="8 GB "/>
        <s v="32 GB"/>
        <s v="48 GB"/>
        <s v="36 GB"/>
        <s v="18 GB"/>
        <s v="4 GB "/>
        <s v="12 GB"/>
        <s v="64 G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">
  <r>
    <s v="Apple MacBook Air M3 MC9D4HN/A Ultrabook (Apple M3/16 GB/256 GB SSD/macOS Sequoia)"/>
    <s v="Apple MacBook Air M3 MC9D4HN/A Ultrabook (Apple M3/16 GB/256 GB SSD/macOS Sequoia) price in India"/>
    <x v="0"/>
    <n v="6"/>
    <n v="100"/>
    <x v="0"/>
    <d v="2024-11-01T00:00:00"/>
    <s v="AMD Deca-Core Ryzen 9 (365) 2.0 Ghz"/>
    <s v="macOS Sequoia"/>
    <x v="0"/>
    <s v="15.3&quot; (38.86 cm), 2880 x 1864 px, IPS LCD Display"/>
    <s v="Web Camera"/>
    <s v="Slim 11.5 mm"/>
    <m/>
    <m/>
    <n v="84"/>
    <x v="0"/>
    <x v="0"/>
    <x v="0"/>
  </r>
  <r>
    <s v="Apple MacBook Pro M4 MX2H3HN/A Ultrabook (Apple M4 Pro/24 GB/512 GB SSD/macOS Sequoia)"/>
    <s v="Apple MacBook Pro M4 MX2H3HN/A Ultrabook (Apple M4 Pro/24 GB/512 GB SSD/macOS Sequoia) price in India"/>
    <x v="1"/>
    <n v="20"/>
    <n v="100"/>
    <x v="0"/>
    <d v="2024-11-01T00:00:00"/>
    <s v="AMD Deca-Core Ryzen 9 (365) 5.0 Ghz"/>
    <s v="macOS Sequoia"/>
    <x v="1"/>
    <s v="14.2&quot; (36.07 cm), 3024 x 1964 px, Liquid Retina XDR Display"/>
    <s v="Web Camera"/>
    <s v="Slim 15.5 mm"/>
    <s v="HDMI Port"/>
    <m/>
    <n v="87"/>
    <x v="0"/>
    <x v="0"/>
    <x v="1"/>
  </r>
  <r>
    <s v="Acer TravelLite TL15-53M (UN.352SI.002) Laptop (Core i5 13th Gen/16 GB/512 GB SSD/Windows 11)"/>
    <s v="Acer TravelLite TL15-53M (UN.352SI.002) Laptop (Core i5 13th Gen/16 GB/512 GB SSD/Windows 11) price in India"/>
    <x v="2"/>
    <n v="4"/>
    <n v="100"/>
    <x v="0"/>
    <d v="2025-03-01T00:00:00"/>
    <s v="AMD Deca-Core Ryzen 9 (365) 5.0 Ghz"/>
    <s v="Windows 11"/>
    <x v="2"/>
    <s v="15.6&quot; (39.62 cm), 1920 x 1080 px, TFT LED Display"/>
    <s v="Web Camera"/>
    <s v="Slim 18.3 mm"/>
    <s v="HDMI Port"/>
    <m/>
    <n v="75"/>
    <x v="1"/>
    <x v="0"/>
    <x v="0"/>
  </r>
  <r>
    <s v="Apple MacBook Air M2 MC7V4HN/A Ultrabook (Apple M2/16 GB/256 GB SSD/macOS Sequoia)"/>
    <s v="Apple MacBook Air M2 MC7V4HN/A Ultrabook (Apple M2/16 GB/256 GB SSD/macOS Sequoia) price in India"/>
    <x v="3"/>
    <n v="4"/>
    <n v="100"/>
    <x v="0"/>
    <d v="2024-11-01T00:00:00"/>
    <s v="AMD Dodeca-Core (12 Cores) Ryzen AI 9 HX (370) 5.1 Ghz"/>
    <s v="macOS Sequoia"/>
    <x v="0"/>
    <s v="13.6&quot; (34.54 cm), 2560 x 1664 px, IPS LCD Display"/>
    <s v="Web Camera"/>
    <s v="Slim 11.3 mm"/>
    <m/>
    <m/>
    <n v="81"/>
    <x v="0"/>
    <x v="1"/>
    <x v="0"/>
  </r>
  <r>
    <s v="Asus VivoBook S15 OLED S5506MA-MA952WS Laptop (Core Ultra 9/16 GB/1 TB SSD/Windows 11)"/>
    <s v="Asus VivoBook S15 OLED S5506MA-MA952WS Laptop (Core Ultra 9/16 GB/1 TB SSD/Windows 11) price in India"/>
    <x v="4"/>
    <n v="4"/>
    <n v="100"/>
    <x v="0"/>
    <d v="2024-09-01T00:00:00"/>
    <s v="AMD Dodeca-Core (12 Cores) Ryzen AI 9 HX (370) 5.1 Ghz"/>
    <s v="Windows 11"/>
    <x v="3"/>
    <s v="15.6&quot; (39.62 cm), 2880 x 1620 px, OLED Display"/>
    <s v="Web Camera"/>
    <s v="Slim 15.9 mm"/>
    <s v="HDMI Port"/>
    <m/>
    <n v="85"/>
    <x v="2"/>
    <x v="1"/>
    <x v="0"/>
  </r>
  <r>
    <s v="Apple MacBook Pro M4 MX2F3HN/A Ultrabook (Apple M4 Pro/24 GB/1 TB SSD/macOS Sequoia)"/>
    <s v="Apple MacBook Pro M4 MX2F3HN/A Ultrabook (Apple M4 Pro/24 GB/1 TB SSD/macOS Sequoia) price in India"/>
    <x v="5"/>
    <n v="1"/>
    <n v="100"/>
    <x v="0"/>
    <d v="2024-11-01T00:00:00"/>
    <s v="AMD Dodeca-Core (12 Cores) Ryzen AI Max (390) 5.0 Ghz"/>
    <s v="macOS Sequoia"/>
    <x v="4"/>
    <s v="14.2&quot; (36.07 cm), 3024 x 1964 px, Liquid Retina XDR Display"/>
    <s v="Web Camera"/>
    <s v="Slim 15.5 mm"/>
    <s v="HDMI Port"/>
    <m/>
    <m/>
    <x v="0"/>
    <x v="1"/>
    <x v="1"/>
  </r>
  <r>
    <s v="MSI Modern 15 B7M-428IN Laptop (AMD Hexa Core Ryzen 5/8 GB/512 GB SSD/Windows 11)"/>
    <s v="MSI Modern 15 B7M-428IN Laptop (AMD Hexa Core Ryzen 5/8 GB/512 GB SSD/Windows 11) price in India"/>
    <x v="6"/>
    <n v="3"/>
    <n v="100"/>
    <x v="0"/>
    <d v="2024-10-01T00:00:00"/>
    <s v="AMD Dodeca-Core Ryzen 9 (HX 370) 2.0 Ghz"/>
    <s v="Windows 11"/>
    <x v="5"/>
    <s v="15.6&quot; (39.62 cm), 1920 x 1080 px, IPS LCD Display"/>
    <s v="Web Camera"/>
    <s v="Slim 19.9 mm"/>
    <s v="HDMI Port"/>
    <m/>
    <n v="74"/>
    <x v="3"/>
    <x v="2"/>
    <x v="2"/>
  </r>
  <r>
    <s v="Microsoft Surface 7 (ZGP-00059) Laptop (Snapdragon X Elite/16 GB/512 GB SSD/Windows 11)"/>
    <s v="Microsoft Surface 7 (ZGP-00059) Laptop (Snapdragon X Elite/16 GB/512 GB SSD/Windows 11) price in India"/>
    <x v="7"/>
    <n v="3"/>
    <n v="100"/>
    <x v="0"/>
    <d v="2024-07-01T00:00:00"/>
    <s v="AMD Dodeca-Core Ryzen 9 (HX 370) 2.0 Ghz"/>
    <s v="Windows 11"/>
    <x v="6"/>
    <s v="13.8&quot; (35.05 cm), 2304 x 1536 px, LCD Display"/>
    <s v="Web Camera"/>
    <m/>
    <m/>
    <m/>
    <n v="81"/>
    <x v="4"/>
    <x v="2"/>
    <x v="0"/>
  </r>
  <r>
    <s v="Lenovo Yoga Slim 7 14AKP10 (83JY000UIN) Laptop (AMD Octa Core Ryzen AI 7/32 GB/1 TB SSD/Windows 11)"/>
    <s v="Lenovo Yoga Slim 7 14AKP10 (83JY000UIN) Laptop (AMD Octa Core Ryzen AI 7/32 GB/1 TB SSD/Windows 11) price in India"/>
    <x v="8"/>
    <n v="2"/>
    <n v="100"/>
    <x v="0"/>
    <d v="2025-03-01T00:00:00"/>
    <s v="AMD Dodeca-Core Ryzen 9 (HX 370) 5.1 Ghz"/>
    <s v="Windows 11"/>
    <x v="7"/>
    <s v="14&quot; (35.56 cm), 1920 x 1200 px, OLED Display"/>
    <s v="Web Camera"/>
    <s v="Slim 13.9 mm"/>
    <s v="HDMI Port"/>
    <m/>
    <n v="79"/>
    <x v="5"/>
    <x v="2"/>
    <x v="3"/>
  </r>
  <r>
    <s v="Asus VivoBook S14 OLED S5406SA-QD098WS Laptop (Core Ultra 5/16 GB/512 GB SSD/Windows 11)"/>
    <s v="Asus VivoBook S14 OLED S5406SA-QD098WS Laptop (Core Ultra 5/16 GB/512 GB SSD/Windows 11) price in India"/>
    <x v="9"/>
    <n v="5"/>
    <n v="100"/>
    <x v="0"/>
    <d v="2025-02-01T00:00:00"/>
    <s v="AMD Dual-Core A6 APU (9220) 2.5 Ghz"/>
    <s v="Windows 11"/>
    <x v="8"/>
    <s v="14&quot; (35.56 cm), 1920 x 1200 px, OLED Display"/>
    <s v="Web Camera"/>
    <s v="Slim 15.9 mm"/>
    <s v="HDMI Port"/>
    <m/>
    <m/>
    <x v="2"/>
    <x v="3"/>
    <x v="0"/>
  </r>
  <r>
    <s v="Apple MacBook Air M3 MC9E4HN/A Ultrabook (Apple M3/16 GB/256 GB SSD/macOS Sequoia)"/>
    <s v="Apple MacBook Air M3 MC9E4HN/A Ultrabook (Apple M3/16 GB/256 GB SSD/macOS Sequoia) price in India"/>
    <x v="0"/>
    <n v="2"/>
    <n v="100"/>
    <x v="0"/>
    <d v="2024-12-01T00:00:00"/>
    <s v="AMD Dual-Core A6 APU (9220) 2.5 Ghz"/>
    <s v="macOS Sequoia"/>
    <x v="0"/>
    <s v="15.3&quot; (38.86 cm), 2880 x 1864 px, IPS LCD Display"/>
    <s v="Web Camera"/>
    <s v="Slim 11.5 mm"/>
    <m/>
    <m/>
    <n v="84"/>
    <x v="0"/>
    <x v="3"/>
    <x v="0"/>
  </r>
  <r>
    <s v="Apple MacBook Pro M4 MX2U3HN/A Ultrabook (Apple M4 Pro/48 GB/512 GB SSD/macOS Sequoia)"/>
    <s v="Apple MacBook Pro M4 MX2U3HN/A Ultrabook (Apple M4 Pro/48 GB/512 GB SSD/macOS Sequoia) price in India"/>
    <x v="10"/>
    <n v="1"/>
    <n v="100"/>
    <x v="0"/>
    <d v="2024-11-01T00:00:00"/>
    <s v="AMD Dual-Core Athlon (3020e) 1.2 Ghz"/>
    <s v="macOS Sequoia"/>
    <x v="9"/>
    <s v="16.2&quot; (41.15 cm), 3456 x 2234 px, Liquid Retina XDR Display"/>
    <s v="Web Camera"/>
    <s v="Slim 16.8 mm"/>
    <s v="HDMI Port"/>
    <m/>
    <m/>
    <x v="0"/>
    <x v="4"/>
    <x v="4"/>
  </r>
  <r>
    <s v="Dell XPS 15 9530 (XN95300UCFGM03CRS1) Laptop (Core i7 13th Gen/16 GB/1 TB SSD/Windows 11/6 GB)"/>
    <s v="Dell XPS 15 9530 (XN95300UCFGM03CRS1) Laptop (Core i7 13th Gen/16 GB/1 TB SSD/Windows 11/6 GB) price in India"/>
    <x v="11"/>
    <n v="3"/>
    <n v="100"/>
    <x v="0"/>
    <d v="2024-07-01T00:00:00"/>
    <s v="AMD Dual-Core Athlon (3050U) 2.1 Ghz"/>
    <s v="Windows 11"/>
    <x v="10"/>
    <s v="15.6&quot; (39.62 cm), 3456 x 2160 px, OLED Display"/>
    <s v="Web Camera"/>
    <s v="Slim 18 mm"/>
    <m/>
    <m/>
    <m/>
    <x v="6"/>
    <x v="4"/>
    <x v="0"/>
  </r>
  <r>
    <s v="Microsoft Surface 7 (ZHG-00023) Laptop (Snapdragon X Elite/16 GB/256 GB SSD/Windows 11)"/>
    <s v="Microsoft Surface 7 (ZHG-00023) Laptop (Snapdragon X Elite/16 GB/256 GB SSD/Windows 11) price in India"/>
    <x v="12"/>
    <n v="2"/>
    <n v="100"/>
    <x v="0"/>
    <d v="2024-07-01T00:00:00"/>
    <s v="AMD Dual-Core Athlon (3050U) 2.3 Ghz"/>
    <s v="Windows 11"/>
    <x v="11"/>
    <s v="15&quot; (38.1 cm), 2496 x 1664 px, LCD Display"/>
    <s v="Web Camera"/>
    <m/>
    <m/>
    <m/>
    <n v="80"/>
    <x v="4"/>
    <x v="4"/>
    <x v="0"/>
  </r>
  <r>
    <s v="Asus ROG Zephyrus G14 GA403WR-QS123WS Laptop (AMD Dodeca Core Ryzen AI 9 HX/32 GB/2 TB SSD/Windows 11/12 GB)"/>
    <s v="Asus ROG Zephyrus G14 GA403WR-QS123WS Laptop (AMD Dodeca Core Ryzen AI 9 HX/32 GB/2 TB SSD/Windows 11/12 GB) price in India"/>
    <x v="10"/>
    <n v="1"/>
    <n v="100"/>
    <x v="0"/>
    <d v="2025-05-01T00:00:00"/>
    <s v="AMD Dual-Core Athlon (3050U) 2.3 Ghz"/>
    <s v="Windows 11"/>
    <x v="12"/>
    <s v="14&quot; (35.56 cm), 2880 x 1800 px, OLED Display"/>
    <s v="Web Camera"/>
    <s v="Slim 18.3 mm"/>
    <s v="HDMI Port"/>
    <m/>
    <m/>
    <x v="2"/>
    <x v="4"/>
    <x v="3"/>
  </r>
  <r>
    <s v="Lenovo LOQ 15IRX9 (83DV00X4IN) Laptop (Core i5 13th Gen/16 GB/512 GB SSD/Windows 11/6 GB)"/>
    <s v="Lenovo LOQ 15IRX9 (83DV00X4IN) Laptop (Core i5 13th Gen/16 GB/512 GB SSD/Windows 11/6 GB) price in India"/>
    <x v="13"/>
    <n v="1"/>
    <n v="100"/>
    <x v="0"/>
    <d v="2025-03-01T00:00:00"/>
    <s v="AMD Dual-Core Athlon (3050U) 2.3 Ghz"/>
    <s v="Windows 11"/>
    <x v="6"/>
    <s v="15.6&quot; (39.62 cm), 1920 x 1080 px, IPS LCD Display"/>
    <s v="Web Camera"/>
    <m/>
    <s v="HDMI Port"/>
    <m/>
    <m/>
    <x v="5"/>
    <x v="4"/>
    <x v="0"/>
  </r>
  <r>
    <s v="Apple MacBook Air M3 MC9H4HN/A Ultrabook (Apple M3/24 GB/512 GB SSD/macOS Sequoia)"/>
    <s v="Apple MacBook Air M3 MC9H4HN/A Ultrabook (Apple M3/24 GB/512 GB SSD/macOS Sequoia) price in India"/>
    <x v="14"/>
    <n v="1"/>
    <n v="100"/>
    <x v="0"/>
    <d v="2025-01-01T00:00:00"/>
    <s v="AMD Dual-Core Athlon (3050U) 2.3 Ghz"/>
    <s v="macOS Sequoia"/>
    <x v="1"/>
    <s v="15.3&quot; (38.86 cm), 2880 x 1864 px, IPS LCD Display"/>
    <s v="Web Camera"/>
    <s v="Slim 11.5 mm"/>
    <m/>
    <m/>
    <n v="85"/>
    <x v="0"/>
    <x v="4"/>
    <x v="1"/>
  </r>
  <r>
    <s v="HP Victus 15-fa1372TX (A3RE5PA) Laptop (Core i5 12th Gen/8 GB/512 GB SSD/Windows 11/4 GB)"/>
    <s v="HP Victus 15-fa1372TX (A3RE5PA) Laptop (Core i5 12th Gen/8 GB/512 GB SSD/Windows 11/4 GB) price in India"/>
    <x v="15"/>
    <n v="1"/>
    <n v="100"/>
    <x v="0"/>
    <d v="2024-12-01T00:00:00"/>
    <s v="AMD Dual-Core Athlon (3050U) 2.3 Ghz"/>
    <s v="Windows 11"/>
    <x v="5"/>
    <s v="15.6&quot; (39.62 cm), 1920 x 1080 px, IPS LCD Display"/>
    <s v="Web Camera"/>
    <m/>
    <s v="HDMI Port"/>
    <m/>
    <n v="83"/>
    <x v="7"/>
    <x v="4"/>
    <x v="2"/>
  </r>
  <r>
    <s v="Lenovo IdeaPad Slim 3 15ABR8 (82XM00G1IN) Laptop (AMD Hexa Core Ryzen 5/8 GB/512 GB SSD/Windows 11)"/>
    <s v="Lenovo IdeaPad Slim 3 15ABR8 (82XM00G1IN) Laptop (AMD Hexa Core Ryzen 5/8 GB/512 GB SSD/Windows 11) price in India"/>
    <x v="16"/>
    <n v="1"/>
    <n v="100"/>
    <x v="0"/>
    <d v="2024-11-01T00:00:00"/>
    <s v="AMD Dual-Core Athlon (3050U) 2.3 Ghz"/>
    <s v="Windows 11"/>
    <x v="5"/>
    <s v="15.6&quot; (39.62 cm), 1920 x 1080 px, IPS LCD Display"/>
    <s v="Web Camera"/>
    <m/>
    <s v="HDMI Port"/>
    <m/>
    <n v="72"/>
    <x v="5"/>
    <x v="4"/>
    <x v="2"/>
  </r>
  <r>
    <s v="Apple MacBook Pro M4 MCX04HN/A Ultrabook (Apple M4/24 GB/1 TB SSD/macOS Sequoia)"/>
    <s v="Apple MacBook Pro M4 MCX04HN/A Ultrabook (Apple M4/24 GB/1 TB SSD/macOS Sequoia) price in India"/>
    <x v="17"/>
    <n v="3"/>
    <n v="100"/>
    <x v="0"/>
    <d v="2024-11-01T00:00:00"/>
    <s v="AMD Dual-Core Athlon (3050U) 3.1 Ghz"/>
    <s v="macOS Sequoia"/>
    <x v="4"/>
    <s v="14.2&quot; (36.07 cm), 3024 x 1964 px, Liquid Retina XDR Display"/>
    <s v="Web Camera"/>
    <s v="Slim 15.5 mm"/>
    <s v="HDMI Port"/>
    <m/>
    <n v="87"/>
    <x v="0"/>
    <x v="4"/>
    <x v="1"/>
  </r>
  <r>
    <s v="Apple MacBook Pro M4 MW2X3HN/A Ultrabook (Apple M4/16 GB/1 TB SSD/macOS Sequoia)"/>
    <s v="Apple MacBook Pro M4 MW2X3HN/A Ultrabook (Apple M4/16 GB/1 TB SSD/macOS Sequoia) price in India"/>
    <x v="18"/>
    <n v="3"/>
    <n v="100"/>
    <x v="0"/>
    <d v="2024-11-01T00:00:00"/>
    <s v="AMD Dual-Core Athlon (3050U) 3.2 Ghz"/>
    <s v="macOS Sequoia"/>
    <x v="13"/>
    <s v="14.2&quot; (36.07 cm), 3024 x 1964 px, Liquid Retina XDR Display"/>
    <s v="Web Camera"/>
    <s v="Slim 15.5 mm"/>
    <s v="HDMI Port"/>
    <m/>
    <n v="86"/>
    <x v="0"/>
    <x v="4"/>
    <x v="0"/>
  </r>
  <r>
    <s v="Apple MacBook Air M3 MC8P4HN/A Ultrabook (Apple M3/24 GB/512 GB SSD/macOS Sequoia)"/>
    <s v="Apple MacBook Air M3 MC8P4HN/A Ultrabook (Apple M3/24 GB/512 GB SSD/macOS Sequoia) price in India"/>
    <x v="19"/>
    <n v="1"/>
    <n v="100"/>
    <x v="0"/>
    <d v="2024-11-01T00:00:00"/>
    <s v="AMD Dual-Core Athlon (3050U) 3.2 Ghz"/>
    <s v="macOS Sequoia"/>
    <x v="1"/>
    <s v="13.6&quot; (34.54 cm), 2560 x 1664 px, IPS LCD Display"/>
    <s v="Web Camera"/>
    <s v="Slim 11.3 mm"/>
    <m/>
    <m/>
    <n v="85"/>
    <x v="0"/>
    <x v="4"/>
    <x v="1"/>
  </r>
  <r>
    <s v="Dell Inspiron 14 5441 (OIN5441100101RING1) Laptop (Snapdragon X Plus/16 GB/512 GB SSD/Windows 11)"/>
    <s v="Dell Inspiron 14 5441 (OIN5441100101RING1) Laptop (Snapdragon X Plus/16 GB/512 GB SSD/Windows 11) price in India"/>
    <x v="20"/>
    <n v="1"/>
    <n v="100"/>
    <x v="0"/>
    <d v="2024-10-01T00:00:00"/>
    <s v="AMD Dual-Core Athlon (7120U) 3.4 Ghz"/>
    <s v="Windows 11"/>
    <x v="8"/>
    <s v="14&quot; (35.56 cm), 1920 x 1200 px, IPS LCD Display"/>
    <s v="Web Camera"/>
    <s v="Slim 17.9 mm"/>
    <m/>
    <m/>
    <n v="84"/>
    <x v="6"/>
    <x v="4"/>
    <x v="0"/>
  </r>
  <r>
    <s v="HP 15-fd0112TU (A47CZPA) Laptop (Core i5 12th Gen/8 GB/1 TB SSD/Windows 11)"/>
    <s v="HP 15-fd0112TU (A47CZPA) Laptop (Core i5 12th Gen/8 GB/1 TB SSD/Windows 11) price in India"/>
    <x v="21"/>
    <n v="1"/>
    <n v="100"/>
    <x v="0"/>
    <d v="2024-09-01T00:00:00"/>
    <s v="AMD Dual-Core Athlon (7120U) 3.5 Ghz"/>
    <s v="Windows 11"/>
    <x v="14"/>
    <s v="15.6&quot; (39.62 cm), 1920 x 1080 px, IPS LCD Display"/>
    <s v="Web Camera"/>
    <s v="Slim 18.6 mm"/>
    <s v="HDMI Port"/>
    <m/>
    <n v="80"/>
    <x v="7"/>
    <x v="4"/>
    <x v="2"/>
  </r>
  <r>
    <s v="Microsoft Surface 7 (ZGM-00023) Laptop (Snapdragon X Plus/16 GB/512 GB SSD/Windows 11)"/>
    <s v="Microsoft Surface 7 (ZGM-00023) Laptop (Snapdragon X Plus/16 GB/512 GB SSD/Windows 11) price in India"/>
    <x v="22"/>
    <n v="1"/>
    <n v="100"/>
    <x v="0"/>
    <d v="2024-07-01T00:00:00"/>
    <s v="AMD Dual-Core Ryzen 3 (3200U) 3.4 Ghz"/>
    <s v="Windows 11"/>
    <x v="6"/>
    <s v="13.8&quot; (35.05 cm), 2304 x 1536 px, LCD Display"/>
    <s v="Web Camera"/>
    <m/>
    <m/>
    <m/>
    <n v="80"/>
    <x v="4"/>
    <x v="5"/>
    <x v="0"/>
  </r>
  <r>
    <s v="HP Omnibook X 14-fe0121QU (A99B8PA) Laptop (Snapdragon X Elite/16 GB/1 TB SSD/Windows 11)"/>
    <s v="HP Omnibook X 14-fe0121QU (A99B8PA) Laptop (Snapdragon X Elite/16 GB/1 TB SSD/Windows 11) price in India"/>
    <x v="23"/>
    <n v="1"/>
    <n v="100"/>
    <x v="0"/>
    <d v="2024-06-01T00:00:00"/>
    <s v="AMD Dual-Core Ryzen 3 (3250) 2.6 Ghz"/>
    <s v="Windows 11"/>
    <x v="3"/>
    <s v="14&quot; (35.56 cm), 2240 x 1400 px, IPS LCD Display"/>
    <s v="Web Camera"/>
    <s v="Slim 14.4 mm"/>
    <m/>
    <m/>
    <n v="85"/>
    <x v="7"/>
    <x v="5"/>
    <x v="0"/>
  </r>
  <r>
    <s v="Acer Swift Go 14 SFG14-73T (NX.KSMSI.003) Laptop (Core Ultra 7/16 GB/1 TB SSD/Windows 11)"/>
    <s v="Acer Swift Go 14 SFG14-73T (NX.KSMSI.003) Laptop (Core Ultra 7/16 GB/1 TB SSD/Windows 11) price in India"/>
    <x v="24"/>
    <n v="1"/>
    <n v="100"/>
    <x v="0"/>
    <d v="2024-04-01T00:00:00"/>
    <s v="AMD Dual-Core Ryzen 3 (3250U) 2.6 Ghz"/>
    <s v="Windows 11"/>
    <x v="3"/>
    <s v="14&quot; (35.56 cm), 1920 x 1200 px, OLED Display"/>
    <s v="Web Camera"/>
    <s v="Slim 14.9 mm"/>
    <s v="HDMI Port"/>
    <m/>
    <n v="86"/>
    <x v="1"/>
    <x v="5"/>
    <x v="0"/>
  </r>
  <r>
    <s v="Apple MacBook Air M4 MW1L3HN/A Ultrabook (Apple M4/16 GB/256 GB SSD/macOS Sequoia)"/>
    <s v="Apple MacBook Air M4 MW1L3HN/A Ultrabook (Apple M4/16 GB/256 GB SSD/macOS Sequoia) price in India"/>
    <x v="25"/>
    <n v="3"/>
    <n v="100"/>
    <x v="0"/>
    <d v="2025-03-01T00:00:00"/>
    <s v="AMD Dual-Core Ryzen 3 (3250U) 2.6 Ghz"/>
    <s v="macOS Sequoia"/>
    <x v="0"/>
    <s v="15.3&quot; (38.86 cm), 2880 x 1864 px, Liquid Retina Display"/>
    <s v="Web Camera"/>
    <s v="Slim 11.5 mm"/>
    <m/>
    <m/>
    <n v="85"/>
    <x v="0"/>
    <x v="5"/>
    <x v="0"/>
  </r>
  <r>
    <s v="Apple MacBook Air M4 MC6K4HN/A Ultrabook (Apple M4/24 GB/512 GB SSD/macOS Sequoia)"/>
    <s v="Apple MacBook Air M4 MC6K4HN/A Ultrabook (Apple M4/24 GB/512 GB SSD/macOS Sequoia) price in India"/>
    <x v="26"/>
    <n v="1"/>
    <n v="100"/>
    <x v="0"/>
    <d v="2025-03-01T00:00:00"/>
    <s v="AMD Dual-Core Ryzen 3 (3250U) 2.6 Ghz"/>
    <s v="macOS Sequoia"/>
    <x v="1"/>
    <s v="15.3&quot; (38.86 cm), 2880 x 1864 px, Liquid Retina Display"/>
    <s v="Web Camera"/>
    <s v="Slim 11.5 mm"/>
    <m/>
    <m/>
    <n v="86"/>
    <x v="0"/>
    <x v="5"/>
    <x v="1"/>
  </r>
  <r>
    <s v="MSI Thin 15 B12UC-2240IN Laptop (Core i7 12th Gen/16 GB/512 GB SSD/Windows 11/4 GB)"/>
    <s v="MSI Thin 15 B12UC-2240IN Laptop (Core i7 12th Gen/16 GB/512 GB SSD/Windows 11/4 GB) price in India"/>
    <x v="27"/>
    <n v="1"/>
    <n v="100"/>
    <x v="0"/>
    <d v="2024-12-01T00:00:00"/>
    <s v="AMD Dual-Core Ryzen 3 (3250U) 2.6 Ghz"/>
    <s v="Windows 11"/>
    <x v="2"/>
    <s v="15.6&quot; (39.62 cm), 1920 x 1080 px, IPS LCD Display"/>
    <s v="Web Camera"/>
    <s v="Slim 21.7 mm"/>
    <s v="HDMI Port"/>
    <m/>
    <n v="87"/>
    <x v="3"/>
    <x v="5"/>
    <x v="0"/>
  </r>
  <r>
    <s v="Apple MacBook Pro M4 MX303HN/A Ultrabook (Apple M4 Max/36 GB/1 TB SSD/macOS Sequoia)"/>
    <s v="Apple MacBook Pro M4 MX303HN/A Ultrabook (Apple M4 Max/36 GB/1 TB SSD/macOS Sequoia) price in India"/>
    <x v="28"/>
    <n v="2"/>
    <n v="100"/>
    <x v="0"/>
    <d v="2024-11-01T00:00:00"/>
    <s v="AMD Dual-Core Ryzen 3 (3250U) 2.6 Ghz"/>
    <s v="macOS Sequoia"/>
    <x v="15"/>
    <s v="16.2&quot; (41.15 cm), 3456 x 2234 px, Liquid Retina XDR Display"/>
    <s v="Web Camera"/>
    <s v="Slim 16.8 mm"/>
    <s v="HDMI Port"/>
    <m/>
    <m/>
    <x v="0"/>
    <x v="5"/>
    <x v="5"/>
  </r>
  <r>
    <s v="MSI Stealth A16 AI Plus A3HVGG-074IN Laptop (AMD Deca Core Ryzen 9/32 GB/1 TB SSD/Windows 11/8 GB)"/>
    <s v="MSI Stealth A16 AI Plus A3HVGG-074IN Laptop (AMD Deca Core Ryzen 9/32 GB/1 TB SSD/Windows 11/8 GB) price in India"/>
    <x v="29"/>
    <n v="1"/>
    <n v="100"/>
    <x v="0"/>
    <d v="2024-10-01T00:00:00"/>
    <s v="AMD Dual-Core Ryzen 3 (3250U) 2.6 Ghz"/>
    <s v="Windows 11"/>
    <x v="7"/>
    <s v="16&quot; (40.64 cm), 2560 x 1600 px, IPS LCD Display"/>
    <s v="Web Camera"/>
    <s v="Slim 19.9 mm"/>
    <s v="HDMI Port"/>
    <m/>
    <m/>
    <x v="3"/>
    <x v="5"/>
    <x v="3"/>
  </r>
  <r>
    <s v="MSI Cyborg 14 A13UCX-206IN Laptop (Core i5 13th Gen/8 GB/512 GB SSD/Windows 11/4 GB)"/>
    <s v="MSI Cyborg 14 A13UCX-206IN Laptop (Core i5 13th Gen/8 GB/512 GB SSD/Windows 11/4 GB) price in India"/>
    <x v="21"/>
    <n v="1"/>
    <n v="100"/>
    <x v="0"/>
    <d v="2024-09-01T00:00:00"/>
    <s v="AMD Dual-Core Ryzen 3 (3250U) 2.6 Ghz"/>
    <s v="Windows 11"/>
    <x v="16"/>
    <s v="14&quot; (35.56 cm), 1920 x 1200 px, IPS LCD Display"/>
    <s v="Web Camera"/>
    <s v="Slim 18.6 mm"/>
    <s v="HDMI Port"/>
    <m/>
    <n v="86"/>
    <x v="3"/>
    <x v="5"/>
    <x v="2"/>
  </r>
  <r>
    <s v="HP Pavilion Plus 14-ew0115TU (9J6L6PA) Laptop (Core i5 13th Gen/16 GB/512 GB SSD/Windows 11)"/>
    <s v="HP Pavilion Plus 14-ew0115TU (9J6L6PA) Laptop (Core i5 13th Gen/16 GB/512 GB SSD/Windows 11) price in India"/>
    <x v="30"/>
    <n v="1"/>
    <n v="100"/>
    <x v="0"/>
    <d v="2024-08-01T00:00:00"/>
    <s v="AMD Dual-Core Ryzen 3 (3250U) 2.6 Ghz"/>
    <s v="Windows 11"/>
    <x v="17"/>
    <s v="14&quot; (35.56 cm), 1920 x 1200 px, IPS LCD Display"/>
    <s v="Web Camera"/>
    <s v="Slim 18.9 mm"/>
    <s v="HDMI Port"/>
    <m/>
    <n v="82"/>
    <x v="7"/>
    <x v="5"/>
    <x v="0"/>
  </r>
  <r>
    <s v="HP ZBook Firefly G11 (A92TXPT) Laptop (Core Ultra 5/16 GB/512 GB SSD/DOS)"/>
    <s v="HP ZBook Firefly G11 (A92TXPT) Laptop (Core Ultra 5/16 GB/512 GB SSD/DOS) price in India"/>
    <x v="31"/>
    <n v="1"/>
    <n v="100"/>
    <x v="0"/>
    <d v="2024-08-01T00:00:00"/>
    <s v="AMD Dual-Core Ryzen 3 (3250U) 2.6 Ghz"/>
    <s v="DOS"/>
    <x v="6"/>
    <s v="14&quot; (35.56 cm), 1920 x 1200 px, IPS LCD Display"/>
    <s v="Web Camera"/>
    <s v="Slim 19.2 mm"/>
    <s v="HDMI Port"/>
    <m/>
    <n v="82"/>
    <x v="7"/>
    <x v="5"/>
    <x v="0"/>
  </r>
  <r>
    <s v="HP ZBook Firefly G11 (A92TYPT) Laptop (Core Ultra 5/16 GB/512 GB SSD/Windows 11)"/>
    <s v="HP ZBook Firefly G11 (A92TYPT) Laptop (Core Ultra 5/16 GB/512 GB SSD/Windows 11) price in India"/>
    <x v="32"/>
    <n v="1"/>
    <n v="100"/>
    <x v="0"/>
    <d v="2024-08-01T00:00:00"/>
    <s v="AMD Dual-Core Ryzen 3 (3250U) 2.6 Ghz"/>
    <s v="Windows 11"/>
    <x v="6"/>
    <s v="14&quot; (35.56 cm), 1920 x 1200 px, IPS LCD Display"/>
    <s v="Web Camera"/>
    <s v="Slim 19.2 mm"/>
    <s v="HDMI Port"/>
    <m/>
    <n v="82"/>
    <x v="7"/>
    <x v="5"/>
    <x v="0"/>
  </r>
  <r>
    <s v="HP ZBook Firefly G11 (A92U2PT) Laptop (Core Ultra 7/16 GB/512 GB SSD/Windows 11)"/>
    <s v="HP ZBook Firefly G11 (A92U2PT) Laptop (Core Ultra 7/16 GB/512 GB SSD/Windows 11) price in India"/>
    <x v="33"/>
    <n v="3"/>
    <n v="100"/>
    <x v="0"/>
    <d v="2024-08-01T00:00:00"/>
    <s v="AMD Dual-Core Ryzen 3 (3250U) 2.6 Ghz"/>
    <s v="Windows 11"/>
    <x v="6"/>
    <s v="14&quot; (35.56 cm), 1920 x 1200 px, IPS LCD Display"/>
    <s v="Web Camera"/>
    <s v="Slim 19.2 mm"/>
    <s v="HDMI Port"/>
    <m/>
    <n v="82"/>
    <x v="7"/>
    <x v="5"/>
    <x v="0"/>
  </r>
  <r>
    <s v="Dell Inspiron 14 7440 (OIC7440100301RINU1) Laptop (Core 3 Series 1 /8 GB/512 GB SSD/Windows 11)"/>
    <s v="Dell Inspiron 14 7440 (OIC7440100301RINU1) Laptop (Core 3 Series 1 /8 GB/512 GB SSD/Windows 11) price in India"/>
    <x v="34"/>
    <n v="2"/>
    <n v="100"/>
    <x v="0"/>
    <d v="2024-08-01T00:00:00"/>
    <s v="AMD Dual-Core Ryzen 3 (3250U) 2.6 Ghz"/>
    <s v="Windows 11"/>
    <x v="16"/>
    <s v="14&quot; (35.56 cm), 1920 x 1200 px, IPS LCD Display"/>
    <s v="Web Camera"/>
    <s v="Slim 18.9 mm"/>
    <s v="HDMI Port"/>
    <m/>
    <n v="79"/>
    <x v="6"/>
    <x v="5"/>
    <x v="2"/>
  </r>
  <r>
    <s v="Asus ProArt PX13 OLED HN7306WU-LX001WS Laptop (AMD Deca Core Ryzen 9/24 GB/1 TB SSD/Windows 11/6 GB)"/>
    <s v="Asus ProArt PX13 OLED HN7306WU-LX001WS Laptop (AMD Deca Core Ryzen 9/24 GB/1 TB SSD/Windows 11/6 GB) price in India"/>
    <x v="14"/>
    <n v="2"/>
    <n v="100"/>
    <x v="0"/>
    <d v="2024-07-01T00:00:00"/>
    <s v="AMD Dual-Core Ryzen 3 (3250U) 2.6 Ghz"/>
    <s v="Windows 11"/>
    <x v="18"/>
    <s v="13.3&quot; (33.78 cm), 2880 x 1800 px, OLED Display"/>
    <s v="Web Camera"/>
    <s v="Slim 17.7 mm"/>
    <s v="HDMI Port"/>
    <m/>
    <m/>
    <x v="2"/>
    <x v="5"/>
    <x v="1"/>
  </r>
  <r>
    <s v="Dell XPS 14 9440 (CXN9440CTO01RIN) Laptop (Core Ultra 7/16 GB/1 TB SSD/Windows 11)"/>
    <s v="Dell XPS 14 9440 (CXN9440CTO01RIN) Laptop (Core Ultra 7/16 GB/1 TB SSD/Windows 11) price in India"/>
    <x v="35"/>
    <n v="1"/>
    <n v="100"/>
    <x v="0"/>
    <d v="2024-07-01T00:00:00"/>
    <s v="AMD Dual-Core Ryzen 3 (3250U) 2.6 Ghz"/>
    <s v="Windows 11"/>
    <x v="3"/>
    <s v="14.5&quot; (36.83 cm), 3200 x 2000 px, OLED Display"/>
    <s v="Web Camera"/>
    <s v="Slim 19 mm"/>
    <m/>
    <m/>
    <n v="85"/>
    <x v="6"/>
    <x v="5"/>
    <x v="0"/>
  </r>
  <r>
    <s v="Dell XPS 16 9640 (OXN9640130001RIN) Laptop (Core Ultra 9/32 GB/1 TB SSD/Windows 11/8 GB)"/>
    <s v="Dell XPS 16 9640 (OXN9640130001RIN) Laptop (Core Ultra 9/32 GB/1 TB SSD/Windows 11/8 GB) price in India"/>
    <x v="36"/>
    <n v="1"/>
    <n v="100"/>
    <x v="0"/>
    <d v="2024-07-01T00:00:00"/>
    <s v="AMD Dual-Core Ryzen 3 (3250U) 2.6 Ghz"/>
    <s v="Windows 11"/>
    <x v="7"/>
    <s v="16.3&quot; (41.4 cm), 3840 x 2400 px, OLED Display"/>
    <s v="Web Camera"/>
    <s v="Slim 18.7 mm"/>
    <m/>
    <m/>
    <m/>
    <x v="6"/>
    <x v="5"/>
    <x v="3"/>
  </r>
  <r>
    <s v="Microsoft Surface Pro 11 (ZIA-00014) Laptop (Snapdragon X Elite/16 GB/512 GB SSD/Windows 11)"/>
    <s v="Microsoft Surface Pro 11 (ZIA-00014) Laptop (Snapdragon X Elite/16 GB/512 GB SSD/Windows 11) price in India"/>
    <x v="37"/>
    <n v="3"/>
    <n v="100"/>
    <x v="0"/>
    <d v="2024-07-01T00:00:00"/>
    <s v="AMD Dual-Core Ryzen 3 (3250U) 2.6 Ghz"/>
    <s v="Windows 11"/>
    <x v="6"/>
    <s v="13.8&quot; (35.05 cm), 2880 x 1920 px, OLED Display"/>
    <s v="Web Camera"/>
    <m/>
    <m/>
    <m/>
    <n v="82"/>
    <x v="4"/>
    <x v="5"/>
    <x v="0"/>
  </r>
  <r>
    <s v="Microsoft Surface Pro 11 (ZIA-00031) Laptop (Snapdragon X Elite/16 GB/512 GB SSD/Windows 11)"/>
    <s v="Microsoft Surface Pro 11 (ZIA-00031) Laptop (Snapdragon X Elite/16 GB/512 GB SSD/Windows 11) price in India"/>
    <x v="38"/>
    <n v="3"/>
    <n v="100"/>
    <x v="0"/>
    <d v="2024-07-01T00:00:00"/>
    <s v="AMD Dual-Core Ryzen 3 (3250U) 2.6 Ghz"/>
    <s v="Windows 11"/>
    <x v="6"/>
    <s v="13.8&quot; (35.05 cm), 2880 x 1920 px, OLED Display"/>
    <s v="Web Camera"/>
    <m/>
    <m/>
    <m/>
    <n v="83"/>
    <x v="4"/>
    <x v="5"/>
    <x v="0"/>
  </r>
  <r>
    <s v="Microsoft Surface 7 (ZGQ-00023) Laptop (Snapdragon X Elite/32 GB/1 TB SSD/Windows 11)"/>
    <s v="Microsoft Surface 7 (ZGQ-00023) Laptop (Snapdragon X Elite/32 GB/1 TB SSD/Windows 11) price in India"/>
    <x v="39"/>
    <n v="1"/>
    <n v="100"/>
    <x v="0"/>
    <d v="2024-07-01T00:00:00"/>
    <s v="AMD Dual-Core Ryzen 3 (3250U) 3.5 Ghz"/>
    <s v="Windows 11"/>
    <x v="19"/>
    <s v="13.8&quot; (35.05 cm), 2304 x 1536 px, LCD Display"/>
    <s v="Web Camera"/>
    <m/>
    <m/>
    <m/>
    <n v="83"/>
    <x v="4"/>
    <x v="5"/>
    <x v="3"/>
  </r>
  <r>
    <s v="Microsoft Surface 7 (ZGM-00059) Laptop (Snapdragon X Plus/16 GB/512 GB SSD/Windows 11)"/>
    <s v="Microsoft Surface 7 (ZGM-00059) Laptop (Snapdragon X Plus/16 GB/512 GB SSD/Windows 11) price in India"/>
    <x v="40"/>
    <n v="3"/>
    <n v="100"/>
    <x v="0"/>
    <d v="2024-07-01T00:00:00"/>
    <s v="AMD Hexa-Core Ryzen 5 (4500U) 2.3 Ghz"/>
    <s v="Windows 11"/>
    <x v="8"/>
    <s v="13.8&quot; (35.05 cm), 2304 x 1536 px, LCD Display"/>
    <s v="Web Camera"/>
    <m/>
    <m/>
    <m/>
    <n v="80"/>
    <x v="4"/>
    <x v="6"/>
    <x v="0"/>
  </r>
  <r>
    <s v="MSI Modern 14 C12MO-1249IN Laptop (Core i5 13th Gen/8 GB/512 GB SSD/Windows 11)"/>
    <s v="MSI Modern 14 C12MO-1249IN Laptop (Core i5 13th Gen/8 GB/512 GB SSD/Windows 11) price in India"/>
    <x v="41"/>
    <n v="2"/>
    <n v="100"/>
    <x v="0"/>
    <d v="2024-07-01T00:00:00"/>
    <s v="AMD Hexa-Core Ryzen 5 (4600H) 2.4 Ghz"/>
    <s v="Windows 11"/>
    <x v="16"/>
    <s v="14&quot; (35.56 cm), 1920 x 1080 px, IPS LCD Display"/>
    <s v="Web Camera"/>
    <m/>
    <s v="HDMI Port"/>
    <m/>
    <n v="78"/>
    <x v="3"/>
    <x v="6"/>
    <x v="2"/>
  </r>
  <r>
    <s v="Lenovo IdeaPad Slim 3 15IRU9 (83E6001JIN) Laptop (Core 5 Series 1 /16 GB/512 GB SSD/Windows 11)"/>
    <s v="Lenovo IdeaPad Slim 3 15IRU9 (83E6001JIN) Laptop (Core 5 Series 1 /16 GB/512 GB SSD/Windows 11) price in India"/>
    <x v="42"/>
    <n v="1"/>
    <n v="100"/>
    <x v="0"/>
    <d v="2024-06-01T00:00:00"/>
    <s v="AMD Hexa-Core Ryzen 5 (4600H) 3.0 Ghz"/>
    <s v="Windows 11"/>
    <x v="6"/>
    <s v="15.6&quot; (39.62 cm), 1920 x 1080 px, IPS LCD Display"/>
    <s v="Web Camera"/>
    <m/>
    <m/>
    <s v="3 USB Ports"/>
    <n v="77"/>
    <x v="5"/>
    <x v="6"/>
    <x v="0"/>
  </r>
  <r>
    <s v="HP ZBook Firefly G10 (8F6K1PA) Laptop (Core i7 13th Gen/16 GB/1 TB SSD/Windows 11/4 GB)"/>
    <s v="HP ZBook Firefly G10 (8F6K1PA) Laptop (Core i7 13th Gen/16 GB/1 TB SSD/Windows 11/4 GB) price in India"/>
    <x v="43"/>
    <n v="2"/>
    <n v="100"/>
    <x v="0"/>
    <d v="2024-06-01T00:00:00"/>
    <s v="AMD Hexa-Core Ryzen 5 (5500U) 2.1 Ghz"/>
    <s v="Windows 11"/>
    <x v="10"/>
    <s v="16&quot; (40.64 cm), 1920 x 1200 px, IPS LCD Display"/>
    <s v="Web Camera"/>
    <s v="Slim 19.9 mm"/>
    <m/>
    <m/>
    <n v="87"/>
    <x v="7"/>
    <x v="6"/>
    <x v="0"/>
  </r>
  <r>
    <s v="HP ZBook Firefly G11 (A1VX4PT) Laptop (Core Ultra 7/32 GB/1 TB SSD/Windows 11/4 GB)"/>
    <s v="HP ZBook Firefly G11 (A1VX4PT) Laptop (Core Ultra 7/32 GB/1 TB SSD/Windows 11/4 GB) price in India"/>
    <x v="44"/>
    <n v="1"/>
    <n v="100"/>
    <x v="0"/>
    <d v="2024-06-01T00:00:00"/>
    <s v="AMD Hexa-Core Ryzen 5 (5500U) 2.1 Ghz"/>
    <s v="Windows 11"/>
    <x v="19"/>
    <s v="16&quot; (40.64 cm), 1920 x 1200 px, IPS LCD Display"/>
    <s v="Web Camera"/>
    <s v="Slim 19.2 mm"/>
    <s v="HDMI Port"/>
    <m/>
    <m/>
    <x v="7"/>
    <x v="6"/>
    <x v="3"/>
  </r>
  <r>
    <s v="Dell Inspiron 14 (OIC7440100101RINU1) Laptop (Core 7 Series 1 /16 GB/1 TB SSD/Windows 11)"/>
    <s v="Dell Inspiron 14 (OIC7440100101RINU1) Laptop (Core 7 Series 1 /16 GB/1 TB SSD/Windows 11) price in India"/>
    <x v="45"/>
    <n v="1"/>
    <n v="100"/>
    <x v="0"/>
    <d v="2024-06-01T00:00:00"/>
    <s v="AMD Hexa-Core Ryzen 5 (5500U) 2.1 Ghz"/>
    <s v="Windows 11"/>
    <x v="10"/>
    <s v="14&quot; (35.56 cm), 1920 x 1200 px, IPS LCD Display"/>
    <s v="Web Camera"/>
    <s v="Slim 18.9 mm"/>
    <s v="HDMI Port"/>
    <m/>
    <n v="83"/>
    <x v="6"/>
    <x v="6"/>
    <x v="0"/>
  </r>
  <r>
    <s v="Asus VivoBook 15 X1502ZA-EJ545WS Laptop (Core i5 12th Gen/16 GB/512 GB SSD/Windows 11)"/>
    <s v="Asus VivoBook 15 X1502ZA-EJ545WS Laptop (Core i5 12th Gen/16 GB/512 GB SSD/Windows 11) price in India"/>
    <x v="42"/>
    <n v="1"/>
    <n v="100"/>
    <x v="0"/>
    <d v="2024-06-01T00:00:00"/>
    <s v="AMD Hexa-Core Ryzen 5 (5500U) 2.1 Ghz"/>
    <s v="Windows 11"/>
    <x v="2"/>
    <s v="15.6&quot; (39.62 cm), 1920 x 1080 px Display"/>
    <s v="Web Camera"/>
    <s v="Slim 19.9 mm"/>
    <s v="HDMI Port"/>
    <m/>
    <n v="80"/>
    <x v="2"/>
    <x v="6"/>
    <x v="0"/>
  </r>
  <r>
    <s v="MSI Cyborg 14 A13UCX-204IN Laptop (Core i7 13th Gen/16 GB/512 GB SSD/Windows 11/4 GB)"/>
    <s v="MSI Cyborg 14 A13UCX-204IN Laptop (Core i7 13th Gen/16 GB/512 GB SSD/Windows 11/4 GB) price in India"/>
    <x v="46"/>
    <n v="1"/>
    <n v="100"/>
    <x v="0"/>
    <d v="2024-06-01T00:00:00"/>
    <s v="AMD Hexa-Core Ryzen 5 (5500U) 2.1 Ghz"/>
    <s v="Windows 11"/>
    <x v="6"/>
    <s v="14&quot; (35.56 cm), 1920 x 1200 px, IPS LCD Display"/>
    <s v="Web Camera"/>
    <s v="Slim 18.6 mm"/>
    <s v="HDMI Port"/>
    <m/>
    <m/>
    <x v="3"/>
    <x v="6"/>
    <x v="0"/>
  </r>
  <r>
    <s v="HP 15-fc0155AU (9D3M9PA) Laptop (AMD Quad Core Ryzen 5/8 GB/512 GB SSD/Windows 11)"/>
    <s v="HP 15-fc0155AU (9D3M9PA) Laptop (AMD Quad Core Ryzen 5/8 GB/512 GB SSD/Windows 11) price in India"/>
    <x v="47"/>
    <n v="2"/>
    <n v="100"/>
    <x v="0"/>
    <d v="2024-06-01T00:00:00"/>
    <s v="AMD Hexa-Core Ryzen 5 (5500U) 2.1 Ghz"/>
    <s v="Windows 11"/>
    <x v="20"/>
    <s v="15.6&quot; (39.62 cm), 1920 x 1080 px, IPS LCD Display"/>
    <s v="Web Camera"/>
    <s v="Slim 18.6 mm"/>
    <s v="HDMI Port"/>
    <m/>
    <n v="76"/>
    <x v="7"/>
    <x v="6"/>
    <x v="2"/>
  </r>
  <r>
    <s v="Samsung Galaxy Book 4 360 NP750QGK-KG2IN Laptop (Core 7 Series 1 /16 GB/512 GB SSD/Windows 11)"/>
    <s v="Samsung Galaxy Book 4 360 NP750QGK-KG2IN Laptop (Core 7 Series 1 /16 GB/512 GB SSD/Windows 11) price in India"/>
    <x v="48"/>
    <n v="1"/>
    <n v="100"/>
    <x v="0"/>
    <d v="2024-03-01T00:00:00"/>
    <s v="AMD Hexa-Core Ryzen 5 (5500U) 2.1 Ghz"/>
    <s v="Windows 11"/>
    <x v="17"/>
    <s v="15.6&quot; (39.62 cm), 1920 x 1080 px, AMOLED Display"/>
    <s v="Web Camera"/>
    <s v="Slim 13.7 mm"/>
    <s v="HDMI Port"/>
    <m/>
    <n v="82"/>
    <x v="8"/>
    <x v="6"/>
    <x v="0"/>
  </r>
  <r>
    <s v="Samsung Galaxy Book 4 360 NP750QGK-KG3IN Laptop (Core 7 Series 1 /16 GB/1 TB SSD/Windows 11)"/>
    <s v="Samsung Galaxy Book 4 360 NP750QGK-KG3IN Laptop (Core 7 Series 1 /16 GB/1 TB SSD/Windows 11) price in India"/>
    <x v="49"/>
    <n v="1"/>
    <n v="100"/>
    <x v="0"/>
    <d v="2024-02-01T00:00:00"/>
    <s v="AMD Hexa-Core Ryzen 5 (5500U) 2.1 Ghz"/>
    <s v="Windows 11"/>
    <x v="21"/>
    <s v="15.6&quot; (39.62 cm), 1920 x 1080 px, AMOLED Display"/>
    <s v="Web Camera"/>
    <s v="Slim 13.7 mm"/>
    <s v="HDMI Port"/>
    <m/>
    <n v="83"/>
    <x v="8"/>
    <x v="6"/>
    <x v="0"/>
  </r>
  <r>
    <s v="Samsung Galaxy Book 4 Pro 360 NP960QGK-KG1IN Laptop (Core Ultra 7/16 GB/512 GB SSD/Windows 11)"/>
    <s v="Samsung Galaxy Book 4 Pro 360 NP960QGK-KG1IN Laptop (Core Ultra 7/16 GB/512 GB SSD/Windows 11) price in India"/>
    <x v="50"/>
    <n v="1"/>
    <n v="100"/>
    <x v="0"/>
    <d v="2024-02-01T00:00:00"/>
    <s v="AMD Hexa-Core Ryzen 5 (5500U) 2.1 Ghz"/>
    <s v="Windows 11"/>
    <x v="8"/>
    <s v="16&quot; (40.64 cm), 2880 x 1800 px, AMOLED Display"/>
    <s v="Web Camera"/>
    <s v="Slim 12.8 mm"/>
    <s v="HDMI Port"/>
    <m/>
    <n v="85"/>
    <x v="8"/>
    <x v="6"/>
    <x v="0"/>
  </r>
  <r>
    <s v="Asus ROG Strix Scar 16 G634JZR-CM932WS Laptop (Core i9 14th Gen/32 GB/2 TB SSD/Windows 11/12 GB)"/>
    <s v="Asus ROG Strix Scar 16 G634JZR-CM932WS Laptop (Core i9 14th Gen/32 GB/2 TB SSD/Windows 11/12 GB) price in India"/>
    <x v="10"/>
    <n v="3"/>
    <n v="100"/>
    <x v="0"/>
    <d v="2024-02-01T00:00:00"/>
    <s v="AMD Hexa-Core Ryzen 5 (5500U) 2.1 Ghz"/>
    <s v="Windows 11"/>
    <x v="22"/>
    <s v="16&quot; (40.64 cm), 2560 x 1600 px, Mini LED Display"/>
    <s v="Web Camera"/>
    <m/>
    <s v="HDMI Port"/>
    <m/>
    <m/>
    <x v="2"/>
    <x v="6"/>
    <x v="3"/>
  </r>
  <r>
    <s v="Asus ROG Strix Scar 16 G634JYR-RA001WS Laptop (Core i9 14th Gen/32 GB/2 TB SSD/Windows 11/16 GB)"/>
    <s v="Asus ROG Strix Scar 16 G634JYR-RA001WS Laptop (Core i9 14th Gen/32 GB/2 TB SSD/Windows 11/16 GB) price in India"/>
    <x v="51"/>
    <n v="2"/>
    <n v="100"/>
    <x v="0"/>
    <d v="2024-02-01T00:00:00"/>
    <s v="AMD Hexa-Core Ryzen 5 (5500U) 2.1 Ghz"/>
    <s v="Windows 11"/>
    <x v="22"/>
    <s v="16&quot; (40.64 cm), 2560 x 1600 px, Mini LED Display"/>
    <s v="Web Camera"/>
    <m/>
    <s v="HDMI Port"/>
    <m/>
    <m/>
    <x v="2"/>
    <x v="6"/>
    <x v="3"/>
  </r>
  <r>
    <s v="Lenovo LOQ 15IRX9 (83DV007HIN) Laptop (Core i7 13th Gen/16 GB/512 GB SSD/Windows 11/6 GB)"/>
    <s v="Lenovo LOQ 15IRX9 (83DV007HIN) Laptop (Core i7 13th Gen/16 GB/512 GB SSD/Windows 11/6 GB) price in India"/>
    <x v="52"/>
    <n v="2"/>
    <n v="100"/>
    <x v="0"/>
    <d v="2024-01-01T00:00:00"/>
    <s v="AMD Hexa-Core Ryzen 5 (5500U) 2.1 Ghz"/>
    <s v="Windows 11"/>
    <x v="6"/>
    <s v="15.6&quot; (39.62 cm), 1920 x 1080 px, IPS LCD Display"/>
    <s v="Web Camera"/>
    <s v="Slim 21.9 mm"/>
    <s v="HDMI Port"/>
    <m/>
    <m/>
    <x v="5"/>
    <x v="6"/>
    <x v="0"/>
  </r>
  <r>
    <s v="HP Spectre x360 14-eu0556TU (9T8K6PA) Laptop (Intel Core Ultra 7/32 GB/1 TB SSD/Windows 11)"/>
    <s v="HP Spectre x360 14-eu0556TU (9T8K6PA) Laptop (Intel Core Ultra 7/32 GB/1 TB SSD/Windows 11) price in India"/>
    <x v="14"/>
    <n v="3"/>
    <n v="100"/>
    <x v="0"/>
    <d v="2024-01-01T00:00:00"/>
    <s v="AMD Hexa-Core Ryzen 5 (5500U) 2.1 Ghz"/>
    <s v="Windows 11"/>
    <x v="7"/>
    <s v="14&quot; (35.56 cm), 2880 x 1800 px, OLED Display"/>
    <s v="Web Camera"/>
    <s v="Slim 16.9 mm"/>
    <m/>
    <m/>
    <n v="86"/>
    <x v="7"/>
    <x v="6"/>
    <x v="3"/>
  </r>
  <r>
    <s v="HP Spectre x360 14-eu0666TU (9D0K7PA) Laptop (Intel Core Ultra 7/32 GB/1 TB SSD/Windows 11)"/>
    <s v="HP Spectre x360 14-eu0666TU (9D0K7PA) Laptop (Intel Core Ultra 7/32 GB/1 TB SSD/Windows 11) price in India"/>
    <x v="53"/>
    <n v="3"/>
    <n v="100"/>
    <x v="0"/>
    <d v="2024-01-01T00:00:00"/>
    <s v="AMD Hexa-Core Ryzen 5 (5500U) 2.1 Ghz"/>
    <s v="Windows 11"/>
    <x v="7"/>
    <s v="14&quot; (35.56 cm), 2880 x 1800 px, OLED Display"/>
    <s v="Web Camera"/>
    <s v="Slim 16.9 mm"/>
    <m/>
    <m/>
    <n v="87"/>
    <x v="7"/>
    <x v="6"/>
    <x v="3"/>
  </r>
  <r>
    <s v="Lenovo LOQ 15IRX9 (83DV007FIN) Laptop (Core i7 14th Gen/16 GB/1 TB SSD/Windows 11/8 GB)"/>
    <s v="Lenovo LOQ 15IRX9 (83DV007FIN) Laptop (Core i7 14th Gen/16 GB/1 TB SSD/Windows 11/8 GB) price in India"/>
    <x v="54"/>
    <n v="7"/>
    <n v="100"/>
    <x v="0"/>
    <d v="2024-01-01T00:00:00"/>
    <s v="AMD Hexa-Core Ryzen 5 (5500U) 2.4 Ghz"/>
    <s v="Windows 11"/>
    <x v="10"/>
    <s v="15.6&quot; (39.62 cm), 1920 x 1080 px, IPS LCD Display"/>
    <s v="Web Camera"/>
    <m/>
    <s v="HDMI Port"/>
    <m/>
    <m/>
    <x v="5"/>
    <x v="6"/>
    <x v="0"/>
  </r>
  <r>
    <s v="Asus VivoBook S14 Flip TN3402QA-LZ751WS Laptop (AMD Octa Core Ryzen 7/16 GB/1 TB SSD/Windows 11)"/>
    <s v="Asus VivoBook S14 Flip TN3402QA-LZ751WS Laptop (AMD Octa Core Ryzen 7/16 GB/1 TB SSD/Windows 11) price in India"/>
    <x v="55"/>
    <n v="1"/>
    <n v="100"/>
    <x v="0"/>
    <d v="2023-12-01T00:00:00"/>
    <s v="AMD Hexa-Core Ryzen 5 (5500U) 4 Ghz"/>
    <s v="Windows 11"/>
    <x v="23"/>
    <s v="14&quot; (35.56 cm), 1920 x 1200 px Display"/>
    <s v="Web Camera"/>
    <s v="Slim 18.9 mm"/>
    <s v="HDMI Port"/>
    <m/>
    <n v="77"/>
    <x v="2"/>
    <x v="6"/>
    <x v="0"/>
  </r>
  <r>
    <s v="Asus VivoBook 15 X1504ZA-NJ322WS Laptop (Core i3 12th Gen/8 GB/512 GB SSD/Windows 11)"/>
    <s v="Asus VivoBook 15 X1504ZA-NJ322WS Laptop (Core i3 12th Gen/8 GB/512 GB SSD/Windows 11) price in India"/>
    <x v="56"/>
    <n v="10"/>
    <n v="100"/>
    <x v="0"/>
    <d v="2023-11-01T00:00:00"/>
    <s v="AMD Hexa-Core Ryzen 5 (5500U) 4.0 Ghz"/>
    <s v="Windows 11"/>
    <x v="5"/>
    <s v="15.6&quot; (39.62 cm), 1920 x 1080 px, IPS LCD Display"/>
    <s v="Web Camera"/>
    <s v="Slim 17.9 mm"/>
    <s v="HDMI Port"/>
    <m/>
    <n v="76"/>
    <x v="2"/>
    <x v="6"/>
    <x v="2"/>
  </r>
  <r>
    <s v="Apple MacBook Pro M3 Pro MRX33HN/A Ultrabook (Apple M3 Pro/18 GB/512 GB SSD/macOS Sonoma)"/>
    <s v="Apple MacBook Pro M3 Pro MRX33HN/A Ultrabook (Apple M3 Pro/18 GB/512 GB SSD/macOS Sonoma) price in India"/>
    <x v="57"/>
    <n v="10"/>
    <n v="100"/>
    <x v="0"/>
    <d v="2023-11-01T00:00:00"/>
    <s v="AMD Hexa-Core Ryzen 5 (5500U) 4.0 Ghz"/>
    <s v="macOS Sonoma"/>
    <x v="24"/>
    <s v="14&quot; (35.56 cm), 3024 x 1964 px Display"/>
    <s v="Web Camera"/>
    <s v="Slim 15.5 mm"/>
    <s v="HDMI Port"/>
    <m/>
    <n v="73"/>
    <x v="0"/>
    <x v="6"/>
    <x v="6"/>
  </r>
  <r>
    <s v="Apple MacBook Pro M3 MTL73HN/A Ultrabook (Apple M3/8 GB/512 GB SSD/macOS Sonoma)"/>
    <s v="Apple MacBook Pro M3 MTL73HN/A Ultrabook (Apple M3/8 GB/512 GB SSD/macOS Sonoma) price in India"/>
    <x v="58"/>
    <n v="10"/>
    <n v="100"/>
    <x v="0"/>
    <d v="2023-11-01T00:00:00"/>
    <s v="AMD Hexa-Core Ryzen 5 (5500U) 4.0 Ghz"/>
    <s v="macOS Sonoma"/>
    <x v="25"/>
    <s v="14&quot; (35.56 cm), 3024 x 1964 px Display"/>
    <s v="Web Camera"/>
    <s v="Slim 15.5 mm"/>
    <s v="HDMI Port"/>
    <m/>
    <n v="77"/>
    <x v="0"/>
    <x v="6"/>
    <x v="2"/>
  </r>
  <r>
    <s v="Apple MacBook Pro M3 Pro MRX73HN/A Ultrabook (Apple M3 Pro/18 GB/1 TB SSD/macOS Sonoma)"/>
    <s v="Apple MacBook Pro M3 Pro MRX73HN/A Ultrabook (Apple M3 Pro/18 GB/1 TB SSD/macOS Sonoma) price in India"/>
    <x v="58"/>
    <n v="10"/>
    <n v="100"/>
    <x v="0"/>
    <d v="2023-11-01T00:00:00"/>
    <s v="AMD Hexa-Core Ryzen 5 (5500U) 4.0 Ghz"/>
    <s v="macOS Sonoma"/>
    <x v="26"/>
    <s v="14.2&quot; (36.07 cm), 3072 x 1920 px, Liquid Retina XDR Display"/>
    <s v="Web Camera"/>
    <s v="Slim 15.5 mm"/>
    <s v="HDMI Port"/>
    <m/>
    <n v="73"/>
    <x v="0"/>
    <x v="6"/>
    <x v="6"/>
  </r>
  <r>
    <s v="Apple MacBook Pro M3 Pro MRX63HN/A Ultrabook (Apple M3 Pro/18 GB/512 GB SSD/macOS Sonoma)"/>
    <s v="Apple MacBook Pro M3 Pro MRX63HN/A Ultrabook (Apple M3 Pro/18 GB/512 GB SSD/macOS Sonoma) price in India"/>
    <x v="59"/>
    <n v="10"/>
    <n v="100"/>
    <x v="0"/>
    <d v="2023-11-01T00:00:00"/>
    <s v="AMD Hexa-Core Ryzen 5 (5500U) 4.0 Ghz"/>
    <s v="macOS Sonoma"/>
    <x v="24"/>
    <s v="14.2&quot; (36.07 cm), 3024 x 1964 px, Liquid Retina XDR Display"/>
    <s v="Web Camera"/>
    <s v="Slim 15.5 mm"/>
    <s v="HDMI Port"/>
    <m/>
    <n v="73"/>
    <x v="0"/>
    <x v="6"/>
    <x v="6"/>
  </r>
  <r>
    <s v="Microsoft Surface Go 3 (XKQ-00046) Laptop (Core i5 12th Gen/16 GB/256 GB SSD/Windows 11)"/>
    <s v="Microsoft Surface Go 3 (XKQ-00046) Laptop (Core i5 12th Gen/16 GB/256 GB SSD/Windows 11) price in India"/>
    <x v="60"/>
    <n v="2"/>
    <n v="100"/>
    <x v="0"/>
    <d v="2023-10-01T00:00:00"/>
    <s v="AMD Hexa-Core Ryzen 5 (5500U) 4.0 Ghz"/>
    <s v="Windows 11"/>
    <x v="27"/>
    <s v="12.4&quot; (31.5 cm), 1536 x 1024 px Display"/>
    <s v="Web Camera"/>
    <s v="Slim 15.7 mm"/>
    <m/>
    <m/>
    <n v="75"/>
    <x v="4"/>
    <x v="6"/>
    <x v="0"/>
  </r>
  <r>
    <s v="HP 14-em0027AU (7N8C4PA) Laptop (AMD Quad Core Ryzen 5/16 GB/512 GB SSD/Windows 11)"/>
    <s v="HP 14-em0027AU (7N8C4PA) Laptop (AMD Quad Core Ryzen 5/16 GB/512 GB SSD/Windows 11) price in India"/>
    <x v="61"/>
    <n v="1"/>
    <n v="100"/>
    <x v="0"/>
    <d v="2023-09-01T00:00:00"/>
    <s v="AMD Hexa-Core Ryzen 5 (5500U) 4.0 Ghz"/>
    <s v="Windows 11"/>
    <x v="17"/>
    <s v="14&quot; (35.56 cm), 1920 x 1080 px, IPS LCD Display"/>
    <s v="Web Camera"/>
    <s v="Slim 17 mm"/>
    <s v="HDMI Port"/>
    <m/>
    <n v="76"/>
    <x v="7"/>
    <x v="6"/>
    <x v="0"/>
  </r>
  <r>
    <s v="Asus VivoBook Pro 15 M6500QC-HN751WS Laptop (AMD Octa Core Ryzen 7/16 GB/1 TB SSD/Windows 11/4 GB)"/>
    <s v="Asus VivoBook Pro 15 M6500QC-HN751WS Laptop (AMD Octa Core Ryzen 7/16 GB/1 TB SSD/Windows 11/4 GB) price in India"/>
    <x v="62"/>
    <n v="3"/>
    <n v="100"/>
    <x v="0"/>
    <d v="2023-09-01T00:00:00"/>
    <s v="AMD Hexa-Core Ryzen 5 (5500U) 4.0 Ghz"/>
    <s v="Windows 11"/>
    <x v="23"/>
    <s v="15.6&quot; (39.62 cm), 1920 x 1080 px, IPS LCD Display"/>
    <s v="Web Camera"/>
    <s v="Slim 18.9 mm"/>
    <s v="HDMI Port"/>
    <m/>
    <n v="85"/>
    <x v="2"/>
    <x v="6"/>
    <x v="0"/>
  </r>
  <r>
    <s v="Asus TUF Gaming F15 FX507ZC4-HN116WS Laptop (Core i5 12th Gen/16 GB/512 GB SSD/Windows 11/4 GB)"/>
    <s v="Asus TUF Gaming F15 FX507ZC4-HN116WS Laptop (Core i5 12th Gen/16 GB/512 GB SSD/Windows 11/4 GB) price in India"/>
    <x v="63"/>
    <n v="1"/>
    <n v="100"/>
    <x v="0"/>
    <d v="2023-08-01T00:00:00"/>
    <s v="AMD Hexa-Core Ryzen 5 (5500U) 4.0 Ghz"/>
    <s v="Windows 11"/>
    <x v="2"/>
    <s v="15.6&quot; (39.62 cm), 1920 x 1080 px, IPS LCD Display"/>
    <s v="Web Camera"/>
    <m/>
    <s v="HDMI Port"/>
    <m/>
    <n v="87"/>
    <x v="2"/>
    <x v="6"/>
    <x v="0"/>
  </r>
  <r>
    <s v="Apple MacBook Pro M2 Pro MNW83HN/A Ultrabook (Apple M2 Pro/16 GB/512 GB SSD/macOS Ventura)"/>
    <s v="Apple MacBook Pro M2 Pro MNW83HN/A Ultrabook (Apple M2 Pro/16 GB/512 GB SSD/macOS Ventura) price in India"/>
    <x v="64"/>
    <n v="6"/>
    <n v="100"/>
    <x v="0"/>
    <d v="2023-07-01T00:00:00"/>
    <s v="AMD Hexa-Core Ryzen 5 (5500U) 4.0 Ghz"/>
    <s v="macOS Ventura"/>
    <x v="28"/>
    <s v="16.2&quot; (41.15 cm), 3456 x 2234 px, Liquid Retina XDR Display"/>
    <s v="Web Camera"/>
    <s v="Slim 16.8 mm"/>
    <m/>
    <m/>
    <n v="77"/>
    <x v="0"/>
    <x v="7"/>
    <x v="0"/>
  </r>
  <r>
    <s v="Apple MacBook Pro M2 Max MPHK3HN/A Ultrabook (Apple M2 Max/32 GB/1 TB SSD/macOS Ventura)"/>
    <s v="Apple MacBook Pro M2 Max MPHK3HN/A Ultrabook (Apple M2 Max/32 GB/1 TB SSD/macOS Ventura) price in India"/>
    <x v="65"/>
    <n v="1"/>
    <n v="100"/>
    <x v="0"/>
    <d v="2023-07-01T00:00:00"/>
    <s v="AMD Hexa-Core Ryzen 5 (5600H) 3.1 Ghz"/>
    <s v="macOS Ventura"/>
    <x v="29"/>
    <s v="14.2&quot; (36.07 cm), 3024 x 1964 px, Liquid Retina XDR Display"/>
    <s v="Web Camera"/>
    <s v="Slim 15.5 mm"/>
    <m/>
    <m/>
    <n v="80"/>
    <x v="0"/>
    <x v="7"/>
    <x v="3"/>
  </r>
  <r>
    <s v="HP Envy x360 15-fh0016AU (8C4S2PA) Laptop (AMD Hexa Core Ryzen 5/16 GB/512 GB SSD/Windows 11)"/>
    <s v="HP Envy x360 15-fh0016AU (8C4S2PA) Laptop (AMD Hexa Core Ryzen 5/16 GB/512 GB SSD/Windows 11) price in India"/>
    <x v="66"/>
    <n v="2"/>
    <n v="100"/>
    <x v="0"/>
    <d v="2023-07-01T00:00:00"/>
    <s v="AMD Hexa-Core Ryzen 5 (5600H) 3.3 Ghz"/>
    <s v="Windows 11"/>
    <x v="30"/>
    <s v="15.6&quot; (39.62 cm), 1920 x 1080 px, OLED Display"/>
    <s v="Web Camera"/>
    <s v="Slim 18.3 mm"/>
    <s v="HDMI Port"/>
    <m/>
    <n v="72"/>
    <x v="7"/>
    <x v="6"/>
    <x v="0"/>
  </r>
  <r>
    <s v="Lenovo ThinkBook 15 (21JF002CIN) Laptop (AMD Quad Core Ryzen 3/8 GB/512 GB SSD/DOS)"/>
    <s v="Lenovo ThinkBook 15 (21JF002CIN) Laptop (AMD Quad Core Ryzen 3/8 GB/512 GB SSD/DOS) price in India"/>
    <x v="67"/>
    <n v="1"/>
    <n v="100"/>
    <x v="0"/>
    <d v="2023-07-01T00:00:00"/>
    <s v="AMD Hexa-Core Ryzen 5 (5600H) 3.3 Ghz"/>
    <s v="DOS"/>
    <x v="5"/>
    <s v="15.6&quot; (39.62 cm), 1920 x 1080 px, TN LCD Display"/>
    <s v="Web Camera"/>
    <s v="Slim 18.9 mm"/>
    <s v="HDMI Port"/>
    <m/>
    <n v="73"/>
    <x v="5"/>
    <x v="6"/>
    <x v="2"/>
  </r>
  <r>
    <s v="Asus ROG Flow X13 GV302XU-MU013WS Laptop (AMD Octa Core Ryzen 9/16 GB/1 TB SSD/Windows 11/6 GB)"/>
    <s v="Asus ROG Flow X13 GV302XU-MU013WS Laptop (AMD Octa Core Ryzen 9/16 GB/1 TB SSD/Windows 11/6 GB) price in India"/>
    <x v="68"/>
    <n v="1"/>
    <n v="100"/>
    <x v="0"/>
    <d v="2023-05-01T00:00:00"/>
    <s v="AMD Hexa-Core Ryzen 5 (5600H) 3.3 Ghz"/>
    <s v="Windows 11"/>
    <x v="21"/>
    <s v="13.4&quot; (34.04 cm), 2560 x 1600 px Display"/>
    <s v="Web Camera"/>
    <s v="Slim 18.7 mm"/>
    <s v="HDMI Port"/>
    <m/>
    <n v="86"/>
    <x v="2"/>
    <x v="6"/>
    <x v="0"/>
  </r>
  <r>
    <s v="Asus ROG Zephyrus G14 GA402XZ-N2020WS Laptop (AMD Octa Core Ryzen 9/32 GB/1 TB SSD/Windows 11/12 GB)"/>
    <s v="Asus ROG Zephyrus G14 GA402XZ-N2020WS Laptop (AMD Octa Core Ryzen 9/32 GB/1 TB SSD/Windows 11/12 GB) price in India"/>
    <x v="69"/>
    <n v="2"/>
    <n v="100"/>
    <x v="0"/>
    <d v="2023-05-01T00:00:00"/>
    <s v="AMD Hexa-Core Ryzen 5 (5600H) 3.3 Ghz"/>
    <s v="Windows 11"/>
    <x v="19"/>
    <s v="14&quot; (35.56 cm), 2560 x 1600 px, IPS LCD Display"/>
    <s v="Web Camera"/>
    <s v="Slim 20.5 mm"/>
    <s v="HDMI Port"/>
    <m/>
    <m/>
    <x v="2"/>
    <x v="6"/>
    <x v="3"/>
  </r>
  <r>
    <s v="HP ProBook 440 G8 (5D6U3PA) Laptop (Core i5 11th Gen/8 GB/512 GB SSD/Windows 11)"/>
    <s v="HP ProBook 440 G8 (5D6U3PA) Laptop (Core i5 11th Gen/8 GB/512 GB SSD/Windows 11) price in India"/>
    <x v="70"/>
    <n v="1"/>
    <n v="100"/>
    <x v="0"/>
    <d v="2023-05-01T00:00:00"/>
    <s v="AMD Hexa-Core Ryzen 5 (5600H) 3.3 Ghz"/>
    <s v="Windows 11"/>
    <x v="5"/>
    <s v="14&quot; (35.56 cm), 1366 x 768 px, IPS LCD Display"/>
    <s v="Web Camera"/>
    <s v="Slim 19.9 mm"/>
    <s v="HDMI Port"/>
    <m/>
    <n v="72"/>
    <x v="7"/>
    <x v="6"/>
    <x v="2"/>
  </r>
  <r>
    <s v="Asus ROG Strix G17 G713PU-LL060WS Laptop (AMD Hexadeca Core Ryzen 9/16 GB/1 TB SSD/Windows 11/6 GB)"/>
    <s v="Asus ROG Strix G17 G713PU-LL060WS Laptop (AMD Hexadeca Core Ryzen 9/16 GB/1 TB SSD/Windows 11/6 GB) price in India"/>
    <x v="14"/>
    <n v="1"/>
    <n v="100"/>
    <x v="0"/>
    <d v="2023-05-01T00:00:00"/>
    <s v="AMD Hexa-Core Ryzen 5 (5600H) 3.3 Ghz"/>
    <s v="Windows 11"/>
    <x v="10"/>
    <s v="17.3&quot; (43.94 cm), 2560 x 1440 px, IPS LCD Display"/>
    <s v="Web Camera"/>
    <m/>
    <s v="HDMI Port"/>
    <m/>
    <n v="87"/>
    <x v="2"/>
    <x v="6"/>
    <x v="0"/>
  </r>
  <r>
    <s v="HP 14-em0026AU (7N8C3PA) Laptop (AMD Quad Core Ryzen 5/8 GB/512 GB SSD/Windows 11)"/>
    <s v="HP 14-em0026AU (7N8C3PA) Laptop (AMD Quad Core Ryzen 5/8 GB/512 GB SSD/Windows 11) price in India"/>
    <x v="71"/>
    <n v="2"/>
    <n v="100"/>
    <x v="0"/>
    <d v="2023-05-01T00:00:00"/>
    <s v="AMD Hexa-Core Ryzen 5 (5600H) 3.3 Ghz"/>
    <s v="Windows 11"/>
    <x v="20"/>
    <s v="14&quot; (35.56 cm), 1920 x 1080 px, IPS LCD Display"/>
    <s v="Web Camera"/>
    <s v="Slim 17.9 mm"/>
    <s v="HDMI Port"/>
    <m/>
    <n v="72"/>
    <x v="7"/>
    <x v="6"/>
    <x v="2"/>
  </r>
  <r>
    <s v="Asus ZenBook S13 OLED UX5304VA-NQ742WS Laptop (Core i7 13th Gen/16 GB/1 TB SSD/Windows 11)"/>
    <s v="Asus ZenBook S13 OLED UX5304VA-NQ742WS Laptop (Core i7 13th Gen/16 GB/1 TB SSD/Windows 11) price in India"/>
    <x v="72"/>
    <n v="1"/>
    <n v="100"/>
    <x v="0"/>
    <d v="2023-04-01T00:00:00"/>
    <s v="AMD Hexa-Core Ryzen 5 (5600H) 3.3 Ghz"/>
    <s v="Windows 11"/>
    <x v="21"/>
    <s v="13.3&quot; (33.78 cm), 2880 x 1800 px, OLED Display"/>
    <s v="Web Camera"/>
    <s v="Slim 10.3 mm"/>
    <s v="HDMI Port"/>
    <m/>
    <n v="78"/>
    <x v="2"/>
    <x v="6"/>
    <x v="0"/>
  </r>
  <r>
    <s v="Asus VivoBook 15X OLED K3504VA-LK541WS Laptop (Core i5 13th Gen/16 GB/512 GB SSD/Windows 11)"/>
    <s v="Asus VivoBook 15X OLED K3504VA-LK541WS Laptop (Core i5 13th Gen/16 GB/512 GB SSD/Windows 11) price in India"/>
    <x v="73"/>
    <n v="1"/>
    <n v="100"/>
    <x v="0"/>
    <d v="2023-04-01T00:00:00"/>
    <s v="AMD Hexa-Core Ryzen 5 (5600H) 3.3 Ghz"/>
    <s v="Windows 11"/>
    <x v="2"/>
    <s v="15.6&quot; (39.62 cm), 1920 x 1080 px, OLED Display"/>
    <s v="Web Camera"/>
    <m/>
    <s v="HDMI Port"/>
    <m/>
    <n v="77"/>
    <x v="2"/>
    <x v="6"/>
    <x v="0"/>
  </r>
  <r>
    <s v="Asus VivoBook Go 15 OLED E1504GA-LK321WS Laptop (Core i3 12th Gen/8 GB/512 GB SSD/Windows 11)"/>
    <s v="Asus VivoBook Go 15 OLED E1504GA-LK321WS Laptop (Core i3 12th Gen/8 GB/512 GB SSD/Windows 11) price in India"/>
    <x v="6"/>
    <n v="1"/>
    <n v="100"/>
    <x v="0"/>
    <d v="2023-04-01T00:00:00"/>
    <s v="AMD Hexa-Core Ryzen 5 (5600H) 3.3 Ghz"/>
    <s v="Windows 11"/>
    <x v="5"/>
    <s v="15.6&quot; (39.62 cm), 1920 x 1080 px, OLED Display"/>
    <s v="Web Camera"/>
    <s v="Slim 15 mm"/>
    <s v="HDMI Port"/>
    <m/>
    <n v="74"/>
    <x v="2"/>
    <x v="6"/>
    <x v="2"/>
  </r>
  <r>
    <s v="Asus ROG Strix Scar 18 G834JZ-N5041WS Laptop (Core i9 13th Gen/32 GB/1 TB SSD/Windows 11/12 GB)"/>
    <s v="Asus ROG Strix Scar 18 G834JZ-N5041WS Laptop (Core i9 13th Gen/32 GB/1 TB SSD/Windows 11/12 GB) price in India"/>
    <x v="74"/>
    <n v="4"/>
    <n v="100"/>
    <x v="0"/>
    <d v="2023-03-01T00:00:00"/>
    <s v="AMD Hexa-Core Ryzen 5 (5600H) 3.3 Ghz"/>
    <s v="Windows 11"/>
    <x v="19"/>
    <s v="18&quot; (45.72 cm), 1920 x 1200 px, IPS LCD Display"/>
    <s v="Web Camera"/>
    <m/>
    <m/>
    <m/>
    <m/>
    <x v="2"/>
    <x v="6"/>
    <x v="3"/>
  </r>
  <r>
    <s v="Lenovo Thinkpad P16s (21BTS02000) Laptop (Core i7 12th Gen/16 GB/1 TB SSD/Windows 11/4 GB)"/>
    <s v="Lenovo Thinkpad P16s (21BTS02000) Laptop (Core i7 12th Gen/16 GB/1 TB SSD/Windows 11/4 GB) price in India"/>
    <x v="59"/>
    <n v="1"/>
    <n v="100"/>
    <x v="0"/>
    <d v="2023-02-01T00:00:00"/>
    <s v="AMD Hexa-Core Ryzen 5 (5600H) 3.3 Ghz"/>
    <s v="Windows 11"/>
    <x v="23"/>
    <s v="16&quot; (40.64 cm), x px, IPS LCD Display"/>
    <s v="Web Camera"/>
    <s v="Slim 21 mm"/>
    <s v="HDMI Port"/>
    <m/>
    <n v="77"/>
    <x v="5"/>
    <x v="6"/>
    <x v="0"/>
  </r>
  <r>
    <s v="Microsoft Surface Pro 9 Intel Evo (QEZ-00065) Laptop (Core i5 12th Gen/8 GB/256 GB SSD/Windows 11)"/>
    <s v="Microsoft Surface Pro 9 Intel Evo (QEZ-00065) Laptop (Core i5 12th Gen/8 GB/256 GB SSD/Windows 11) price in India"/>
    <x v="75"/>
    <n v="7"/>
    <n v="100"/>
    <x v="0"/>
    <d v="2022-11-01T00:00:00"/>
    <s v="AMD Hexa-Core Ryzen 5 (5600H) 3.3 Ghz"/>
    <s v="Windows 11"/>
    <x v="31"/>
    <s v="13&quot; (33.02 cm), 1600 x 1200 px Display"/>
    <s v="Web Camera"/>
    <s v="Slim 09 mm"/>
    <m/>
    <m/>
    <n v="75"/>
    <x v="4"/>
    <x v="6"/>
    <x v="2"/>
  </r>
  <r>
    <s v="Microsoft Surface Pro 9 (QIX-00031) Laptop (Core i7 12th Gen/16 GB/512 GB SSD/Windows 11)"/>
    <s v="Microsoft Surface Pro 9 (QIX-00031) Laptop (Core i7 12th Gen/16 GB/512 GB SSD/Windows 11) price in India"/>
    <x v="76"/>
    <n v="2"/>
    <n v="100"/>
    <x v="0"/>
    <d v="2022-11-01T00:00:00"/>
    <s v="AMD Hexa-Core Ryzen 5 (5600H) 3.3 Ghz"/>
    <s v="Windows 11"/>
    <x v="17"/>
    <s v="13&quot; (33.02 cm), 2880 x 1920 px Display"/>
    <s v="Web Camera"/>
    <s v="Slim 09 mm"/>
    <m/>
    <m/>
    <n v="78"/>
    <x v="4"/>
    <x v="6"/>
    <x v="0"/>
  </r>
  <r>
    <s v="Microsoft Surface 5 Intel Evo (RBG-00048) Laptop (Core i7 12th Gen/16 GB/512 GB SSD/Windows 11)"/>
    <s v="Microsoft Surface 5 Intel Evo (RBG-00048) Laptop (Core i7 12th Gen/16 GB/512 GB SSD/Windows 11) price in India"/>
    <x v="77"/>
    <n v="1"/>
    <n v="100"/>
    <x v="0"/>
    <d v="2022-11-01T00:00:00"/>
    <s v="AMD Hexa-Core Ryzen 5 (5600H) 3.3 Ghz"/>
    <s v="Windows 11"/>
    <x v="8"/>
    <s v="13.5&quot; (34.29 cm), 2256 x 1504 px Display"/>
    <s v="Web Camera"/>
    <s v="Slim 14.5 mm"/>
    <m/>
    <m/>
    <n v="77"/>
    <x v="4"/>
    <x v="6"/>
    <x v="0"/>
  </r>
  <r>
    <s v="Asus ROG Strix G15 G513IH-HN084TS Laptop (AMD Octa Core Ryzen 7/8 GB/512 GB SSD/Windows 10/4 GB)"/>
    <s v="Asus ROG Strix G15 G513IH-HN084TS Laptop (AMD Octa Core Ryzen 7/8 GB/512 GB SSD/Windows 10/4 GB) price in India"/>
    <x v="78"/>
    <n v="4"/>
    <n v="100"/>
    <x v="0"/>
    <d v="2022-11-01T00:00:00"/>
    <s v="AMD Hexa-Core Ryzen 5 (5600H) 3.3 Ghz"/>
    <s v="Windows 10"/>
    <x v="5"/>
    <s v="15.6&quot; (39.62 cm), 1920 x 1080 px, LED Display"/>
    <m/>
    <s v="Slim 20.6 mm"/>
    <s v="HDMI Port"/>
    <s v="3 USB Ports"/>
    <n v="75"/>
    <x v="2"/>
    <x v="6"/>
    <x v="2"/>
  </r>
  <r>
    <s v="Asus ROG Zephyrus G15 GA503RMZ-LN155WS Laptop (AMD Octa Core Ryzen 7/16 GB/1 TB SSD/Windows 11/6 GB)"/>
    <s v="Asus ROG Zephyrus G15 GA503RMZ-LN155WS Laptop (AMD Octa Core Ryzen 7/16 GB/1 TB SSD/Windows 11/6 GB) price in India"/>
    <x v="79"/>
    <n v="1"/>
    <n v="100"/>
    <x v="0"/>
    <d v="2022-11-01T00:00:00"/>
    <s v="AMD Hexa-Core Ryzen 5 (5600H) 3.3 Ghz"/>
    <s v="Windows 11"/>
    <x v="10"/>
    <s v="15.6&quot; (39.62 cm), 2560 x 1440 px Display"/>
    <s v="Web Camera"/>
    <s v="Slim 20 mm"/>
    <s v="HDMI Port"/>
    <s v="4 USB Ports"/>
    <n v="84"/>
    <x v="2"/>
    <x v="6"/>
    <x v="0"/>
  </r>
  <r>
    <s v="Asus ROG Zephyrus G15 GA503RMZ-HQ153WS Laptop (AMD Octa Core Ryzen 7/16 GB/1 TB SSD/Windows 11/6 GB)"/>
    <s v="Asus ROG Zephyrus G15 GA503RMZ-HQ153WS Laptop (AMD Octa Core Ryzen 7/16 GB/1 TB SSD/Windows 11/6 GB) price in India"/>
    <x v="8"/>
    <n v="1"/>
    <n v="100"/>
    <x v="0"/>
    <d v="2022-11-01T00:00:00"/>
    <s v="AMD Hexa-Core Ryzen 5 (5600H) 3.3 Ghz"/>
    <s v="Windows 11"/>
    <x v="10"/>
    <s v="15.6&quot; (39.62 cm), 2560 x 1440 px, IPS LCD Display"/>
    <s v="Web Camera"/>
    <s v="Slim 20 mm"/>
    <s v="HDMI Port"/>
    <m/>
    <n v="85"/>
    <x v="2"/>
    <x v="6"/>
    <x v="0"/>
  </r>
  <r>
    <s v="Asus ROG Zephyrus G15 GA503RSZ-HQ061WS Laptop (AMD Octa Core Ryzen 9/16 GB/1 TB SSD/Windows 11/8 GB)"/>
    <s v="Asus ROG Zephyrus G15 GA503RSZ-HQ061WS Laptop (AMD Octa Core Ryzen 9/16 GB/1 TB SSD/Windows 11/8 GB) price in India"/>
    <x v="80"/>
    <n v="4"/>
    <n v="100"/>
    <x v="0"/>
    <d v="2022-11-01T00:00:00"/>
    <s v="AMD Hexa-Core Ryzen 5 (5600H) 3.3 Ghz"/>
    <s v="Windows 11"/>
    <x v="10"/>
    <s v="15.6&quot; (39.62 cm), 2560 x 1440 px Display"/>
    <s v="Web Camera"/>
    <s v="Slim 20 mm"/>
    <s v="HDMI Port"/>
    <s v="4 USB Ports"/>
    <n v="83"/>
    <x v="2"/>
    <x v="6"/>
    <x v="0"/>
  </r>
  <r>
    <s v="Asus Zenbook 17 Fold OLED Intel Evo UX9702AA-MD023WS Laptop (Core i7 12th Gen/16 GB/1 TB SSD/Windows 11)"/>
    <s v="Asus Zenbook 17 Fold OLED Intel Evo UX9702AA-MD023WS Laptop (Core i7 12th Gen/16 GB/1 TB SSD/Windows 11) price in India"/>
    <x v="81"/>
    <n v="6"/>
    <n v="100"/>
    <x v="0"/>
    <d v="2022-10-01T00:00:00"/>
    <s v="AMD Hexa-Core Ryzen 5 (5600H) 3.3 Ghz"/>
    <s v="Windows 11"/>
    <x v="21"/>
    <s v="17.3&quot; (43.94 cm), 2560 x 1920 px, OLED Display"/>
    <s v="Web Camera"/>
    <s v="Slim 11.7 mm"/>
    <m/>
    <s v="2 USB Ports"/>
    <n v="80"/>
    <x v="2"/>
    <x v="6"/>
    <x v="0"/>
  </r>
  <r>
    <s v="Dell G15-5520 (D560895WIN9S) Laptop (Core i7 12th Gen/16 GB/512 GB SSD/Windows 11/6 GB)"/>
    <s v="Dell G15-5520 (D560895WIN9S) Laptop (Core i7 12th Gen/16 GB/512 GB SSD/Windows 11/6 GB) price in India"/>
    <x v="82"/>
    <n v="2"/>
    <n v="100"/>
    <x v="0"/>
    <d v="2022-09-01T00:00:00"/>
    <s v="AMD Hexa-Core Ryzen 5 (5600H) 3.3 Ghz"/>
    <s v="Windows 11"/>
    <x v="6"/>
    <s v="15.6&quot; (39.62 cm), 1920 x 1080 px, IPS LCD Display"/>
    <s v="Web Camera"/>
    <m/>
    <s v="HDMI Port"/>
    <m/>
    <n v="83"/>
    <x v="6"/>
    <x v="6"/>
    <x v="0"/>
  </r>
  <r>
    <s v="Asus ROG Zephyrus G15 GA503RM-LN095WS Laptop (AMD Octa Core Ryzen 9/16 GB/1 TB SSD/Windows 11/6 GB)"/>
    <s v="Asus ROG Zephyrus G15 GA503RM-LN095WS Laptop (AMD Octa Core Ryzen 9/16 GB/1 TB SSD/Windows 11/6 GB) price in India"/>
    <x v="83"/>
    <n v="1"/>
    <n v="100"/>
    <x v="0"/>
    <d v="2022-08-01T00:00:00"/>
    <s v="AMD Hexa-Core Ryzen 5 (5600H) 4.2 Ghz"/>
    <s v="Windows 11"/>
    <x v="10"/>
    <s v="15.6&quot; (39.62 cm), 2560 x 1440 px, IPS LCD Display"/>
    <s v="Web Camera"/>
    <s v="Slim 19.9 mm"/>
    <s v="HDMI Port"/>
    <m/>
    <n v="85"/>
    <x v="2"/>
    <x v="6"/>
    <x v="0"/>
  </r>
  <r>
    <s v="Asus ProArt Studiobook Pro 16 OLED H7600ZW-L711WS Laptop (Core i7 12th Gen/32 GB/1 TB SSD/Windows 11/8 GB)"/>
    <s v="Asus ProArt Studiobook Pro 16 OLED H7600ZW-L711WS Laptop (Core i7 12th Gen/32 GB/1 TB SSD/Windows 11/8 GB) price in India"/>
    <x v="84"/>
    <n v="2"/>
    <n v="100"/>
    <x v="0"/>
    <d v="2022-08-01T00:00:00"/>
    <s v="AMD Hexa-Core Ryzen 5 (5600H) 4.2 Ghz"/>
    <s v="Windows 11"/>
    <x v="19"/>
    <s v="16&quot; (40.64 cm), 3840 x 2400 px, OLED Display"/>
    <s v="Web Camera"/>
    <s v="Slim 21 mm"/>
    <s v="HDMI Port"/>
    <m/>
    <n v="87"/>
    <x v="2"/>
    <x v="6"/>
    <x v="3"/>
  </r>
  <r>
    <s v="Asus ProArt Studiobook Pro 16 OLED H7600ZM-L701WS Laptop (Core i7 12th Gen/16 GB/1 TB SSD/Windows 11/6 GB)"/>
    <s v="Asus ProArt Studiobook Pro 16 OLED H7600ZM-L701WS Laptop (Core i7 12th Gen/16 GB/1 TB SSD/Windows 11/6 GB) price in India"/>
    <x v="85"/>
    <n v="1"/>
    <n v="100"/>
    <x v="0"/>
    <d v="2022-08-01T00:00:00"/>
    <s v="AMD Hexa-Core Ryzen 5 (5600H) 4.2 Ghz"/>
    <s v="Windows 11"/>
    <x v="10"/>
    <s v="16&quot; (40.64 cm), 3840 x 2400 px, OLED Display"/>
    <s v="Web Camera"/>
    <s v="Slim 21 mm"/>
    <s v="HDMI Port"/>
    <m/>
    <n v="86"/>
    <x v="2"/>
    <x v="6"/>
    <x v="0"/>
  </r>
  <r>
    <s v="HP Omen 17-ck1023TX (6H9E0PA) Laptop (Core i9 12th Gen/32 GB/2 TB SSD/Windows 11/16 GB)"/>
    <s v="HP Omen 17-ck1023TX (6H9E0PA) Laptop (Core i9 12th Gen/32 GB/2 TB SSD/Windows 11/16 GB) price in India"/>
    <x v="86"/>
    <n v="2"/>
    <n v="100"/>
    <x v="0"/>
    <d v="2022-08-01T00:00:00"/>
    <s v="AMD Hexa-Core Ryzen 5 (5600H) 4.2 Ghz"/>
    <s v="Windows 11"/>
    <x v="22"/>
    <s v="17.3&quot; (43.94 cm), 2560 x 1440 px, IPS LCD Display"/>
    <s v="Web Camera"/>
    <m/>
    <s v="HDMI Port"/>
    <m/>
    <m/>
    <x v="7"/>
    <x v="6"/>
    <x v="3"/>
  </r>
  <r>
    <s v="HP Omen 17-ck1022TX (6J0W2PA) Laptop (Core i7 12th Gen/32 GB/1 TB SSD/Windows 11/8 GB)"/>
    <s v="HP Omen 17-ck1022TX (6J0W2PA) Laptop (Core i7 12th Gen/32 GB/1 TB SSD/Windows 11/8 GB) price in India"/>
    <x v="87"/>
    <n v="3"/>
    <n v="100"/>
    <x v="0"/>
    <d v="2022-08-01T00:00:00"/>
    <s v="AMD Hexa-Core Ryzen 5 (5600H) 4.2 Ghz"/>
    <s v="Windows 11"/>
    <x v="19"/>
    <s v="17.3&quot; (43.94 cm), 2560 x 1440 px, IPS LCD Display"/>
    <s v="Web Camera"/>
    <m/>
    <s v="HDMI Port"/>
    <m/>
    <m/>
    <x v="7"/>
    <x v="6"/>
    <x v="3"/>
  </r>
  <r>
    <s v="HP Omen 16-n0049AX (6H4N5PA) Laptop (AMD Octa Core Ryzen 7/16 GB/512 GB SSD/Windows 11/4 GB)"/>
    <s v="HP Omen 16-n0049AX (6H4N5PA) Laptop (AMD Octa Core Ryzen 7/16 GB/512 GB SSD/Windows 11/4 GB) price in India"/>
    <x v="88"/>
    <n v="2"/>
    <n v="100"/>
    <x v="0"/>
    <d v="2022-08-01T00:00:00"/>
    <s v="AMD Hexa-Core Ryzen 5 (5600H) 4.2 Ghz"/>
    <s v="Windows 11"/>
    <x v="6"/>
    <s v="16.1&quot; (40.89 cm), 1920 x 1080 px, IPS LCD Display"/>
    <s v="Web Camera"/>
    <m/>
    <s v="HDMI Port"/>
    <m/>
    <n v="81"/>
    <x v="7"/>
    <x v="6"/>
    <x v="0"/>
  </r>
  <r>
    <s v="Asus VivoBook Pro 15 OLED M6500IH-L1702WS Laptop (AMD Octa Core Ryzen 7/16 GB/512 GB SSD/Windows 11/4 GB)"/>
    <s v="Asus VivoBook Pro 15 OLED M6500IH-L1702WS Laptop (AMD Octa Core Ryzen 7/16 GB/512 GB SSD/Windows 11/4 GB) price in India"/>
    <x v="27"/>
    <n v="3"/>
    <n v="100"/>
    <x v="0"/>
    <d v="2022-08-01T00:00:00"/>
    <s v="AMD Hexa-Core Ryzen 5 (5600H) 4.2 Ghz"/>
    <s v="Windows 11"/>
    <x v="2"/>
    <s v="15.6&quot; (39.62 cm), 1920 x 1080 px, OLED Display"/>
    <s v="Web Camera"/>
    <s v="Slim 19.9 mm"/>
    <s v="HDMI Port"/>
    <m/>
    <n v="76"/>
    <x v="2"/>
    <x v="6"/>
    <x v="0"/>
  </r>
  <r>
    <s v="Asus ROG Zephyrus G15 GA503RM-HQ057WS Laptop (AMD Octa Core Ryzen 9/16 GB/1 TB SSD/Windows 11/6 GB)"/>
    <s v="Asus ROG Zephyrus G15 GA503RM-HQ057WS Laptop (AMD Octa Core Ryzen 9/16 GB/1 TB SSD/Windows 11/6 GB) price in India"/>
    <x v="89"/>
    <n v="3"/>
    <n v="100"/>
    <x v="0"/>
    <d v="2022-08-01T00:00:00"/>
    <s v="AMD Hexa-Core Ryzen 5 (5600H) 4.2 Ghz"/>
    <s v="Windows 11"/>
    <x v="10"/>
    <s v="15.6&quot; (39.62 cm), 2560 x 1440 px, IPS LCD Display"/>
    <s v="Web Camera"/>
    <s v="Slim 19.9 mm"/>
    <s v="HDMI Port"/>
    <m/>
    <n v="83"/>
    <x v="2"/>
    <x v="6"/>
    <x v="0"/>
  </r>
  <r>
    <s v="Asus ROG Flow X16 GV601RW-M5045WS Laptop (AMD Octa Core Ryzen 9/32 GB/1 TB SSD/Windows 11/8 GB)"/>
    <s v="Asus ROG Flow X16 GV601RW-M5045WS Laptop (AMD Octa Core Ryzen 9/32 GB/1 TB SSD/Windows 11/8 GB) price in India"/>
    <x v="90"/>
    <n v="2"/>
    <n v="100"/>
    <x v="0"/>
    <d v="2022-08-01T00:00:00"/>
    <s v="AMD Hexa-Core Ryzen 5 (5600H) 4.2 Ghz"/>
    <s v="Windows 11"/>
    <x v="19"/>
    <s v="16&quot; (40.64 cm), 2560 x 1600 px, IPS LCD Display"/>
    <s v="Web Camera"/>
    <s v="Slim 21.9 mm"/>
    <s v="HDMI Port"/>
    <m/>
    <n v="82"/>
    <x v="2"/>
    <x v="6"/>
    <x v="3"/>
  </r>
  <r>
    <s v="Lenovo Ideapad Slim 3i Gen 7 (82RK007JIN) Laptop (Core i3 12th Gen/8 GB/512 GB SSD/Windows 11)"/>
    <s v="Lenovo Ideapad Slim 3i Gen 7 (82RK007JIN) Laptop (Core i3 12th Gen/8 GB/512 GB SSD/Windows 11) price in India"/>
    <x v="91"/>
    <n v="1"/>
    <n v="100"/>
    <x v="0"/>
    <d v="2022-07-01T00:00:00"/>
    <s v="AMD Hexa-Core Ryzen 5 (5600H) 4.2 Ghz"/>
    <s v="Windows 11"/>
    <x v="5"/>
    <s v="15.6&quot; (39.62 cm), 1920 x 1080 px, TN LCD Display"/>
    <s v="Web Camera"/>
    <s v="Slim 20 mm"/>
    <s v="HDMI Port"/>
    <m/>
    <n v="73"/>
    <x v="5"/>
    <x v="6"/>
    <x v="2"/>
  </r>
  <r>
    <s v="Asus ROG Flow X13 GV301RA-LI030WS Laptop (AMD Octa Core Ryzen 7/16 GB/1 TB SSD/Windows 11)"/>
    <s v="Asus ROG Flow X13 GV301RA-LI030WS Laptop (AMD Octa Core Ryzen 7/16 GB/1 TB SSD/Windows 11) price in India"/>
    <x v="92"/>
    <n v="1"/>
    <n v="100"/>
    <x v="0"/>
    <d v="2022-07-01T00:00:00"/>
    <s v="AMD Hexa-Core Ryzen 5 (5600H) 4.2 Ghz"/>
    <s v="Windows 11"/>
    <x v="21"/>
    <s v="13.4&quot; (34.04 cm), 3840 x 2400 px, IPS LCD Display"/>
    <s v="Web Camera"/>
    <s v="Slim 16.9 mm"/>
    <s v="HDMI Port"/>
    <m/>
    <n v="79"/>
    <x v="2"/>
    <x v="6"/>
    <x v="0"/>
  </r>
  <r>
    <s v="Dell Alienware X14 R1 (D569937WIN9) Laptop (Core i5 12th Gen/16 GB/512 GB SSD/Windows 11/4 GB)"/>
    <s v="Dell Alienware X14 R1 (D569937WIN9) Laptop (Core i5 12th Gen/16 GB/512 GB SSD/Windows 11/4 GB) price in India"/>
    <x v="93"/>
    <n v="1"/>
    <n v="100"/>
    <x v="0"/>
    <d v="2022-07-01T00:00:00"/>
    <s v="AMD Hexa-Core Ryzen 5 (5600H) 4.2 Ghz"/>
    <s v="Windows 11"/>
    <x v="17"/>
    <s v="14&quot; (35.56 cm), 1920 x 1600 px Display"/>
    <s v="Web Camera"/>
    <m/>
    <m/>
    <m/>
    <n v="74"/>
    <x v="6"/>
    <x v="6"/>
    <x v="0"/>
  </r>
  <r>
    <s v="HP Victus 15-fb0052AX (6F9U0PA) Laptop (AMD Octa Core Ryzen 7/8 GB/512 GB SSD/Windows 11/4 GB)"/>
    <s v="HP Victus 15-fb0052AX (6F9U0PA) Laptop (AMD Octa Core Ryzen 7/8 GB/512 GB SSD/Windows 11/4 GB) price in India"/>
    <x v="94"/>
    <n v="1"/>
    <n v="100"/>
    <x v="0"/>
    <d v="2022-07-01T00:00:00"/>
    <s v="AMD Hexa-Core Ryzen 5 (5600H) 4.2 Ghz"/>
    <s v="Windows 11"/>
    <x v="5"/>
    <s v="15.6&quot; (39.62 cm), 1920 x 1080 px, IPS LCD Display"/>
    <s v="Web Camera"/>
    <m/>
    <s v="HDMI Port"/>
    <m/>
    <n v="80"/>
    <x v="7"/>
    <x v="6"/>
    <x v="2"/>
  </r>
  <r>
    <s v="Lenovo Legion Slim 7i Gen 7 (82TF007LIN) Laptop (Core i7 12th Gen/16 GB/1 TB SSD/Windows 11/4 GB)"/>
    <s v="Lenovo Legion Slim 7i Gen 7 (82TF007LIN) Laptop (Core i7 12th Gen/16 GB/1 TB SSD/Windows 11/4 GB) price in India"/>
    <x v="95"/>
    <n v="3"/>
    <n v="100"/>
    <x v="0"/>
    <d v="2022-06-01T00:00:00"/>
    <s v="AMD Hexa-Core Ryzen 5 (5600H) 4.2 Ghz"/>
    <s v="Windows 11"/>
    <x v="10"/>
    <s v="16&quot; (40.64 cm), 2560 x 1600 px, IPS LCD Display"/>
    <s v="Web Camera"/>
    <s v="Slim 17 mm"/>
    <s v="HDMI Port"/>
    <m/>
    <n v="85"/>
    <x v="5"/>
    <x v="6"/>
    <x v="0"/>
  </r>
  <r>
    <s v="Asus ROG Flow Z13 GZ301ZE-LC193WS Laptop (Core i9 12th Gen/16 GB/1 TB SSD/Windows 11/4 GB)"/>
    <s v="Asus ROG Flow Z13 GZ301ZE-LC193WS Laptop (Core i9 12th Gen/16 GB/1 TB SSD/Windows 11/4 GB) price in India"/>
    <x v="96"/>
    <n v="1"/>
    <n v="100"/>
    <x v="0"/>
    <d v="2022-06-01T00:00:00"/>
    <s v="AMD Hexa-Core Ryzen 5 (5600H) 4.2 Ghz"/>
    <s v="Windows 11"/>
    <x v="21"/>
    <s v="13.4&quot; (34.04 cm), 3840 x 2400 px, IPS LCD Display"/>
    <s v="Web Camera"/>
    <s v="Slim 5.6 mm"/>
    <m/>
    <m/>
    <m/>
    <x v="2"/>
    <x v="6"/>
    <x v="0"/>
  </r>
  <r>
    <s v="Apple MacBook Pro M4 MW2U3HN/A Ultrabook (Apple M4/16 GB/512 GB SSD/macOS Sequoia)"/>
    <s v="Apple MacBook Pro M4 MW2U3HN/A Ultrabook (Apple M4/16 GB/512 GB SSD/macOS Sequoia) price in India"/>
    <x v="97"/>
    <n v="32"/>
    <n v="98"/>
    <x v="0"/>
    <d v="2024-11-01T00:00:00"/>
    <s v="AMD Hexa-Core Ryzen 5 (5600HS) 3.3 Ghz"/>
    <s v="macOS Sequoia"/>
    <x v="32"/>
    <s v="14.2&quot; (36.07 cm), 3024 x 1964 px, Liquid Retina XDR Display"/>
    <s v="Web Camera"/>
    <s v="Slim 15.5 mm"/>
    <s v="HDMI Port"/>
    <m/>
    <n v="85"/>
    <x v="0"/>
    <x v="6"/>
    <x v="0"/>
  </r>
  <r>
    <s v="Apple MacBook Pro M3 Pro MRX43HN/A Ultrabook (Apple M3 Pro/18 GB/1 TB SSD/macOS Sonoma)"/>
    <s v="Apple MacBook Pro M3 Pro MRX43HN/A Ultrabook (Apple M3 Pro/18 GB/1 TB SSD/macOS Sonoma) price in India"/>
    <x v="98"/>
    <n v="16"/>
    <n v="98"/>
    <x v="0"/>
    <d v="2023-11-01T00:00:00"/>
    <s v="AMD Hexa-Core Ryzen 5 (5625U) 2.3 Ghz"/>
    <s v="macOS Sonoma"/>
    <x v="26"/>
    <s v="14&quot; (35.56 cm), 3024 x 1964 px Display"/>
    <s v="Web Camera"/>
    <s v="Slim 15.5 mm"/>
    <s v="HDMI Port"/>
    <m/>
    <n v="74"/>
    <x v="0"/>
    <x v="6"/>
    <x v="6"/>
  </r>
  <r>
    <s v="Fujitsu UH-X 4ZR1L73352 Laptop (Core i7 13th Gen/16 GB/1 TB SSD/Windows 11)"/>
    <s v="Fujitsu UH-X 4ZR1L73352 Laptop (Core i7 13th Gen/16 GB/1 TB SSD/Windows 11) price in India"/>
    <x v="99"/>
    <n v="7"/>
    <n v="98"/>
    <x v="0"/>
    <d v="2023-08-01T00:00:00"/>
    <s v="AMD Hexa-Core Ryzen 5 (5625U) 2.3 Ghz"/>
    <s v="Windows 11"/>
    <x v="21"/>
    <s v="13.3&quot; (33.78 cm), 1920 x 1080 px, LED Display"/>
    <s v="Web Camera"/>
    <m/>
    <s v="HDMI Port"/>
    <s v="1 USB Ports"/>
    <n v="83"/>
    <x v="9"/>
    <x v="6"/>
    <x v="0"/>
  </r>
  <r>
    <s v="Apple MacBook Pro M2 Pro MPHF3HN/A Ultrabook (Apple M2 Pro/16 GB/1 TB SSD/macOS Ventura)"/>
    <s v="Apple MacBook Pro M2 Pro MPHF3HN/A Ultrabook (Apple M2 Pro/16 GB/1 TB SSD/macOS Ventura) price in India"/>
    <x v="100"/>
    <n v="8"/>
    <n v="98"/>
    <x v="0"/>
    <d v="2023-07-01T00:00:00"/>
    <s v="AMD Hexa-Core Ryzen 5 (5625U) 2.3 Ghz"/>
    <s v="macOS Ventura"/>
    <x v="33"/>
    <s v="14.2&quot; (36.07 cm), 3024 x 1964 px, Liquid Retina XDR Display"/>
    <s v="Web Camera"/>
    <s v="Slim 15.5 mm"/>
    <m/>
    <m/>
    <n v="78"/>
    <x v="0"/>
    <x v="6"/>
    <x v="0"/>
  </r>
  <r>
    <s v="MSI Katana 15 B12UDXK-1017IN Laptop (Core i7 12th Gen/8 GB/512 GB SSD/Windows 11/6 GB)"/>
    <s v="MSI Katana 15 B12UDXK-1017IN Laptop (Core i7 12th Gen/8 GB/512 GB SSD/Windows 11/6 GB) price in India"/>
    <x v="101"/>
    <n v="17"/>
    <n v="98"/>
    <x v="0"/>
    <d v="2023-05-01T00:00:00"/>
    <s v="AMD Hexa-Core Ryzen 5 (5625U) 2.3 Ghz"/>
    <s v="Windows 11"/>
    <x v="16"/>
    <s v="15.6&quot; (39.62 cm), 1920 x 1080 px, IPS LCD Display"/>
    <s v="Web Camera"/>
    <m/>
    <s v="HDMI Port"/>
    <m/>
    <n v="81"/>
    <x v="3"/>
    <x v="6"/>
    <x v="2"/>
  </r>
  <r>
    <s v="Dell XPS 13 9315 (ICC-C786507WIN8) Laptop (Core i5 12th Gen/16 GB/512 GB SSD/Windows 11)"/>
    <s v="Dell XPS 13 9315 (ICC-C786507WIN8) Laptop (Core i5 12th Gen/16 GB/512 GB SSD/Windows 11) price in India"/>
    <x v="102"/>
    <n v="7"/>
    <n v="98"/>
    <x v="0"/>
    <d v="2022-09-01T00:00:00"/>
    <s v="AMD Hexa-Core Ryzen 5 (5625U) 2.3 Ghz"/>
    <s v="Windows 11"/>
    <x v="17"/>
    <s v="13.4&quot; (34.04 cm), 1920 x 1200 px, IPS LCD Display"/>
    <s v="Web Camera"/>
    <s v="Slim 13.9 mm"/>
    <m/>
    <m/>
    <n v="76"/>
    <x v="6"/>
    <x v="6"/>
    <x v="0"/>
  </r>
  <r>
    <s v="Lenovo Legion 5 Pro 16IAH7H (82RF00E1IN) Laptop (Core i7 12th Gen/32 GB/1 TB SSD/Windows 11/8 GB)"/>
    <s v="Lenovo Legion 5 Pro 16IAH7H (82RF00E1IN) Laptop (Core i7 12th Gen/32 GB/1 TB SSD/Windows 11/8 GB) price in India"/>
    <x v="103"/>
    <n v="9"/>
    <n v="98"/>
    <x v="0"/>
    <d v="2022-09-01T00:00:00"/>
    <s v="AMD Hexa-Core Ryzen 5 (5625U) 2.3 Ghz"/>
    <s v="Windows 11"/>
    <x v="19"/>
    <s v="16&quot; (40.64 cm), 2560 x 1600 px, IPS LCD Display"/>
    <s v="Web Camera"/>
    <s v="Slim 20 mm"/>
    <s v="HDMI Port"/>
    <m/>
    <m/>
    <x v="5"/>
    <x v="6"/>
    <x v="3"/>
  </r>
  <r>
    <s v="Asus ROG Zephyrus G15 GA503RM-LN143WS Laptop (AMD Octa Core Ryzen 7/16 GB/1 TB SSD/Windows 11/6 GB)"/>
    <s v="Asus ROG Zephyrus G15 GA503RM-LN143WS Laptop (AMD Octa Core Ryzen 7/16 GB/1 TB SSD/Windows 11/6 GB) price in India"/>
    <x v="104"/>
    <n v="7"/>
    <n v="98"/>
    <x v="0"/>
    <d v="2022-07-01T00:00:00"/>
    <s v="AMD Hexa-Core Ryzen 5 (5625U) 2.6 Ghz"/>
    <s v="Windows 11"/>
    <x v="10"/>
    <s v="15.6&quot; (39.62 cm), 2560 x 1440 px Display"/>
    <s v="Web Camera"/>
    <s v="Slim 20 mm"/>
    <s v="HDMI Port"/>
    <m/>
    <n v="85"/>
    <x v="2"/>
    <x v="6"/>
    <x v="0"/>
  </r>
  <r>
    <s v="Asus ROG Flow Z13 GZ301ZE-LD064WS Laptop (Core i9 12th Gen/16 GB/1 TB SSD/Windows 11/4 GB)"/>
    <s v="Asus ROG Flow Z13 GZ301ZE-LD064WS Laptop (Core i9 12th Gen/16 GB/1 TB SSD/Windows 11/4 GB) price in India"/>
    <x v="105"/>
    <n v="7"/>
    <n v="98"/>
    <x v="0"/>
    <d v="2022-06-01T00:00:00"/>
    <s v="AMD Hexa-Core Ryzen 5 (5625U) 4.2 Ghz"/>
    <s v="Windows 11"/>
    <x v="21"/>
    <s v="13.4&quot; (34.04 cm), 1920 x 1200 px, IPS LCD Display"/>
    <s v="Web Camera"/>
    <s v="Slim 5.6 mm"/>
    <m/>
    <m/>
    <m/>
    <x v="2"/>
    <x v="6"/>
    <x v="0"/>
  </r>
  <r>
    <s v="Apple MacBook Air M2 MC7X4HN/A Ultrabook (Apple M2/16 GB/256 GB SSD/macOS Sequoia)"/>
    <s v="Apple MacBook Air M2 MC7X4HN/A Ultrabook (Apple M2/16 GB/256 GB SSD/macOS Sequoia) price in India"/>
    <x v="106"/>
    <n v="28"/>
    <n v="96"/>
    <x v="0"/>
    <d v="2024-11-01T00:00:00"/>
    <s v="AMD Hexa-Core Ryzen 5 (5625U) 4.2 Ghz"/>
    <s v="macOS Sequoia"/>
    <x v="0"/>
    <s v="13.6&quot; (34.54 cm), 2560 x 1664 px, IPS LCD Display"/>
    <s v="Web Camera"/>
    <s v="Slim 11.3 mm"/>
    <m/>
    <m/>
    <n v="81"/>
    <x v="0"/>
    <x v="6"/>
    <x v="0"/>
  </r>
  <r>
    <s v="Asus VivoBook 14 X1407CA-LY102WS Laptop (Core Ultra 5/16 GB/512 GB SSD/Windows 11)"/>
    <s v="Asus VivoBook 14 X1407CA-LY102WS Laptop (Core Ultra 5/16 GB/512 GB SSD/Windows 11) price in India"/>
    <x v="107"/>
    <n v="16"/>
    <n v="96"/>
    <x v="0"/>
    <d v="2025-02-01T00:00:00"/>
    <s v="AMD Hexa-Core Ryzen 5 (5625U) 4.3 Ghz"/>
    <s v="Windows 11"/>
    <x v="6"/>
    <s v="14&quot; (35.56 cm), 1920 x 1200 px, IPS LCD Display"/>
    <s v="Web Camera"/>
    <s v="Slim 17.9 mm"/>
    <s v="HDMI Port"/>
    <m/>
    <n v="85"/>
    <x v="2"/>
    <x v="6"/>
    <x v="0"/>
  </r>
  <r>
    <s v="Asus VivoBook 16 X1607CA-MB139WS Laptop (Core Ultra 5/16 GB/512 GB SSD/Windows 11)"/>
    <s v="Asus VivoBook 16 X1607CA-MB139WS Laptop (Core Ultra 5/16 GB/512 GB SSD/Windows 11) price in India"/>
    <x v="108"/>
    <n v="9"/>
    <n v="96"/>
    <x v="0"/>
    <d v="2025-02-01T00:00:00"/>
    <s v="AMD Hexa-Core Ryzen 5 (5625U) 4.3 Ghz"/>
    <s v="Windows 11"/>
    <x v="6"/>
    <s v="16&quot; (40.64 cm), 1920 x 1200 px, IPS LCD Display"/>
    <s v="Web Camera"/>
    <s v="Slim 19.9 mm"/>
    <s v="HDMI Port"/>
    <m/>
    <n v="85"/>
    <x v="2"/>
    <x v="6"/>
    <x v="0"/>
  </r>
  <r>
    <s v="Asus VivoBook 16 X1607CA-MB142WS Laptop (Core Ultra 5/16 GB/512 GB SSD/Windows 11)"/>
    <s v="Asus VivoBook 16 X1607CA-MB142WS Laptop (Core Ultra 5/16 GB/512 GB SSD/Windows 11) price in India"/>
    <x v="109"/>
    <n v="9"/>
    <n v="96"/>
    <x v="0"/>
    <d v="2025-01-01T00:00:00"/>
    <s v="AMD Hexa-Core Ryzen 5 (5625U) 4.3 Ghz"/>
    <s v="Windows 11"/>
    <x v="6"/>
    <s v="16&quot; (40.64 cm), 1920 x 1200 px, IPS LCD Display"/>
    <s v="Web Camera"/>
    <s v="Slim 19.9 mm"/>
    <s v="HDMI Port"/>
    <m/>
    <n v="84"/>
    <x v="2"/>
    <x v="6"/>
    <x v="0"/>
  </r>
  <r>
    <s v="Apple MacBook Air M3 MC8Q4HN/A Ultrabook (Apple M3/24 GB/512 GB SSD/macOS Sequoia)"/>
    <s v="Apple MacBook Air M3 MC8Q4HN/A Ultrabook (Apple M3/24 GB/512 GB SSD/macOS Sequoia) price in India"/>
    <x v="110"/>
    <n v="4"/>
    <n v="96"/>
    <x v="0"/>
    <d v="2024-11-01T00:00:00"/>
    <s v="AMD Hexa-Core Ryzen 5 (5625U) 4.3 Ghz"/>
    <s v="macOS Sequoia"/>
    <x v="1"/>
    <s v="13.6&quot; (34.54 cm), 2560 x 1664 px, IPS LCD Display"/>
    <s v="Web Camera"/>
    <s v="Slim 11.3 mm"/>
    <m/>
    <m/>
    <n v="85"/>
    <x v="0"/>
    <x v="6"/>
    <x v="1"/>
  </r>
  <r>
    <s v="MSI Crosshair 16 HX D14VGKG-668IN Laptop (Core i7 14th Gen/32 GB/1 TB SSD/Windows 11/8 GB)"/>
    <s v="MSI Crosshair 16 HX D14VGKG-668IN Laptop (Core i7 14th Gen/32 GB/1 TB SSD/Windows 11/8 GB) price in India"/>
    <x v="111"/>
    <n v="5"/>
    <n v="96"/>
    <x v="0"/>
    <d v="2024-09-01T00:00:00"/>
    <s v="AMD Hexa-Core Ryzen 5 (6600H) 3.3 Ghz"/>
    <s v="Windows 11"/>
    <x v="19"/>
    <s v="16&quot; (40.64 cm), 2560 x 1600 px, IPS LCD Display"/>
    <s v="Web Camera"/>
    <m/>
    <s v="HDMI Port"/>
    <m/>
    <m/>
    <x v="3"/>
    <x v="6"/>
    <x v="3"/>
  </r>
  <r>
    <s v="Apple MacBook Pro M4 MW2W3HN/A Ultrabook (Apple M4/16 GB/512 GB SSD/macOS Sequoia)"/>
    <s v="Apple MacBook Pro M4 MW2W3HN/A Ultrabook (Apple M4/16 GB/512 GB SSD/macOS Sequoia) price in India"/>
    <x v="112"/>
    <n v="8"/>
    <n v="96"/>
    <x v="0"/>
    <d v="2024-11-01T00:00:00"/>
    <s v="AMD Hexa-Core Ryzen 5 (6600H) 3.3 Ghz"/>
    <s v="macOS Sequoia"/>
    <x v="32"/>
    <s v="14.2&quot; (36.07 cm), 3024 x 1964 px, Liquid Retina XDR Display"/>
    <s v="Web Camera"/>
    <s v="Slim 15.5 mm"/>
    <s v="HDMI Port"/>
    <m/>
    <n v="86"/>
    <x v="0"/>
    <x v="6"/>
    <x v="0"/>
  </r>
  <r>
    <s v="MSI Sword 16 HX B13VFKG-653IN Laptop (Core i7 13th Gen/16 GB/1 TB SSD/Windows 11/8 GB)"/>
    <s v="MSI Sword 16 HX B13VFKG-653IN Laptop (Core i7 13th Gen/16 GB/1 TB SSD/Windows 11/8 GB) price in India"/>
    <x v="113"/>
    <n v="96"/>
    <n v="96"/>
    <x v="0"/>
    <d v="2024-09-01T00:00:00"/>
    <s v="AMD Hexa-Core Ryzen 5 (6600H) 3.3 Ghz"/>
    <s v="Windows 11"/>
    <x v="10"/>
    <s v="16&quot; (40.64 cm), 1920 x 1200 px, IPS LCD Display"/>
    <s v="Web Camera"/>
    <m/>
    <s v="HDMI Port"/>
    <m/>
    <n v="84"/>
    <x v="3"/>
    <x v="6"/>
    <x v="0"/>
  </r>
  <r>
    <s v="Infinix INBook Y3 Max YL613 (71008301498) Laptop (Core i7 12th Gen/16 GB/512 GB SSD/Windows 11)"/>
    <s v="Infinix INBook Y3 Max YL613 (71008301498) Laptop (Core i7 12th Gen/16 GB/512 GB SSD/Windows 11) price in India"/>
    <x v="114"/>
    <n v="9"/>
    <n v="96"/>
    <x v="0"/>
    <d v="2024-08-01T00:00:00"/>
    <s v="AMD Hexa-Core Ryzen 5 (6600H) 3.3 Ghz"/>
    <s v="Windows 11"/>
    <x v="30"/>
    <s v="16&quot; (40.64 cm), 1920 x 1200 px, IPS LCD Display"/>
    <s v="Web Camera"/>
    <s v="Slim 17.9 mm"/>
    <s v="HDMI Port"/>
    <s v="2 USB Ports"/>
    <n v="80"/>
    <x v="10"/>
    <x v="6"/>
    <x v="0"/>
  </r>
  <r>
    <s v="MSI GE75 Raider 9SG-610IN Laptop (Core i7 9th Gen/16 GB/1 TB 1 TB SSD/Windows 10/8 GB)"/>
    <s v="MSI GE75 Raider 9SG-610IN Laptop (Core i7 9th Gen/16 GB/1 TB 1 TB SSD/Windows 10/8 GB) price in India"/>
    <x v="115"/>
    <n v="22"/>
    <n v="96"/>
    <x v="0"/>
    <d v="2019-05-01T00:00:00"/>
    <s v="AMD Hexa-Core Ryzen 5 (7430U) 4.3 Ghz"/>
    <s v="Windows 10"/>
    <x v="34"/>
    <s v="15.6&quot; (39.62 cm), 1920 x 1080 px, LED Display"/>
    <s v="Web Camera"/>
    <m/>
    <s v="HDMI Port"/>
    <m/>
    <m/>
    <x v="3"/>
    <x v="6"/>
    <x v="0"/>
  </r>
  <r>
    <s v="Samsung Galaxy Book 4 Pro NP960XGK-KG2IN Laptop (Core Ultra 7/16 GB/512 GB SSD/Windows 11)"/>
    <s v="Samsung Galaxy Book 4 Pro NP960XGK-KG2IN Laptop (Core Ultra 7/16 GB/512 GB SSD/Windows 11) price in India"/>
    <x v="116"/>
    <n v="17"/>
    <n v="96"/>
    <x v="0"/>
    <d v="2024-02-01T00:00:00"/>
    <s v="AMD Hexa-Core Ryzen 5 (7430U) 4.3 Ghz"/>
    <s v="Windows 11"/>
    <x v="8"/>
    <s v="16&quot; (40.64 cm), 2880 x 1800 px, AMOLED Display"/>
    <s v="Web Camera"/>
    <s v="Slim 12.5 mm"/>
    <s v="HDMI Port"/>
    <m/>
    <n v="85"/>
    <x v="8"/>
    <x v="6"/>
    <x v="0"/>
  </r>
  <r>
    <s v="Asus VivoBook Pro 15 OLED M3500QC-L1711WS Laptop (AMD Octa Core Ryzen 7/16 GB/1 TB SSD/Windows 11/4 GB)"/>
    <s v="Asus VivoBook Pro 15 OLED M3500QC-L1711WS Laptop (AMD Octa Core Ryzen 7/16 GB/1 TB SSD/Windows 11/4 GB) price in India"/>
    <x v="117"/>
    <n v="4"/>
    <n v="96"/>
    <x v="0"/>
    <d v="2023-10-01T00:00:00"/>
    <s v="AMD Hexa-Core Ryzen 5 (7430U) 4.3 Ghz"/>
    <s v="Windows 11"/>
    <x v="23"/>
    <s v="15.6&quot; (39.62 cm), 1920 x 1080 px, OLED Display"/>
    <s v="Web Camera"/>
    <s v="Slim 19.9 mm"/>
    <s v="HDMI Port"/>
    <m/>
    <n v="86"/>
    <x v="2"/>
    <x v="6"/>
    <x v="0"/>
  </r>
  <r>
    <s v="MSI Bravo 15 B7ED-011IN Laptop (AMD Octa Core Ryzen 7/16 GB/512 GB SSD/Windows 11/4 GB)"/>
    <s v="MSI Bravo 15 B7ED-011IN Laptop (AMD Octa Core Ryzen 7/16 GB/512 GB SSD/Windows 11/4 GB) price in India"/>
    <x v="109"/>
    <n v="9"/>
    <n v="96"/>
    <x v="0"/>
    <d v="2023-10-01T00:00:00"/>
    <s v="AMD Hexa-Core Ryzen 5 (7530U) 2.0 Ghz"/>
    <s v="Windows 11"/>
    <x v="6"/>
    <s v="15.6&quot; (39.62 cm), 1920 x 1080 px, IPS LCD Display"/>
    <s v="Web Camera"/>
    <m/>
    <s v="HDMI Port"/>
    <m/>
    <n v="80"/>
    <x v="3"/>
    <x v="6"/>
    <x v="0"/>
  </r>
  <r>
    <s v="MSI Katana 17 B12VFK-673IN Laptop (Core i7 12th Gen/16 GB/1 TB SSD/Windows 11/8 GB)"/>
    <s v="MSI Katana 17 B12VFK-673IN Laptop (Core i7 12th Gen/16 GB/1 TB SSD/Windows 11/8 GB) price in India"/>
    <x v="118"/>
    <n v="33"/>
    <n v="96"/>
    <x v="0"/>
    <d v="2023-08-01T00:00:00"/>
    <s v="AMD Hexa-Core Ryzen 5 (7530U) 2.0 Ghz"/>
    <s v="Windows 11"/>
    <x v="10"/>
    <s v="17.3&quot; (43.94 cm), 2560 x 1440 px Display"/>
    <s v="Web Camera"/>
    <m/>
    <s v="HDMI Port"/>
    <m/>
    <n v="86"/>
    <x v="3"/>
    <x v="6"/>
    <x v="0"/>
  </r>
  <r>
    <s v="Apple MacBook Pro M2 Pro MNWD3HN/A Ultrabook (Apple M2 Pro/16 GB/1 TB SSD/macOS Ventura)"/>
    <s v="Apple MacBook Pro M2 Pro MNWD3HN/A Ultrabook (Apple M2 Pro/16 GB/1 TB SSD/macOS Ventura) price in India"/>
    <x v="119"/>
    <n v="6"/>
    <n v="96"/>
    <x v="0"/>
    <d v="2023-06-01T00:00:00"/>
    <s v="AMD Hexa-Core Ryzen 5 (7530U) 2.0 Ghz"/>
    <s v="macOS Ventura"/>
    <x v="33"/>
    <s v="16.2&quot; (41.15 cm), 3456 x 2234 px, Liquid Retina XDR Display"/>
    <s v="Web Camera"/>
    <s v="Slim 16.8 mm"/>
    <m/>
    <m/>
    <n v="78"/>
    <x v="0"/>
    <x v="6"/>
    <x v="0"/>
  </r>
  <r>
    <s v="HP Spectre x360 OLED 13.5-ef2034TU (7Y6U1PA) Laptop (Core i7 13th Gen/32 GB/1 TB SSD/Windows 11)"/>
    <s v="HP Spectre x360 OLED 13.5-ef2034TU (7Y6U1PA) Laptop (Core i7 13th Gen/32 GB/1 TB SSD/Windows 11) price in India"/>
    <x v="120"/>
    <n v="4"/>
    <n v="96"/>
    <x v="0"/>
    <d v="2023-04-01T00:00:00"/>
    <s v="AMD Hexa-Core Ryzen 5 (7530U) 2.0 Ghz"/>
    <s v="Windows 11"/>
    <x v="35"/>
    <s v="13.5&quot; (34.29 cm), 3000 x 2000 px, OLED Display"/>
    <s v="Web Camera"/>
    <s v="Slim 16.9 mm"/>
    <m/>
    <m/>
    <n v="79"/>
    <x v="7"/>
    <x v="6"/>
    <x v="3"/>
  </r>
  <r>
    <s v="Asus Zenbook 14 OLED UX3402VA-KM541WS Laptop (Core i5 13th Gen/16 GB/512 GB SSD/Windows 11)"/>
    <s v="Asus Zenbook 14 OLED UX3402VA-KM541WS Laptop (Core i5 13th Gen/16 GB/512 GB SSD/Windows 11) price in India"/>
    <x v="121"/>
    <n v="39"/>
    <n v="96"/>
    <x v="0"/>
    <d v="2023-04-01T00:00:00"/>
    <s v="AMD Hexa-Core Ryzen 5 (7530U) 2.0 Ghz"/>
    <s v="Windows 11"/>
    <x v="17"/>
    <s v="14&quot; (35.56 cm), 2880 x 1800 px, OLED Display"/>
    <s v="Web Camera"/>
    <s v="Slim 16.9 mm"/>
    <s v="HDMI Port"/>
    <m/>
    <n v="77"/>
    <x v="2"/>
    <x v="6"/>
    <x v="0"/>
  </r>
  <r>
    <s v="HP Spectre x360 OLED Touch 13.5-ef2033TU (7Y6T9PA) Laptop (Core i7 13th Gen/16 GB/1 TB SSD/Windows 11)"/>
    <s v="HP Spectre x360 OLED Touch 13.5-ef2033TU (7Y6T9PA) Laptop (Core i7 13th Gen/16 GB/1 TB SSD/Windows 11) price in India"/>
    <x v="120"/>
    <n v="4"/>
    <n v="96"/>
    <x v="0"/>
    <d v="2023-04-01T00:00:00"/>
    <s v="AMD Hexa-Core Ryzen 5 (7530U) 2.0 Ghz"/>
    <s v="Windows 11"/>
    <x v="36"/>
    <s v="13.5&quot; (34.29 cm), 3000 x 2000 px, OLED Display"/>
    <s v="Web Camera"/>
    <s v="Slim 16.9 mm"/>
    <m/>
    <m/>
    <n v="79"/>
    <x v="7"/>
    <x v="6"/>
    <x v="0"/>
  </r>
  <r>
    <s v="Apple MacBook Pro M2 Pro MPHH3HN/A Ultrabook (Apple M2 Pro/16 GB/512 GB SSD/macOS Ventura)"/>
    <s v="Apple MacBook Pro M2 Pro MPHH3HN/A Ultrabook (Apple M2 Pro/16 GB/512 GB SSD/macOS Ventura) price in India"/>
    <x v="122"/>
    <n v="22"/>
    <n v="96"/>
    <x v="0"/>
    <d v="2023-01-01T00:00:00"/>
    <s v="AMD Hexa-Core Ryzen 5 (7530U) 2.0 Ghz"/>
    <s v="macOS Ventura"/>
    <x v="28"/>
    <s v="14.2&quot; (36.07 cm), 3024 x 1964 px, Liquid Retina XDR Display"/>
    <s v="Web Camera"/>
    <s v="Slim 15.5 mm"/>
    <s v="HDMI Port"/>
    <m/>
    <n v="77"/>
    <x v="0"/>
    <x v="6"/>
    <x v="0"/>
  </r>
  <r>
    <s v="Dell Inspiron 15 3520 (D560877WIN9S) Laptop (Core i5 12th Gen/8 GB/1 TB 256 GB SSD/Windows 11/2 GB)"/>
    <s v="Dell Inspiron 15 3520 (D560877WIN9S) Laptop (Core i5 12th Gen/8 GB/1 TB 256 GB SSD/Windows 11/2 GB) price in India"/>
    <x v="123"/>
    <n v="6"/>
    <n v="96"/>
    <x v="0"/>
    <d v="2022-12-01T00:00:00"/>
    <s v="AMD Hexa-Core Ryzen 5 (7530U) 2.0 Ghz"/>
    <s v="Windows 11"/>
    <x v="37"/>
    <s v="15.6&quot; (39.62 cm), 1920 x 1080 px, IPS LCD Display"/>
    <s v="Web Camera"/>
    <s v="Slim 20 mm"/>
    <s v="HDMI Port"/>
    <m/>
    <n v="76"/>
    <x v="6"/>
    <x v="6"/>
    <x v="2"/>
  </r>
  <r>
    <s v="Asus VivoBook 15 X1502ZA-EJ515WS Laptop (Core i5 12th Gen/8 GB/512 GB SSD/Windows 11)"/>
    <s v="Asus VivoBook 15 X1502ZA-EJ515WS Laptop (Core i5 12th Gen/8 GB/512 GB SSD/Windows 11) price in India"/>
    <x v="124"/>
    <n v="24"/>
    <n v="96"/>
    <x v="0"/>
    <d v="2022-11-01T00:00:00"/>
    <s v="AMD Hexa-Core Ryzen 5 (7530U) 2.0 Ghz"/>
    <s v="Windows 11"/>
    <x v="5"/>
    <s v="15.6&quot; (39.62 cm), 1920 x 1080 px Display"/>
    <s v="Web Camera"/>
    <s v="Slim 20 mm"/>
    <s v="HDMI Port"/>
    <s v="4 USB Ports"/>
    <n v="74"/>
    <x v="2"/>
    <x v="6"/>
    <x v="2"/>
  </r>
  <r>
    <s v="Dell Inspiron 15 3520 (D560924WIN9G) Laptop (Core i5 12th Gen/8 GB/512 GB SSD/Windows 11)"/>
    <s v="Dell Inspiron 15 3520 (D560924WIN9G) Laptop (Core i5 12th Gen/8 GB/512 GB SSD/Windows 11) price in India"/>
    <x v="125"/>
    <n v="13"/>
    <n v="96"/>
    <x v="0"/>
    <d v="2022-10-01T00:00:00"/>
    <s v="AMD Hexa-Core Ryzen 5 (7530U) 2.0 Ghz"/>
    <s v="Windows 11"/>
    <x v="5"/>
    <s v="15.6&quot; (39.62 cm), 1920 x 1080 px, IPS LCD Display"/>
    <s v="Web Camera"/>
    <s v="Slim 21 mm"/>
    <s v="HDMI Port"/>
    <m/>
    <n v="73"/>
    <x v="6"/>
    <x v="6"/>
    <x v="2"/>
  </r>
  <r>
    <s v="Asus ROG Flow X16 GV601RM-M6055WS Laptop (AMD Octa Core Ryzen 7/16 GB/1 TB SSD/Windows 11/6 GB)"/>
    <s v="Asus ROG Flow X16 GV601RM-M6055WS Laptop (AMD Octa Core Ryzen 7/16 GB/1 TB SSD/Windows 11/6 GB) price in India"/>
    <x v="120"/>
    <n v="4"/>
    <n v="96"/>
    <x v="0"/>
    <d v="2022-09-01T00:00:00"/>
    <s v="AMD Hexa-Core Ryzen 5 (7530U) 2.0 Ghz"/>
    <s v="Windows 11"/>
    <x v="10"/>
    <s v="16&quot; (40.64 cm), 2560 x 1600 px, IPS LCD Display"/>
    <s v="Web Camera"/>
    <s v="Slim 19.4 mm"/>
    <s v="HDMI Port"/>
    <m/>
    <n v="83"/>
    <x v="2"/>
    <x v="6"/>
    <x v="0"/>
  </r>
  <r>
    <s v="Acer Aspire 3 A314-35 Laptop (Intel Pentium Quad Core/8 GB/256 GB SSD/Windows 11) (UN.K0SSI.041)"/>
    <s v="Acer Aspire 3 A314-35 Laptop (Intel Pentium Quad Core/8 GB/256 GB SSD/Windows 11) (UN.K0SSI.041) price in India"/>
    <x v="126"/>
    <n v="5"/>
    <n v="96"/>
    <x v="0"/>
    <d v="2022-09-01T00:00:00"/>
    <s v="AMD Hexa-Core Ryzen 5 (7530U) 2.0 Ghz"/>
    <s v="Windows 11"/>
    <x v="38"/>
    <s v="14&quot; (35.56 cm), 1366 x 768 px, IPS LCD Display"/>
    <s v="Web Camera"/>
    <s v="Slim 19.9 mm"/>
    <s v="HDMI Port"/>
    <m/>
    <m/>
    <x v="1"/>
    <x v="6"/>
    <x v="2"/>
  </r>
  <r>
    <s v="Asus TUF Dash F15 FX517ZR-HQ030WS Laptop (Core i7 12th Gen/16 GB/1 TB SSD/Windows 11/8 GB)"/>
    <s v="Asus TUF Dash F15 FX517ZR-HQ030WS Laptop (Core i7 12th Gen/16 GB/1 TB SSD/Windows 11/8 GB) price in India"/>
    <x v="127"/>
    <n v="43"/>
    <n v="96"/>
    <x v="0"/>
    <d v="2022-06-01T00:00:00"/>
    <s v="AMD Hexa-Core Ryzen 5 (7530U) 2.0 Ghz"/>
    <s v="Windows 11"/>
    <x v="10"/>
    <s v="15.6&quot; (39.62 cm), 2560 x 1440 px, IPS LCD Display"/>
    <s v="Web Camera"/>
    <s v="Slim 20 mm"/>
    <s v="HDMI Port"/>
    <m/>
    <n v="86"/>
    <x v="2"/>
    <x v="6"/>
    <x v="0"/>
  </r>
  <r>
    <s v="Apple MacBook Air M2 MC7W4HN/A Ultrabook (Apple M2/16 GB/256 GB SSD/macOS Sequoia)"/>
    <s v="Apple MacBook Air M2 MC7W4HN/A Ultrabook (Apple M2/16 GB/256 GB SSD/macOS Sequoia) price in India"/>
    <x v="106"/>
    <n v="19250"/>
    <n v="94"/>
    <x v="0"/>
    <d v="2024-11-01T00:00:00"/>
    <s v="AMD Hexa-Core Ryzen 5 (7530U) 2.0 Ghz"/>
    <s v="macOS Sequoia"/>
    <x v="0"/>
    <s v="13.6&quot; (34.54 cm), 2560 x 1664 px, IPS LCD Display"/>
    <s v="Web Camera"/>
    <s v="Slim 11.3 mm"/>
    <m/>
    <m/>
    <n v="81"/>
    <x v="0"/>
    <x v="6"/>
    <x v="0"/>
  </r>
  <r>
    <s v="Apple MacBook Air M3 MXCU3HN/A Ultrabook (Apple M3/16 GB/512 GB SSD/macOS Sonoma)"/>
    <s v="Apple MacBook Air M3 MXCU3HN/A Ultrabook (Apple M3/16 GB/512 GB SSD/macOS Sonoma) price in India"/>
    <x v="128"/>
    <n v="425"/>
    <n v="94"/>
    <x v="0"/>
    <d v="2024-11-01T00:00:00"/>
    <s v="AMD Hexa-Core Ryzen 5 (7530U) 2.0 Ghz"/>
    <s v="macOS Sonoma"/>
    <x v="32"/>
    <s v="13.6&quot; (34.54 cm), 2560 x 1664 px, IPS LCD Display"/>
    <s v="Web Camera"/>
    <s v="Slim 11.3 mm"/>
    <m/>
    <m/>
    <n v="84"/>
    <x v="0"/>
    <x v="6"/>
    <x v="0"/>
  </r>
  <r>
    <s v="Apple MacBook Air M3 MC8G4HN/A Ultrabook (Apple M3/16 GB/256 GB SSD/macOS Sequoia)"/>
    <s v="Apple MacBook Air M3 MC8G4HN/A Ultrabook (Apple M3/16 GB/256 GB SSD/macOS Sequoia) price in India"/>
    <x v="129"/>
    <n v="605"/>
    <n v="94"/>
    <x v="0"/>
    <d v="2024-11-01T00:00:00"/>
    <s v="AMD Hexa-Core Ryzen 5 (7530U) 3.0 Ghz"/>
    <s v="macOS Sequoia"/>
    <x v="0"/>
    <s v="13.6&quot; (34.54 cm), 2560 x 1664 px, IPS LCD Display"/>
    <s v="Web Camera"/>
    <s v="Slim 11.3 mm"/>
    <m/>
    <m/>
    <n v="83"/>
    <x v="0"/>
    <x v="6"/>
    <x v="0"/>
  </r>
  <r>
    <s v="Apple MacBook Air M3 MC8K4HN/A Ultrabook (Apple M3/16 GB/256 GB SSD/macOS Sequoia)"/>
    <s v="Apple MacBook Air M3 MC8K4HN/A Ultrabook (Apple M3/16 GB/256 GB SSD/macOS Sequoia) price in India"/>
    <x v="130"/>
    <n v="607"/>
    <n v="94"/>
    <x v="0"/>
    <d v="2024-11-01T00:00:00"/>
    <s v="AMD Hexa-Core Ryzen 5 (7530U) 4.2 Ghz"/>
    <s v="macOS Sequoia"/>
    <x v="0"/>
    <s v="13.6&quot; (34.54 cm), 2560 x 1664 px, IPS LCD Display"/>
    <s v="Web Camera"/>
    <s v="Slim 11.3 mm"/>
    <m/>
    <m/>
    <n v="83"/>
    <x v="0"/>
    <x v="6"/>
    <x v="0"/>
  </r>
  <r>
    <s v="Apple MacBook Air M3 MC8J4HN/A Ultrabook (Apple M3/16 GB/256 GB SSD/macOS Sequoia)"/>
    <s v="Apple MacBook Air M3 MC8J4HN/A Ultrabook (Apple M3/16 GB/256 GB SSD/macOS Sequoia) price in India"/>
    <x v="99"/>
    <n v="600"/>
    <n v="94"/>
    <x v="0"/>
    <d v="2024-11-01T00:00:00"/>
    <s v="AMD Hexa-Core Ryzen 5 (7530U) 4.2 Ghz"/>
    <s v="macOS Sequoia"/>
    <x v="0"/>
    <s v="13.6&quot; (34.54 cm), 2560 x 1664 px, IPS LCD Display"/>
    <s v="Web Camera"/>
    <s v="Slim 11.3 mm"/>
    <m/>
    <m/>
    <n v="83"/>
    <x v="0"/>
    <x v="6"/>
    <x v="0"/>
  </r>
  <r>
    <s v="Apple MacBook Air M3 MC8H4HN/A Ultrabook (Apple M3/16 GB/256 GB SSD/macOS Sequoia)"/>
    <s v="Apple MacBook Air M3 MC8H4HN/A Ultrabook (Apple M3/16 GB/256 GB SSD/macOS Sequoia) price in India"/>
    <x v="129"/>
    <n v="597"/>
    <n v="94"/>
    <x v="0"/>
    <d v="2024-11-01T00:00:00"/>
    <s v="AMD Hexa-Core Ryzen 5 (7530U) 4.2 Ghz"/>
    <s v="macOS Sequoia"/>
    <x v="0"/>
    <s v="13.6&quot; (34.54 cm), 2560 x 1664 px, IPS LCD Display"/>
    <s v="Web Camera"/>
    <s v="Slim 11.3 mm"/>
    <m/>
    <m/>
    <n v="83"/>
    <x v="0"/>
    <x v="6"/>
    <x v="0"/>
  </r>
  <r>
    <s v="Lenovo IdeaPad Slim 3 15ABR8 (82XM00QDIN) Laptop (AMD Hexa Core Ryzen 5/16 GB/512 GB SSD/Windows 11)"/>
    <s v="Lenovo IdeaPad Slim 3 15ABR8 (82XM00QDIN) Laptop (AMD Hexa Core Ryzen 5/16 GB/512 GB SSD/Windows 11) price in India"/>
    <x v="131"/>
    <n v="13"/>
    <n v="94"/>
    <x v="0"/>
    <d v="2025-03-01T00:00:00"/>
    <s v="AMD Hexa-Core Ryzen 5 (7530U) 4.2 Ghz"/>
    <s v="Windows 11"/>
    <x v="2"/>
    <s v="15.6&quot; (39.62 cm), 1920 x 1080 px, TN LCD Display"/>
    <s v="Web Camera"/>
    <s v="Slim 17.9 mm"/>
    <s v="HDMI Port"/>
    <m/>
    <n v="75"/>
    <x v="5"/>
    <x v="6"/>
    <x v="0"/>
  </r>
  <r>
    <s v="Asus TUF Gaming A14 FA401WV-RG475WS Laptop (AMD Dodeca Core Ryzen AI 9 HX/16 GB/1 TB SSD/Windows 11/8 GB)"/>
    <s v="Asus TUF Gaming A14 FA401WV-RG475WS Laptop (AMD Dodeca Core Ryzen AI 9 HX/16 GB/1 TB SSD/Windows 11/8 GB) price in India"/>
    <x v="26"/>
    <n v="15"/>
    <n v="94"/>
    <x v="0"/>
    <d v="2025-03-01T00:00:00"/>
    <s v="AMD Hexa-Core Ryzen 5 (7530U) 4.2 Ghz"/>
    <s v="Windows 11"/>
    <x v="3"/>
    <s v="14&quot; (35.56 cm), 2560 x 1600 px, IPS LCD Display"/>
    <s v="Web Camera"/>
    <s v="Slim 19.9 mm"/>
    <s v="HDMI Port"/>
    <m/>
    <m/>
    <x v="2"/>
    <x v="6"/>
    <x v="0"/>
  </r>
  <r>
    <s v="Apple MacBook Pro M4 MX2X3HN/A Ultrabook (Apple M4 Pro/24 GB/512 GB SSD/macOS Sequoia)"/>
    <s v="Apple MacBook Pro M4 MX2X3HN/A Ultrabook (Apple M4 Pro/24 GB/512 GB SSD/macOS Sequoia) price in India"/>
    <x v="84"/>
    <n v="6"/>
    <n v="94"/>
    <x v="0"/>
    <d v="2024-11-01T00:00:00"/>
    <s v="AMD Hexa-Core Ryzen 5 (7530U) 4.5 Ghz"/>
    <s v="macOS Sequoia"/>
    <x v="1"/>
    <s v="16.2&quot; (41.15 cm), 3456 x 2234 px, Liquid Retina XDR Display"/>
    <s v="Web Camera"/>
    <s v="Slim 16.8 mm"/>
    <s v="HDMI Port"/>
    <m/>
    <m/>
    <x v="0"/>
    <x v="6"/>
    <x v="1"/>
  </r>
  <r>
    <s v="Lenovo Ideapad Slim 3 (81W1005CIN) Laptop (AMD Quad Core Ryzen 5/8 GB/1 TB 128 GB SSD/Windows 10)"/>
    <s v="Lenovo Ideapad Slim 3 (81W1005CIN) Laptop (AMD Quad Core Ryzen 5/8 GB/1 TB 128 GB SSD/Windows 10) price in India"/>
    <x v="132"/>
    <n v="23"/>
    <n v="94"/>
    <x v="0"/>
    <d v="2020-12-01T00:00:00"/>
    <s v="AMD Hexa-Core Ryzen 5 (7530U) 4.5 Ghz"/>
    <s v="Windows 10"/>
    <x v="37"/>
    <s v="15.6&quot; (39.62 cm), 1920 x 1080 px, LED Display"/>
    <s v="Web Camera"/>
    <s v="Slim 20 mm"/>
    <s v="HDMI Port"/>
    <s v="3 USB Ports"/>
    <m/>
    <x v="5"/>
    <x v="6"/>
    <x v="2"/>
  </r>
  <r>
    <s v="Acer Aspire 3 A324-53 (UN.34RSI.009) Laptop (Core i3 13th Gen/16 GB/512 GB SSD/Windows 11)"/>
    <s v="Acer Aspire 3 A324-53 (UN.34RSI.009) Laptop (Core i3 13th Gen/16 GB/512 GB SSD/Windows 11) price in India"/>
    <x v="133"/>
    <n v="3"/>
    <n v="94"/>
    <x v="0"/>
    <d v="2024-11-01T00:00:00"/>
    <s v="AMD Hexa-Core Ryzen 5 (7530U) 4.5 Ghz"/>
    <s v="Windows 11"/>
    <x v="2"/>
    <s v="14&quot; (35.56 cm), 1920 x 1080 px, TFT LCD Display"/>
    <s v="Web Camera"/>
    <s v="Slim 19.4 mm"/>
    <s v="HDMI Port"/>
    <m/>
    <n v="78"/>
    <x v="1"/>
    <x v="6"/>
    <x v="0"/>
  </r>
  <r>
    <s v="Acer Nitro 5 AN515-52-52CB (NH.Q3XSI.002) Laptop (Core i5 8th Gen/8 GB/1 TB 128 GB SSD/Windows 10/6 GB)"/>
    <s v="Acer Nitro 5 AN515-52-52CB (NH.Q3XSI.002) Laptop (Core i5 8th Gen/8 GB/1 TB 128 GB SSD/Windows 10/6 GB) price in India"/>
    <x v="121"/>
    <n v="56"/>
    <n v="94"/>
    <x v="0"/>
    <d v="2019-07-01T00:00:00"/>
    <s v="AMD Hexa-Core Ryzen 5 (7530U) 4.5 Ghz"/>
    <s v="Windows 10"/>
    <x v="37"/>
    <s v="15.6&quot; (39.62 cm), 1920 x 1080 px, LED Display"/>
    <s v="Web Camera"/>
    <m/>
    <s v="HDMI Port"/>
    <s v="3 USB Ports"/>
    <m/>
    <x v="1"/>
    <x v="6"/>
    <x v="2"/>
  </r>
  <r>
    <s v="Samsung Galaxy Book 4 NP750XGK-KG3IN Laptop (Core 7 Series 1 /16 GB/512 GB SSD/Windows 11)"/>
    <s v="Samsung Galaxy Book 4 NP750XGK-KG3IN Laptop (Core 7 Series 1 /16 GB/512 GB SSD/Windows 11) price in India"/>
    <x v="134"/>
    <n v="19"/>
    <n v="94"/>
    <x v="0"/>
    <d v="2024-03-01T00:00:00"/>
    <s v="AMD Hexa-Core Ryzen 5 (7530U) 4.5 Ghz"/>
    <s v="Windows 11"/>
    <x v="30"/>
    <s v="15.6&quot; (39.62 cm), 1920 x 1080 px, IPS LCD Display"/>
    <s v="Web Camera"/>
    <s v="Slim 15.4 mm"/>
    <s v="HDMI Port"/>
    <m/>
    <n v="81"/>
    <x v="8"/>
    <x v="6"/>
    <x v="0"/>
  </r>
  <r>
    <s v="HP OMEN Transcend 14-fb0089TX (9U867PA) Laptop (Core Ultra 7/16 GB/1 TB SSD/Windows 11/8 GB)"/>
    <s v="HP OMEN Transcend 14-fb0089TX (9U867PA) Laptop (Core Ultra 7/16 GB/1 TB SSD/Windows 11/8 GB) price in India"/>
    <x v="135"/>
    <n v="7"/>
    <n v="94"/>
    <x v="0"/>
    <d v="2024-03-01T00:00:00"/>
    <s v="AMD Hexa-Core Ryzen 5 (7530U) 4.5 Ghz"/>
    <s v="Windows 11"/>
    <x v="3"/>
    <s v="14&quot; (35.56 cm), 2880 x 1800 px, OLED Display"/>
    <s v="Web Camera"/>
    <s v="Slim 17.9 mm"/>
    <s v="HDMI Port"/>
    <m/>
    <m/>
    <x v="7"/>
    <x v="6"/>
    <x v="0"/>
  </r>
  <r>
    <s v="Apple MacBook Air M3 MRYQ3HN/A Ultrabook (Apple M3/8 GB/512 GB SSD/macOS Sonoma)"/>
    <s v="Apple MacBook Air M3 MRYQ3HN/A Ultrabook (Apple M3/8 GB/512 GB SSD/macOS Sonoma) price in India"/>
    <x v="136"/>
    <n v="127"/>
    <n v="94"/>
    <x v="0"/>
    <d v="2024-03-01T00:00:00"/>
    <s v="AMD Hexa-Core Ryzen 5 (7530U) 4.5 Ghz"/>
    <s v="macOS Sonoma"/>
    <x v="39"/>
    <s v="15.3&quot; (38.86 cm), 2880 x 1864 px, IPS LCD Display"/>
    <s v="Web Camera"/>
    <s v="Slim 11.5 mm"/>
    <m/>
    <m/>
    <n v="84"/>
    <x v="0"/>
    <x v="6"/>
    <x v="2"/>
  </r>
  <r>
    <s v="Apple MacBook Air M3 MRXU3HN/A Ultrabook (Apple M3/8 GB/512 GB SSD/macOS Sonoma)"/>
    <s v="Apple MacBook Air M3 MRXU3HN/A Ultrabook (Apple M3/8 GB/512 GB SSD/macOS Sonoma) price in India"/>
    <x v="135"/>
    <n v="127"/>
    <n v="94"/>
    <x v="0"/>
    <d v="2024-03-01T00:00:00"/>
    <s v="AMD Hexa-Core Ryzen 5 (7530U) 4.5 Ghz"/>
    <s v="macOS Sonoma"/>
    <x v="39"/>
    <s v="13.6&quot; (34.54 cm), 2560 x 1664 px, IPS LCD Display"/>
    <s v="Web Camera"/>
    <s v="Slim 11.3 mm"/>
    <m/>
    <m/>
    <n v="84"/>
    <x v="0"/>
    <x v="6"/>
    <x v="2"/>
  </r>
  <r>
    <s v="Apple MacBook Air M3 MRXR3HN/A Ultrabook (Apple M3/8 GB/512 GB SSD/macOS Sonoma)"/>
    <s v="Apple MacBook Air M3 MRXR3HN/A Ultrabook (Apple M3/8 GB/512 GB SSD/macOS Sonoma) price in India"/>
    <x v="137"/>
    <n v="127"/>
    <n v="94"/>
    <x v="0"/>
    <d v="2024-03-01T00:00:00"/>
    <s v="AMD Hexa-Core Ryzen 5 (7530U) 4.5 Ghz"/>
    <s v="macOS Sonoma"/>
    <x v="39"/>
    <s v="13.6&quot; (34.54 cm), 2560 x 1664 px, IPS LCD Display"/>
    <s v="Web Camera"/>
    <s v="Slim 11.3 mm"/>
    <m/>
    <m/>
    <n v="84"/>
    <x v="0"/>
    <x v="6"/>
    <x v="2"/>
  </r>
  <r>
    <s v="Apple MacBook Air M3 MRXN3HN/A Ultrabook (Apple M3/8 GB/256 GB SSD/macOS Sonoma)"/>
    <s v="Apple MacBook Air M3 MRXN3HN/A Ultrabook (Apple M3/8 GB/256 GB SSD/macOS Sonoma) price in India"/>
    <x v="138"/>
    <n v="127"/>
    <n v="94"/>
    <x v="0"/>
    <d v="2024-03-01T00:00:00"/>
    <s v="AMD Hexa-Core Ryzen 5 (7535HS)"/>
    <s v="macOS Sonoma"/>
    <x v="40"/>
    <s v="13.6&quot; (34.54 cm), 2560 x 1664 px, IPS LCD Display"/>
    <s v="Web Camera"/>
    <s v="Slim 11.3 mm"/>
    <m/>
    <m/>
    <n v="83"/>
    <x v="0"/>
    <x v="6"/>
    <x v="2"/>
  </r>
  <r>
    <s v="Apple MacBook Air M3 MRYV3HN/A Ultrabook (Apple M3/8 GB/512 GB SSD/macOS Sonoma)"/>
    <s v="Apple MacBook Air M3 MRYV3HN/A Ultrabook (Apple M3/8 GB/512 GB SSD/macOS Sonoma) price in India"/>
    <x v="68"/>
    <n v="127"/>
    <n v="94"/>
    <x v="0"/>
    <d v="2024-03-01T00:00:00"/>
    <s v="AMD Hexa-Core Ryzen 5 (7535HS) 3.3 Ghz"/>
    <s v="macOS Sonoma"/>
    <x v="39"/>
    <s v="15.3&quot; (38.86 cm), 2880 x 1864 px, IPS LCD Display"/>
    <s v="Web Camera"/>
    <s v="Slim 11.5 mm"/>
    <m/>
    <m/>
    <n v="84"/>
    <x v="0"/>
    <x v="6"/>
    <x v="2"/>
  </r>
  <r>
    <s v="Apple MacBook Air M3 MRXQ3HN/A Ultrabook (Apple M3/8 GB/256 GB SSD/macOS Sonoma)"/>
    <s v="Apple MacBook Air M3 MRXQ3HN/A Ultrabook (Apple M3/8 GB/256 GB SSD/macOS Sonoma) price in India"/>
    <x v="138"/>
    <n v="127"/>
    <n v="94"/>
    <x v="0"/>
    <d v="2024-03-01T00:00:00"/>
    <s v="AMD Hexa-Core Ryzen 5 (7535HS) 3.3 Ghz"/>
    <s v="macOS Sonoma"/>
    <x v="40"/>
    <s v="13.6&quot; (34.54 cm), 2560 x 1664 px, IPS LCD Display"/>
    <s v="Web Camera"/>
    <s v="Slim 11.3 mm"/>
    <m/>
    <m/>
    <n v="83"/>
    <x v="0"/>
    <x v="6"/>
    <x v="2"/>
  </r>
  <r>
    <s v="Apple MacBook Air M3 MRXT3HN/A Ultrabook (Apple M3/8 GB/256 GB SSD/macOS Sonoma)"/>
    <s v="Apple MacBook Air M3 MRXT3HN/A Ultrabook (Apple M3/8 GB/256 GB SSD/macOS Sonoma) price in India"/>
    <x v="139"/>
    <n v="127"/>
    <n v="94"/>
    <x v="0"/>
    <d v="2024-03-01T00:00:00"/>
    <s v="AMD Hexa-Core Ryzen 5 (7535HS) 3.3 Ghz"/>
    <s v="macOS Sonoma"/>
    <x v="40"/>
    <s v="13.6&quot; (34.54 cm), 2560 x 1664 px, IPS LCD Display"/>
    <s v="Web Camera"/>
    <s v="Slim 11.3 mm"/>
    <m/>
    <m/>
    <n v="83"/>
    <x v="0"/>
    <x v="6"/>
    <x v="2"/>
  </r>
  <r>
    <s v="Apple MacBook Air M3 MRXP3HN/A Ultrabook (Apple M3/8 GB/512 GB SSD/macOS Sonoma)"/>
    <s v="Apple MacBook Air M3 MRXP3HN/A Ultrabook (Apple M3/8 GB/512 GB SSD/macOS Sonoma) price in India"/>
    <x v="140"/>
    <n v="127"/>
    <n v="94"/>
    <x v="0"/>
    <d v="2024-03-01T00:00:00"/>
    <s v="AMD Hexa-Core Ryzen 5 (7535HS) 3.3 Ghz"/>
    <s v="macOS Sonoma"/>
    <x v="39"/>
    <s v="13.6&quot; (34.54 cm), 2560 x 1664 px, IPS LCD Display"/>
    <s v="Web Camera"/>
    <s v="Slim 11.3 mm"/>
    <m/>
    <m/>
    <n v="84"/>
    <x v="0"/>
    <x v="6"/>
    <x v="2"/>
  </r>
  <r>
    <s v="Apple MacBook Air M3 MRYM3HN/A Ultrabook (Apple M3/8 GB/256 GB SSD/macOS Sonoma)"/>
    <s v="Apple MacBook Air M3 MRYM3HN/A Ultrabook (Apple M3/8 GB/256 GB SSD/macOS Sonoma) price in India"/>
    <x v="68"/>
    <n v="127"/>
    <n v="94"/>
    <x v="0"/>
    <d v="2024-03-01T00:00:00"/>
    <s v="AMD Hexa-Core Ryzen 5 (7535HS) 3.3 Ghz"/>
    <s v="macOS Sonoma"/>
    <x v="40"/>
    <s v="15.3&quot; (38.86 cm), 2880 x 1864 px, IPS LCD Display"/>
    <s v="Web Camera"/>
    <s v="Slim 11.5 mm"/>
    <m/>
    <m/>
    <n v="83"/>
    <x v="0"/>
    <x v="6"/>
    <x v="2"/>
  </r>
  <r>
    <s v="Apple MacBook Air M3 MRYT3HN/A Ultrabook (Apple M3/8 GB/512 GB SSD/macOS Sonoma)"/>
    <s v="Apple MacBook Air M3 MRYT3HN/A Ultrabook (Apple M3/8 GB/512 GB SSD/macOS Sonoma) price in India"/>
    <x v="68"/>
    <n v="127"/>
    <n v="94"/>
    <x v="0"/>
    <d v="2024-03-01T00:00:00"/>
    <s v="AMD Hexa-Core Ryzen 5 (7535HS) 3.3 Ghz"/>
    <s v="macOS Sonoma"/>
    <x v="39"/>
    <s v="15.3&quot; (38.86 cm), 2880 x 1864 px, IPS LCD Display"/>
    <s v="Web Camera"/>
    <s v="Slim 11.5 mm"/>
    <m/>
    <m/>
    <n v="84"/>
    <x v="0"/>
    <x v="6"/>
    <x v="2"/>
  </r>
  <r>
    <s v="Apple MacBook Air M3 MRYN3HN/A Ultrabook (Apple M3/8 GB/512 GB SSD/macOS Sonoma)"/>
    <s v="Apple MacBook Air M3 MRYN3HN/A Ultrabook (Apple M3/8 GB/512 GB SSD/macOS Sonoma) price in India"/>
    <x v="116"/>
    <n v="127"/>
    <n v="94"/>
    <x v="0"/>
    <d v="2024-03-01T00:00:00"/>
    <s v="AMD Hexa-Core Ryzen 5 (7535HS) 3.3 Ghz"/>
    <s v="macOS Sonoma"/>
    <x v="39"/>
    <s v="15.3&quot; (38.86 cm), 2880 x 1864 px, IPS LCD Display"/>
    <s v="Web Camera"/>
    <s v="Slim 11.5 mm"/>
    <m/>
    <m/>
    <n v="84"/>
    <x v="0"/>
    <x v="6"/>
    <x v="2"/>
  </r>
  <r>
    <s v="Apple MacBook Air M3 MRYP3HN/A Ultrabook (Apple M3/8 GB/256 GB SSD/macOS Sonoma)"/>
    <s v="Apple MacBook Air M3 MRYP3HN/A Ultrabook (Apple M3/8 GB/256 GB SSD/macOS Sonoma) price in India"/>
    <x v="68"/>
    <n v="127"/>
    <n v="94"/>
    <x v="0"/>
    <d v="2024-03-01T00:00:00"/>
    <s v="AMD Hexa-Core Ryzen 5 (7535HS) 4.2 Ghz"/>
    <s v="macOS Sonoma"/>
    <x v="40"/>
    <s v="15.3&quot; (38.86 cm), 2880 x 1864 px, IPS LCD Display"/>
    <s v="Web Camera"/>
    <s v="Slim 11.5 mm"/>
    <m/>
    <m/>
    <n v="83"/>
    <x v="0"/>
    <x v="6"/>
    <x v="2"/>
  </r>
  <r>
    <s v="Apple MacBook Air M3 MRXW3HN/A Ultrabook (Apple M3/8 GB/512 GB SSD/macOS Sonoma)"/>
    <s v="Apple MacBook Air M3 MRXW3HN/A Ultrabook (Apple M3/8 GB/512 GB SSD/macOS Sonoma) price in India"/>
    <x v="141"/>
    <n v="127"/>
    <n v="94"/>
    <x v="0"/>
    <d v="2024-03-01T00:00:00"/>
    <s v="AMD Hexa-Core Ryzen 5 (7535HS) 4.2 Ghz"/>
    <s v="macOS Sonoma"/>
    <x v="39"/>
    <s v="13.6&quot; (34.54 cm), 2560 x 1664 px, IPS LCD Display"/>
    <s v="Web Camera"/>
    <s v="Slim 11.3 mm"/>
    <m/>
    <m/>
    <n v="84"/>
    <x v="0"/>
    <x v="6"/>
    <x v="2"/>
  </r>
  <r>
    <s v="Apple MacBook Pro M3 MTL83HN/A Ultrabook (Apple M3/8 GB/1 TB SSD/macOS Sonoma)"/>
    <s v="Apple MacBook Pro M3 MTL83HN/A Ultrabook (Apple M3/8 GB/1 TB SSD/macOS Sonoma) price in India"/>
    <x v="97"/>
    <n v="23"/>
    <n v="94"/>
    <x v="0"/>
    <d v="2023-11-01T00:00:00"/>
    <s v="AMD Hexa-Core Ryzen 5 (7535HS) 4.2 Ghz"/>
    <s v="macOS Sonoma"/>
    <x v="41"/>
    <s v="14&quot; (35.56 cm), 3024 x 1964 px Display"/>
    <s v="Web Camera"/>
    <s v="Slim 15.5 mm"/>
    <s v="HDMI Port"/>
    <m/>
    <n v="77"/>
    <x v="0"/>
    <x v="6"/>
    <x v="2"/>
  </r>
  <r>
    <s v="Lenovo Ideapad Flex 5i 14IRU8 (82Y0004TIN) Laptop (Core i7 13th Gen/16 GB/512 GB SSD/Windows 11)"/>
    <s v="Lenovo Ideapad Flex 5i 14IRU8 (82Y0004TIN) Laptop (Core i7 13th Gen/16 GB/512 GB SSD/Windows 11) price in India"/>
    <x v="123"/>
    <n v="18"/>
    <n v="94"/>
    <x v="0"/>
    <d v="2023-10-01T00:00:00"/>
    <s v="AMD Hexa-Core Ryzen 5 (7535HS) 4.5 Ghz"/>
    <s v="Windows 11"/>
    <x v="30"/>
    <s v="14&quot; (35.56 cm), 1920 x 1200 px, IPS LCD Display"/>
    <s v="Web Camera"/>
    <s v="Slim 17.4 mm"/>
    <s v="HDMI Port"/>
    <m/>
    <n v="77"/>
    <x v="5"/>
    <x v="6"/>
    <x v="0"/>
  </r>
  <r>
    <s v="Dell Inspiron 15 3530 (IN3530NC2R9001ORS1) Laptop (Core i7 13th Gen/16 GB/512 GB SSD/Windows 11)"/>
    <s v="Dell Inspiron 15 3530 (IN3530NC2R9001ORS1) Laptop (Core i7 13th Gen/16 GB/512 GB SSD/Windows 11) price in India"/>
    <x v="142"/>
    <n v="15"/>
    <n v="94"/>
    <x v="0"/>
    <d v="2023-09-01T00:00:00"/>
    <s v="AMD Hexa-Core Ryzen 5 (7535HS) 4.7 Ghz"/>
    <s v="Windows 11"/>
    <x v="2"/>
    <s v="15.6&quot; (39.62 cm), 1920 x 1080 px, IPS LCD Display"/>
    <s v="Web Camera"/>
    <m/>
    <s v="HDMI Port"/>
    <m/>
    <n v="79"/>
    <x v="6"/>
    <x v="6"/>
    <x v="0"/>
  </r>
  <r>
    <s v="HP Pavilion 14-ek1074TU (8C5H5PA) Laptop (Core i5 13th Gen/16 GB/512 GB SSD/Windows 11)"/>
    <s v="HP Pavilion 14-ek1074TU (8C5H5PA) Laptop (Core i5 13th Gen/16 GB/512 GB SSD/Windows 11) price in India"/>
    <x v="108"/>
    <n v="6"/>
    <n v="94"/>
    <x v="0"/>
    <d v="2023-08-01T00:00:00"/>
    <s v="AMD Hexa-Core Ryzen 5 (7535U) 2.9 Ghz"/>
    <s v="Windows 11"/>
    <x v="2"/>
    <s v="14&quot; (35.56 cm), 1920 x 1080 px, IPS LCD Display"/>
    <s v="Web Camera"/>
    <s v="Slim 17.9 mm"/>
    <s v="HDMI Port"/>
    <m/>
    <n v="76"/>
    <x v="7"/>
    <x v="6"/>
    <x v="0"/>
  </r>
  <r>
    <s v="MSI Pulse 17 B13VFK-667IN Laptop (Core i7 13th Gen/8 GB/1 TB SSD/Windows 11/8 GB)"/>
    <s v="MSI Pulse 17 B13VFK-667IN Laptop (Core i7 13th Gen/8 GB/1 TB SSD/Windows 11/8 GB) price in India"/>
    <x v="143"/>
    <n v="26"/>
    <n v="94"/>
    <x v="0"/>
    <d v="2023-08-01T00:00:00"/>
    <s v="AMD Hexa-Core Ryzen 5 (7535U) 4.2 Ghz"/>
    <s v="Windows 11"/>
    <x v="42"/>
    <s v="17.3&quot; (43.94 cm), 2560 x 1440 px, IPS LCD Display"/>
    <s v="Web Camera"/>
    <m/>
    <s v="HDMI Port"/>
    <m/>
    <n v="86"/>
    <x v="3"/>
    <x v="6"/>
    <x v="2"/>
  </r>
  <r>
    <s v="MSI Stealth 15 A13VF-074IN Laptop (Core i7 13th Gen/16 GB/1 TB SSD/Windows 11/8 GB)"/>
    <s v="MSI Stealth 15 A13VF-074IN Laptop (Core i7 13th Gen/16 GB/1 TB SSD/Windows 11/8 GB) price in India"/>
    <x v="144"/>
    <n v="3"/>
    <n v="94"/>
    <x v="0"/>
    <d v="2023-03-01T00:00:00"/>
    <s v="AMD Hexa-Core Ryzen 5 (7535U) 4.2 Ghz"/>
    <s v="Windows 11"/>
    <x v="10"/>
    <s v="15.6&quot; (39.62 cm), 2560 x 1440 px, OLED Display"/>
    <s v="Web Camera"/>
    <s v="Slim 19.9 mm"/>
    <s v="HDMI Port"/>
    <m/>
    <m/>
    <x v="3"/>
    <x v="6"/>
    <x v="0"/>
  </r>
  <r>
    <s v="MSI Pulse 15 B13VFK-293IN Laptop (Core i7 13th Gen/16 GB/1 TB SSD/Windows 11/8 GB)"/>
    <s v="MSI Pulse 15 B13VFK-293IN Laptop (Core i7 13th Gen/16 GB/1 TB SSD/Windows 11/8 GB) price in India"/>
    <x v="145"/>
    <n v="15"/>
    <n v="94"/>
    <x v="0"/>
    <d v="2023-02-01T00:00:00"/>
    <s v="AMD Hexa-Core Ryzen 5 (7640HS) 5.0 Ghz"/>
    <s v="Windows 11"/>
    <x v="10"/>
    <s v="15.6&quot; (39.62 cm), 1920 x 1080 px Display"/>
    <s v="Web Camera"/>
    <m/>
    <s v="HDMI Port"/>
    <m/>
    <m/>
    <x v="3"/>
    <x v="6"/>
    <x v="0"/>
  </r>
  <r>
    <s v="MSI Katana 15 B13VFK-296IN Laptop (Core i7 13th Gen/16 GB/1 TB SSD/Windows 11/8 GB)"/>
    <s v="MSI Katana 15 B13VFK-296IN Laptop (Core i7 13th Gen/16 GB/1 TB SSD/Windows 11/8 GB) price in India"/>
    <x v="146"/>
    <n v="9"/>
    <n v="94"/>
    <x v="0"/>
    <d v="2023-02-01T00:00:00"/>
    <s v="AMD Hexa-Core Ryzen 5 (8645HS ) 5.0 Ghz"/>
    <s v="Windows 11"/>
    <x v="10"/>
    <s v="17.3&quot; (43.94 cm), 1920 x 1080 px, IPS LCD Display"/>
    <s v="Web Camera"/>
    <m/>
    <s v="HDMI Port"/>
    <m/>
    <n v="86"/>
    <x v="3"/>
    <x v="6"/>
    <x v="0"/>
  </r>
  <r>
    <s v="HP 15s-du3595TU (67V46PA) Laptop (Core i3 11th Gen/8 GB/256 GB SSD/Windows 11)"/>
    <s v="HP 15s-du3595TU (67V46PA) Laptop (Core i3 11th Gen/8 GB/256 GB SSD/Windows 11) price in India"/>
    <x v="147"/>
    <n v="7"/>
    <n v="94"/>
    <x v="0"/>
    <d v="2023-01-01T00:00:00"/>
    <s v="AMD Hexa-Core Ryzen AI 5 (340) 4.8 Ghz"/>
    <s v="Windows 11"/>
    <x v="38"/>
    <s v="15.6&quot; (39.62 cm), 1920 x 1080 px, IPS LCD Display"/>
    <s v="Web Camera"/>
    <s v="Slim 19.9 mm"/>
    <s v="HDMI Port"/>
    <m/>
    <m/>
    <x v="7"/>
    <x v="8"/>
    <x v="2"/>
  </r>
  <r>
    <s v="Apple MacBook Pro M2 Pro MNW93HN/A Ultrabook (Apple M2 Pro/16 GB/1 TB SSD/macOS Ventura)"/>
    <s v="Apple MacBook Pro M2 Pro MNW93HN/A Ultrabook (Apple M2 Pro/16 GB/1 TB SSD/macOS Ventura) price in India"/>
    <x v="119"/>
    <n v="15"/>
    <n v="94"/>
    <x v="0"/>
    <d v="2023-01-01T00:00:00"/>
    <s v="AMD Hexadeca-Core Ryzen 9 (7945HX) 4.8 Ghz"/>
    <s v="macOS Ventura"/>
    <x v="33"/>
    <s v="16.2&quot; (41.15 cm), 3456 x 2234 px Display"/>
    <s v="Web Camera"/>
    <m/>
    <s v="HDMI Port"/>
    <m/>
    <n v="76"/>
    <x v="0"/>
    <x v="9"/>
    <x v="0"/>
  </r>
  <r>
    <s v="Microsoft Surface Pro 9 Intel Evo (QEZ-00031) Laptop (Core i5 12th Gen/8 GB/256 GB SSD/Windows 11)"/>
    <s v="Microsoft Surface Pro 9 Intel Evo (QEZ-00031) Laptop (Core i5 12th Gen/8 GB/256 GB SSD/Windows 11) price in India"/>
    <x v="75"/>
    <n v="12"/>
    <n v="94"/>
    <x v="0"/>
    <d v="2022-11-01T00:00:00"/>
    <s v="AMD Octa-Core Ryzen 7 (4800H) 2.9 Ghz"/>
    <s v="Windows 11"/>
    <x v="31"/>
    <s v="13&quot; (33.02 cm), 1600 x 1200 px Display"/>
    <s v="Web Camera"/>
    <s v="Slim 09 mm"/>
    <m/>
    <m/>
    <n v="75"/>
    <x v="4"/>
    <x v="10"/>
    <x v="2"/>
  </r>
  <r>
    <s v="HP Victus 15-fb0050AX (6F9V1PA) Laptop (AMD Hexa Core Ryzen 5/8 GB/512 GB SSD/Windows 11/4 GB)"/>
    <s v="HP Victus 15-fb0050AX (6F9V1PA) Laptop (AMD Hexa Core Ryzen 5/8 GB/512 GB SSD/Windows 11/4 GB) price in India"/>
    <x v="148"/>
    <n v="26"/>
    <n v="94"/>
    <x v="0"/>
    <d v="2022-08-01T00:00:00"/>
    <s v="AMD Octa-Core Ryzen 7 (4800H) 2.9 Ghz"/>
    <s v="Windows 11"/>
    <x v="5"/>
    <s v="15.6&quot; (39.62 cm), 1920 x 1080 px, IPS LCD Display"/>
    <s v="Web Camera"/>
    <m/>
    <s v="HDMI Port"/>
    <m/>
    <n v="79"/>
    <x v="7"/>
    <x v="10"/>
    <x v="2"/>
  </r>
  <r>
    <s v="Apple MacBook Pro M2 MNEH3HN/A Ultrabook (Apple M2/8 GB/256 GB SSD/macOS Monterey)"/>
    <s v="Apple MacBook Pro M2 MNEH3HN/A Ultrabook (Apple M2/8 GB/256 GB SSD/macOS Monterey) price in India"/>
    <x v="25"/>
    <n v="407"/>
    <n v="94"/>
    <x v="0"/>
    <d v="2022-06-01T00:00:00"/>
    <s v="AMD Octa-Core Ryzen 7 (4800H) 2.9 Ghz"/>
    <s v="macOS Monterey"/>
    <x v="31"/>
    <s v="13.3&quot; (33.78 cm), 2560 x 1600 px, IPS LCD Display"/>
    <s v="Web Camera"/>
    <s v="Slim 15.6 mm"/>
    <m/>
    <s v="2 USB Ports"/>
    <n v="75"/>
    <x v="0"/>
    <x v="10"/>
    <x v="2"/>
  </r>
  <r>
    <s v="Apple MacBook Air M4 MC6T4HN/A Ultrabook (Apple M4/16 GB/256 GB SSD/macOS Sequoia)"/>
    <s v="Apple MacBook Air M4 MC6T4HN/A Ultrabook (Apple M4/16 GB/256 GB SSD/macOS Sequoia) price in India"/>
    <x v="104"/>
    <n v="68"/>
    <n v="92"/>
    <x v="0"/>
    <d v="2025-03-01T00:00:00"/>
    <s v="AMD Octa-Core Ryzen 7 (4800H) 4.2 Ghz"/>
    <s v="macOS Sequoia"/>
    <x v="0"/>
    <s v="13.6&quot; (34.54 cm), 2560 x 1664 px, Liquid Retina Display"/>
    <s v="Web Camera"/>
    <s v="Slim 11.3 mm"/>
    <m/>
    <m/>
    <n v="85"/>
    <x v="0"/>
    <x v="10"/>
    <x v="0"/>
  </r>
  <r>
    <s v="Apple MacBook Air M4 MW123HN/A Ultrabook (Apple M4/16 GB/256 GB SSD/macOS Sequoia)"/>
    <s v="Apple MacBook Air M4 MW123HN/A Ultrabook (Apple M4/16 GB/256 GB SSD/macOS Sequoia) price in India"/>
    <x v="104"/>
    <n v="68"/>
    <n v="92"/>
    <x v="0"/>
    <d v="2025-03-01T00:00:00"/>
    <s v="AMD Octa-Core Ryzen 7 (4800H) 4.2 Ghz"/>
    <s v="macOS Sequoia"/>
    <x v="0"/>
    <s v="13.6&quot; (34.54 cm), 2560 x 1664 px, Liquid Retina Display"/>
    <s v="Web Camera"/>
    <s v="Slim 11.3 mm"/>
    <m/>
    <m/>
    <n v="84"/>
    <x v="0"/>
    <x v="10"/>
    <x v="0"/>
  </r>
  <r>
    <s v="Apple MacBook Air M4 MC6C4HN/A Ultrabook (Apple M4/24 GB/512 GB SSD/macOS Sequoia)"/>
    <s v="Apple MacBook Air M4 MC6C4HN/A Ultrabook (Apple M4/24 GB/512 GB SSD/macOS Sequoia) price in India"/>
    <x v="149"/>
    <n v="68"/>
    <n v="92"/>
    <x v="0"/>
    <d v="2025-03-01T00:00:00"/>
    <s v="AMD Octa-Core Ryzen 7 (4800H) 4.2 Ghz"/>
    <s v="macOS Sequoia"/>
    <x v="1"/>
    <s v="13.6&quot; (34.54 cm), 2560 x 1664 px, Liquid Retina Display"/>
    <s v="Web Camera"/>
    <s v="Slim 11.3 mm"/>
    <m/>
    <m/>
    <n v="86"/>
    <x v="0"/>
    <x v="10"/>
    <x v="1"/>
  </r>
  <r>
    <s v="Apple MacBook Air M4 MW133HN/A Ultrabook (Apple M4/16 GB/512 GB SSD/macOS Sequoia)"/>
    <s v="Apple MacBook Air M4 MW133HN/A Ultrabook (Apple M4/16 GB/512 GB SSD/macOS Sequoia) price in India"/>
    <x v="150"/>
    <n v="68"/>
    <n v="92"/>
    <x v="0"/>
    <d v="2025-03-01T00:00:00"/>
    <s v="AMD Octa-Core Ryzen 7 (5700U) 1.8 Ghz"/>
    <s v="macOS Sequoia"/>
    <x v="32"/>
    <s v="13.6&quot; (34.54 cm), 2560 x 1664 px, Liquid Retina Display"/>
    <s v="Web Camera"/>
    <s v="Slim 11.3 mm"/>
    <m/>
    <m/>
    <n v="86"/>
    <x v="0"/>
    <x v="10"/>
    <x v="0"/>
  </r>
  <r>
    <s v="Apple MacBook Air M4 MC6U4HN/A Ultrabook (Apple M4/16 GB/512 GB SSD/macOS Sequoia)"/>
    <s v="Apple MacBook Air M4 MC6U4HN/A Ultrabook (Apple M4/16 GB/512 GB SSD/macOS Sequoia) price in India"/>
    <x v="150"/>
    <n v="68"/>
    <n v="92"/>
    <x v="0"/>
    <d v="2025-03-01T00:00:00"/>
    <s v="AMD Octa-Core Ryzen 7 (5700U) 1.8 Ghz"/>
    <s v="macOS Sequoia"/>
    <x v="32"/>
    <s v="13.6&quot; (34.54 cm), 2560 x 1664 px, Liquid Retina Display"/>
    <s v="Web Camera"/>
    <s v="Slim 11.3 mm"/>
    <m/>
    <m/>
    <n v="86"/>
    <x v="0"/>
    <x v="10"/>
    <x v="0"/>
  </r>
  <r>
    <s v="Apple MacBook Air M4 MW0W3HN/A Ultrabook (Apple M4/16 GB/256 GB SSD/macOS Sequoia)"/>
    <s v="Apple MacBook Air M4 MW0W3HN/A Ultrabook (Apple M4/16 GB/256 GB SSD/macOS Sequoia) price in India"/>
    <x v="151"/>
    <n v="68"/>
    <n v="92"/>
    <x v="0"/>
    <d v="2025-03-01T00:00:00"/>
    <s v="AMD Octa-Core Ryzen 7 (5700U) 1.8 Ghz"/>
    <s v="macOS Sequoia"/>
    <x v="43"/>
    <s v="13.6&quot; (34.54 cm), 2560 x 1664 px, Liquid Retina Display"/>
    <s v="Web Camera"/>
    <s v="Slim 11.3 mm"/>
    <m/>
    <m/>
    <n v="82"/>
    <x v="0"/>
    <x v="10"/>
    <x v="0"/>
  </r>
  <r>
    <s v="Apple MacBook Air M4 MW0X3HN/A Ultrabook (Apple M4/16 GB/512 GB SSD/macOS Sequoia)"/>
    <s v="Apple MacBook Air M4 MW0X3HN/A Ultrabook (Apple M4/16 GB/512 GB SSD/macOS Sequoia) price in India"/>
    <x v="150"/>
    <n v="68"/>
    <n v="92"/>
    <x v="0"/>
    <d v="2025-03-01T00:00:00"/>
    <s v="AMD Octa-Core Ryzen 7 (5700U) 1.8 Ghz"/>
    <s v="macOS Sequoia"/>
    <x v="32"/>
    <s v="13.6&quot; (34.54 cm), 2560 x 1664 px, Liquid Retina Display"/>
    <s v="Web Camera"/>
    <s v="Slim 11.3 mm"/>
    <m/>
    <m/>
    <n v="85"/>
    <x v="0"/>
    <x v="10"/>
    <x v="0"/>
  </r>
  <r>
    <s v="Apple MacBook Air M4 MC654HN/A Ultrabook (Apple M4/24 GB/512 GB SSD/macOS Sequoia)"/>
    <s v="Apple MacBook Air M4 MC654HN/A Ultrabook (Apple M4/24 GB/512 GB SSD/macOS Sequoia) price in India"/>
    <x v="149"/>
    <n v="68"/>
    <n v="92"/>
    <x v="0"/>
    <d v="2025-03-01T00:00:00"/>
    <s v="AMD Octa-Core Ryzen 7 (5700U) 1.8 Ghz"/>
    <s v="macOS Sequoia"/>
    <x v="1"/>
    <s v="13.6&quot; (34.54 cm), 2560 x 1664 px, Liquid Retina Display"/>
    <s v="Web Camera"/>
    <s v="Slim 11.3 mm"/>
    <m/>
    <m/>
    <n v="85"/>
    <x v="0"/>
    <x v="10"/>
    <x v="1"/>
  </r>
  <r>
    <s v="Apple MacBook Air M4 MC6V4HN/A Ultrabook (Apple M4/24 GB/512 GB SSD/macOS Sequoia)"/>
    <s v="Apple MacBook Air M4 MC6V4HN/A Ultrabook (Apple M4/24 GB/512 GB SSD/macOS Sequoia) price in India"/>
    <x v="149"/>
    <n v="68"/>
    <n v="92"/>
    <x v="0"/>
    <d v="2025-03-01T00:00:00"/>
    <s v="AMD Octa-Core Ryzen 7 (5700U) 4.2 Ghz"/>
    <s v="macOS Sequoia"/>
    <x v="1"/>
    <s v="13.6&quot; (34.54 cm), 2560 x 1664 px, Liquid Retina Display"/>
    <s v="Web Camera"/>
    <s v="Slim 11.3 mm"/>
    <m/>
    <m/>
    <n v="86"/>
    <x v="0"/>
    <x v="10"/>
    <x v="1"/>
  </r>
  <r>
    <s v="Apple MacBook Air M4 MW0Y3HN/A Ultrabook (Apple M4/16 GB/256 GB SSD/macOS Sequoia)"/>
    <s v="Apple MacBook Air M4 MW0Y3HN/A Ultrabook (Apple M4/16 GB/256 GB SSD/macOS Sequoia) price in India"/>
    <x v="151"/>
    <n v="68"/>
    <n v="92"/>
    <x v="0"/>
    <d v="2025-03-01T00:00:00"/>
    <s v="AMD Octa-Core Ryzen 7 (5700U) 4.2 Ghz"/>
    <s v="macOS Sequoia"/>
    <x v="0"/>
    <s v="13.6&quot; (34.54 cm), 2560 x 1664 px, Liquid Retina Display"/>
    <s v="Web Camera"/>
    <s v="Slim 11.3 mm"/>
    <m/>
    <m/>
    <n v="84"/>
    <x v="0"/>
    <x v="10"/>
    <x v="0"/>
  </r>
  <r>
    <s v="Apple MacBook Air M4 MC6A4HN/A Ultrabook (Apple M4/24 GB/512 GB SSD/macOS Sequoia)"/>
    <s v="Apple MacBook Air M4 MC6A4HN/A Ultrabook (Apple M4/24 GB/512 GB SSD/macOS Sequoia) price in India"/>
    <x v="149"/>
    <n v="68"/>
    <n v="92"/>
    <x v="0"/>
    <d v="2025-03-01T00:00:00"/>
    <s v="AMD Octa-Core Ryzen 7 (5700U) 4.2 Ghz"/>
    <s v="macOS Sequoia"/>
    <x v="1"/>
    <s v="13.6&quot; (34.54 cm), 2560 x 1664 px, Liquid Retina Display"/>
    <s v="Web Camera"/>
    <s v="Slim 11.3 mm"/>
    <m/>
    <m/>
    <n v="86"/>
    <x v="0"/>
    <x v="10"/>
    <x v="1"/>
  </r>
  <r>
    <s v="Apple MacBook Air M4 MW103HN/A Ultrabook (Apple M4/16 GB/512 GB SSD/macOS Sequoia)"/>
    <s v="Apple MacBook Air M4 MW103HN/A Ultrabook (Apple M4/16 GB/512 GB SSD/macOS Sequoia) price in India"/>
    <x v="150"/>
    <n v="68"/>
    <n v="92"/>
    <x v="0"/>
    <d v="2025-03-01T00:00:00"/>
    <s v="AMD Octa-Core Ryzen 7 (5700U) 4.3 Ghz"/>
    <s v="macOS Sequoia"/>
    <x v="32"/>
    <s v="13.6&quot; (34.54 cm), 2560 x 1664 px, Liquid Retina Display"/>
    <s v="Web Camera"/>
    <s v="Slim 11.3 mm"/>
    <m/>
    <m/>
    <n v="85"/>
    <x v="0"/>
    <x v="10"/>
    <x v="0"/>
  </r>
  <r>
    <s v="MSI Modern 14 C12MO-1401IN Laptop (Core i3 12th Gen/8 GB/512 GB SSD/Windows 11)"/>
    <s v="MSI Modern 14 C12MO-1401IN Laptop (Core i3 12th Gen/8 GB/512 GB SSD/Windows 11) price in India"/>
    <x v="152"/>
    <n v="25"/>
    <n v="92"/>
    <x v="0"/>
    <d v="2024-10-01T00:00:00"/>
    <s v="AMD Octa-Core Ryzen 7 (5700U) 4.3 Ghz"/>
    <s v="Windows 11"/>
    <x v="5"/>
    <s v="14&quot; (35.56 cm), 1920 x 1080 px Display"/>
    <s v="Web Camera"/>
    <s v="Slim 19.3 mm"/>
    <s v="HDMI Port"/>
    <m/>
    <n v="76"/>
    <x v="3"/>
    <x v="10"/>
    <x v="2"/>
  </r>
  <r>
    <s v="Asus VivoBook S14 S3407VA-LY033WS Laptop (Core i5 13th Gen/16 GB/512 GB SSD/Windows 11)"/>
    <s v="Asus VivoBook S14 S3407VA-LY033WS Laptop (Core i5 13th Gen/16 GB/512 GB SSD/Windows 11) price in India"/>
    <x v="46"/>
    <n v="13"/>
    <n v="92"/>
    <x v="0"/>
    <d v="2025-04-01T00:00:00"/>
    <s v="AMD Octa-Core Ryzen 7 (5700U) 4.3 Ghz"/>
    <s v="Windows 11"/>
    <x v="6"/>
    <s v="14&quot; (35.56 cm), 1920 x 1200 px, IPS LCD Display"/>
    <s v="Web Camera"/>
    <s v="Slim 17.9 mm"/>
    <s v="HDMI Port"/>
    <m/>
    <n v="81"/>
    <x v="2"/>
    <x v="10"/>
    <x v="0"/>
  </r>
  <r>
    <s v="Asus VivoBook S14 S3407VA-LY037WS Laptop (Core i5 13th Gen/16 GB/512 GB SSD/Windows 11)"/>
    <s v="Asus VivoBook S14 S3407VA-LY037WS Laptop (Core i5 13th Gen/16 GB/512 GB SSD/Windows 11) price in India"/>
    <x v="46"/>
    <n v="13"/>
    <n v="92"/>
    <x v="0"/>
    <d v="2025-04-01T00:00:00"/>
    <s v="AMD Octa-Core Ryzen 7 (5700U) 4.3 Ghz"/>
    <s v="Windows 11"/>
    <x v="6"/>
    <s v="14&quot; (35.56 cm), 1920 x 1200 px, IPS LCD Display"/>
    <s v="Web Camera"/>
    <s v="Slim 17.9 mm"/>
    <s v="HDMI Port"/>
    <m/>
    <n v="81"/>
    <x v="2"/>
    <x v="10"/>
    <x v="0"/>
  </r>
  <r>
    <s v="Lenovo Yoga Slim 7 14ILL10 (83JX001LIN) Laptop (Core Ultra 5 Series 2 /32 GB/1 TB SSD/Windows 11)"/>
    <s v="Lenovo Yoga Slim 7 14ILL10 (83JX001LIN) Laptop (Core Ultra 5 Series 2 /32 GB/1 TB SSD/Windows 11) price in India"/>
    <x v="153"/>
    <n v="10"/>
    <n v="92"/>
    <x v="0"/>
    <d v="2025-01-01T00:00:00"/>
    <s v="AMD Octa-Core Ryzen 7 (5800H) 3.1 Ghz"/>
    <s v="Windows 11"/>
    <x v="7"/>
    <s v="14&quot; (35.56 cm), 1920 x 1200 px, OLED Display"/>
    <s v="Web Camera"/>
    <s v="Slim 13.9 mm"/>
    <s v="HDMI Port"/>
    <m/>
    <n v="87"/>
    <x v="5"/>
    <x v="10"/>
    <x v="3"/>
  </r>
  <r>
    <s v="Lenovo Yoga Slim 7 14ILL10 (83JX001MIN) Laptop (Intel Core Ultra 7 Series 2 /32 GB/1 TB SSD/Windows 11)"/>
    <s v="Lenovo Yoga Slim 7 14ILL10 (83JX001MIN) Laptop (Intel Core Ultra 7 Series 2 /32 GB/1 TB SSD/Windows 11) price in India"/>
    <x v="154"/>
    <n v="10"/>
    <n v="92"/>
    <x v="0"/>
    <d v="2025-01-01T00:00:00"/>
    <s v="AMD Octa-Core Ryzen 7 (5800H) 3.1 Ghz"/>
    <s v="Windows 11"/>
    <x v="7"/>
    <s v="14&quot; (35.56 cm), 1920 x 1200 px, OLED Display"/>
    <s v="Web Camera"/>
    <s v="Slim 13.9 mm"/>
    <s v="HDMI Port"/>
    <m/>
    <n v="87"/>
    <x v="5"/>
    <x v="10"/>
    <x v="3"/>
  </r>
  <r>
    <s v="MSI Modern 14 C7M-283IN Laptop (AMD Hexa Core Ryzen 5/16 GB/512 GB SSD/Windows 11)"/>
    <s v="MSI Modern 14 C7M-283IN Laptop (AMD Hexa Core Ryzen 5/16 GB/512 GB SSD/Windows 11) price in India"/>
    <x v="155"/>
    <n v="7"/>
    <n v="92"/>
    <x v="0"/>
    <d v="2025-03-01T00:00:00"/>
    <s v="AMD Octa-Core Ryzen 7 (5800H) 3.1 Ghz"/>
    <s v="Windows 11"/>
    <x v="2"/>
    <s v="14&quot; (35.56 cm), 1920 x 1080 px, IPS LCD Display"/>
    <s v="Web Camera"/>
    <s v="Slim 19.3 mm"/>
    <s v="HDMI Port"/>
    <m/>
    <n v="76"/>
    <x v="3"/>
    <x v="10"/>
    <x v="0"/>
  </r>
  <r>
    <s v="Lenovo Legion 5 15IRX9 (83JJ000DIN) Laptop (Core i7 13th Gen/24 GB/512 GB SSD/Windows 11/8 GB)"/>
    <s v="Lenovo Legion 5 15IRX9 (83JJ000DIN) Laptop (Core i7 13th Gen/24 GB/512 GB SSD/Windows 11/8 GB) price in India"/>
    <x v="113"/>
    <n v="180"/>
    <n v="92"/>
    <x v="0"/>
    <d v="2024-08-01T00:00:00"/>
    <s v="AMD Octa-Core Ryzen 7 (5800H) 3.1 Ghz"/>
    <s v="Windows 11"/>
    <x v="44"/>
    <s v="15.6&quot; (39.62 cm), 1920 x 1080 px, IPS LCD Display"/>
    <s v="Web Camera"/>
    <m/>
    <s v="HDMI Port"/>
    <m/>
    <m/>
    <x v="5"/>
    <x v="10"/>
    <x v="1"/>
  </r>
  <r>
    <s v="Asus Zenbook Duo 14 Intel Evo UX482EA-HY777TS Laptop (Core i7 11th Gen/16 GB/1 TB SSD/Windows 10)"/>
    <s v="Asus Zenbook Duo 14 Intel Evo UX482EA-HY777TS Laptop (Core i7 11th Gen/16 GB/1 TB SSD/Windows 10) price in India"/>
    <x v="156"/>
    <n v="21"/>
    <n v="92"/>
    <x v="0"/>
    <d v="2021-04-01T00:00:00"/>
    <s v="AMD Octa-Core Ryzen 7 (5800H) 3.1 Ghz"/>
    <s v="Windows 10"/>
    <x v="36"/>
    <s v="14&quot; (35.56 cm), 1920 x 1080 px, IPS LCD Display"/>
    <s v="Web Camera"/>
    <s v="Slim 17 mm"/>
    <s v="HDMI Port"/>
    <s v="3 USB Ports"/>
    <n v="80"/>
    <x v="2"/>
    <x v="10"/>
    <x v="0"/>
  </r>
  <r>
    <s v="Acer Swift 5 SF514-52T (NX.GTMSI.015) Laptop (Core i7 8th Gen/8 GB/512 GB SSD/Windows 10)"/>
    <s v="Acer Swift 5 SF514-52T (NX.GTMSI.015) Laptop (Core i7 8th Gen/8 GB/512 GB SSD/Windows 10) price in India"/>
    <x v="157"/>
    <n v="598"/>
    <n v="92"/>
    <x v="0"/>
    <m/>
    <s v="AMD Octa-Core Ryzen 7 (5800H) 3.1 Ghz"/>
    <s v="Windows 10"/>
    <x v="5"/>
    <s v="14&quot; (35.56 cm), 1920 x 1080 px, LED Display"/>
    <s v="Web Camera"/>
    <s v="Slim 14.9 mm"/>
    <s v="HDMI Port"/>
    <s v="2 USB Ports"/>
    <m/>
    <x v="1"/>
    <x v="10"/>
    <x v="2"/>
  </r>
  <r>
    <s v="Asus ROG Strix G531GT-AL271T Laptop (Core i5 9th Gen/8 GB/1 TB SSD/Windows 10/4 GB)"/>
    <s v="Asus ROG Strix G531GT-AL271T Laptop (Core i5 9th Gen/8 GB/1 TB SSD/Windows 10/4 GB) price in India"/>
    <x v="27"/>
    <n v="204"/>
    <n v="92"/>
    <x v="0"/>
    <d v="2020-06-01T00:00:00"/>
    <s v="AMD Octa-Core Ryzen 7 (5800H) 3.1 Ghz"/>
    <s v="Windows 10"/>
    <x v="14"/>
    <s v="15.6&quot; (39.62 cm), 1920 x 1080 px, LED Display"/>
    <s v="Web Camera"/>
    <m/>
    <s v="HDMI Port"/>
    <m/>
    <n v="74"/>
    <x v="2"/>
    <x v="10"/>
    <x v="2"/>
  </r>
  <r>
    <s v="Asus VivoBook 15 X512FL-EJ205T Ultrabook (Core i7 8th Gen/8 GB/512 GB SSD/Windows 10/2 GB)"/>
    <s v="Asus VivoBook 15 X512FL-EJ205T Ultrabook (Core i7 8th Gen/8 GB/512 GB SSD/Windows 10/2 GB) price in India"/>
    <x v="158"/>
    <n v="23"/>
    <n v="92"/>
    <x v="0"/>
    <d v="2019-06-01T00:00:00"/>
    <s v="AMD Octa-Core Ryzen 7 (5800H) 3.1 Ghz"/>
    <s v="Windows 10"/>
    <x v="5"/>
    <s v="15.6&quot; (39.62 cm), 1920 x 1080 px, LED Display"/>
    <s v="Web Camera"/>
    <s v="Slim 19.9 mm"/>
    <s v="HDMI Port"/>
    <m/>
    <m/>
    <x v="2"/>
    <x v="10"/>
    <x v="2"/>
  </r>
  <r>
    <s v="Acer Swift 3 SF315-52G (NX.GZASI.002) Laptop (Core i5 8th Gen/8 GB/1 TB 128 GB SSD/Windows 10/2 GB)"/>
    <s v="Acer Swift 3 SF315-52G (NX.GZASI.002) Laptop (Core i5 8th Gen/8 GB/1 TB 128 GB SSD/Windows 10/2 GB) price in India"/>
    <x v="159"/>
    <n v="481"/>
    <n v="92"/>
    <x v="0"/>
    <m/>
    <s v="AMD Octa-Core Ryzen 7 (5800H) 3.1 Ghz"/>
    <s v="Windows 10"/>
    <x v="37"/>
    <s v="15.6&quot; (39.62 cm), 1920 x 1080 px, LED Display"/>
    <s v="Web Camera"/>
    <s v="Slim 16.9 mm"/>
    <s v="HDMI Port"/>
    <s v="3 USB Ports"/>
    <m/>
    <x v="1"/>
    <x v="10"/>
    <x v="2"/>
  </r>
  <r>
    <s v="Dell Vostro 3530 (VN3530XR6N1002ORG1) Laptop (Core i3 13th Gen/8 GB/512 GB SSD/Windows 11)"/>
    <s v="Dell Vostro 3530 (VN3530XR6N1002ORG1) Laptop (Core i3 13th Gen/8 GB/512 GB SSD/Windows 11) price in India"/>
    <x v="160"/>
    <n v="12"/>
    <n v="92"/>
    <x v="0"/>
    <d v="2024-12-01T00:00:00"/>
    <s v="AMD Octa-Core Ryzen 7 (5800H) 3.1 Ghz"/>
    <s v="Windows 11"/>
    <x v="5"/>
    <s v="15.6&quot; (39.62 cm), 1920 x 1080 px, IPS LCD Display"/>
    <s v="Web Camera"/>
    <s v="Slim 17.5 mm"/>
    <s v="HDMI Port"/>
    <m/>
    <n v="73"/>
    <x v="6"/>
    <x v="10"/>
    <x v="2"/>
  </r>
  <r>
    <s v="Lenovo Yoga Slim 7 Aura Edition 15ILL9 (83HM004NIN) Laptop (Core Ultra 7/32 GB/1 TB SSD/Windows 11)"/>
    <s v="Lenovo Yoga Slim 7 Aura Edition 15ILL9 (83HM004NIN) Laptop (Core Ultra 7/32 GB/1 TB SSD/Windows 11) price in India"/>
    <x v="110"/>
    <n v="10"/>
    <n v="92"/>
    <x v="0"/>
    <d v="2024-11-01T00:00:00"/>
    <s v="AMD Octa-Core Ryzen 7 (5800H) 3.3 Ghz"/>
    <s v="Windows 11"/>
    <x v="7"/>
    <s v="15.3&quot; (38.86 cm), 2880 x 1800 px, IPS LCD Display"/>
    <s v="Web Camera"/>
    <s v="Slim 13.9 mm"/>
    <s v="HDMI Port"/>
    <m/>
    <m/>
    <x v="5"/>
    <x v="10"/>
    <x v="3"/>
  </r>
  <r>
    <s v="Samsung Galaxy Book 4 Pro NP940XGK-LG2IN Laptop (Core Ultra 7/16 GB/512 GB SSD/Windows 11)"/>
    <s v="Samsung Galaxy Book 4 Pro NP940XGK-LG2IN Laptop (Core Ultra 7/16 GB/512 GB SSD/Windows 11) price in India"/>
    <x v="68"/>
    <n v="52"/>
    <n v="92"/>
    <x v="0"/>
    <d v="2024-07-01T00:00:00"/>
    <s v="AMD Octa-Core Ryzen 7 (5800H) 4.2 Ghz"/>
    <s v="Windows 11"/>
    <x v="8"/>
    <s v="14&quot; (35.56 cm), 2880 x 1800 px, AMOLED Display"/>
    <s v="Web Camera"/>
    <s v="Slim 11.6 mm"/>
    <s v="HDMI Port"/>
    <m/>
    <n v="86"/>
    <x v="8"/>
    <x v="10"/>
    <x v="0"/>
  </r>
  <r>
    <s v="Samsung Galaxy Book 4 Pro NP940XGK-KG2IN Laptop (Intel Core Ultra 7/16 GB/512 GB SSD/Windows 11)"/>
    <s v="Samsung Galaxy Book 4 Pro NP940XGK-KG2IN Laptop (Intel Core Ultra 7/16 GB/512 GB SSD/Windows 11) price in India"/>
    <x v="161"/>
    <n v="54"/>
    <n v="92"/>
    <x v="0"/>
    <d v="2024-02-01T00:00:00"/>
    <s v="AMD Octa-Core Ryzen 7 (5800H) 4.2 Ghz"/>
    <s v="Windows 11"/>
    <x v="30"/>
    <s v="14&quot; (35.56 cm), 2880 x 1800 px, AMOLED Display"/>
    <s v="Web Camera"/>
    <s v="Slim 11.6 mm"/>
    <s v="HDMI Port"/>
    <m/>
    <n v="85"/>
    <x v="8"/>
    <x v="10"/>
    <x v="0"/>
  </r>
  <r>
    <s v="Acer Predator Helios 300 PH315-51-785W (NH.Q47SI.001) Laptop (Core i7 8th Gen/8 GB/2 TB 16 GB SSD/Windows 10/6 GB)"/>
    <s v="Acer Predator Helios 300 PH315-51-785W (NH.Q47SI.001) Laptop (Core i7 8th Gen/8 GB/2 TB 16 GB SSD/Windows 10/6 GB) price in India"/>
    <x v="9"/>
    <n v="64"/>
    <n v="92"/>
    <x v="0"/>
    <d v="2019-06-01T00:00:00"/>
    <s v="AMD Octa-Core Ryzen 7 (5800H) 4.2 Ghz"/>
    <s v="Windows 10"/>
    <x v="45"/>
    <s v="15.6&quot; (39.62 cm), 1920 x 1080 px, LED Display"/>
    <s v="Web Camera"/>
    <m/>
    <s v="HDMI Port"/>
    <s v="2 USB Ports"/>
    <m/>
    <x v="1"/>
    <x v="10"/>
    <x v="2"/>
  </r>
  <r>
    <s v="Acer Predator Helios 300 PH315-51 (NH.Q4HSI.004) Laptop (Core i7 8th Gen/16 GB/1 TB 256 GB SSD/Windows 10/6 GB)"/>
    <s v="Acer Predator Helios 300 PH315-51 (NH.Q4HSI.004) Laptop (Core i7 8th Gen/16 GB/1 TB 256 GB SSD/Windows 10/6 GB) price in India"/>
    <x v="4"/>
    <n v="29"/>
    <n v="92"/>
    <x v="0"/>
    <d v="2018-12-01T00:00:00"/>
    <s v="AMD Octa-Core Ryzen 7 (5800H) 4.2 Ghz"/>
    <s v="Windows 10"/>
    <x v="34"/>
    <s v="15.6&quot; (39.62 cm), 1920 x 1080 px, LED Display"/>
    <s v="Web Camera"/>
    <m/>
    <s v="HDMI Port"/>
    <s v="3 USB Ports"/>
    <m/>
    <x v="1"/>
    <x v="10"/>
    <x v="0"/>
  </r>
  <r>
    <s v="Asus Zenbook S 14 OLED UX5406SA-PZ357WS Laptop (Core Ultra 7/32 GB/1 TB SSD/Windows 11)"/>
    <s v="Asus Zenbook S 14 OLED UX5406SA-PZ357WS Laptop (Core Ultra 7/32 GB/1 TB SSD/Windows 11) price in India"/>
    <x v="162"/>
    <n v="10"/>
    <n v="92"/>
    <x v="0"/>
    <d v="2024-09-01T00:00:00"/>
    <s v="AMD Octa-Core Ryzen 7 (5800H) 4.2 Ghz"/>
    <s v="Windows 11"/>
    <x v="46"/>
    <s v="14&quot; (35.56 cm), 2880 x 1800 px, OLED Display"/>
    <s v="Web Camera"/>
    <s v="Slim 12.9 mm"/>
    <s v="HDMI Port"/>
    <m/>
    <m/>
    <x v="2"/>
    <x v="10"/>
    <x v="3"/>
  </r>
  <r>
    <s v="Infinix GTBook GL613 Laptop (Core i5 12th Gen/16 GB/512 GB SSD/Windows 11/6 GB)"/>
    <s v="Infinix GTBook GL613 Laptop (Core i5 12th Gen/16 GB/512 GB SSD/Windows 11/6 GB) price in India"/>
    <x v="163"/>
    <n v="39"/>
    <n v="92"/>
    <x v="0"/>
    <d v="2024-05-01T00:00:00"/>
    <s v="AMD Octa-Core Ryzen 7 (5800H) 4.4 Ghz"/>
    <s v="Windows 11"/>
    <x v="8"/>
    <s v="16&quot; (40.64 cm), 1920 x 1200 px, IPS LCD Display"/>
    <s v="Web Camera"/>
    <s v="Slim 18.9 mm"/>
    <s v="HDMI Port"/>
    <m/>
    <m/>
    <x v="10"/>
    <x v="10"/>
    <x v="0"/>
  </r>
  <r>
    <s v="Acer ALG AL15G-52 (UN.34CSI.002) Laptop (Core i5 12th Gen/16 GB/512 GB SSD/Windows 11/4 GB)"/>
    <s v="Acer ALG AL15G-52 (UN.34CSI.002) Laptop (Core i5 12th Gen/16 GB/512 GB SSD/Windows 11/4 GB) price in India"/>
    <x v="164"/>
    <n v="36"/>
    <n v="92"/>
    <x v="0"/>
    <d v="2024-05-01T00:00:00"/>
    <s v="AMD Octa-Core Ryzen 7 (5800H) 4.4 Ghz"/>
    <s v="Windows 11"/>
    <x v="2"/>
    <s v="15.6&quot; (39.62 cm), 1920 x 1080 px Display"/>
    <s v="Web Camera"/>
    <m/>
    <s v="HDMI Port"/>
    <m/>
    <n v="84"/>
    <x v="1"/>
    <x v="10"/>
    <x v="0"/>
  </r>
  <r>
    <s v="Apple MacBook Air M3 MRXV3HN/A Ultrabook (Apple M3/8 GB/256 GB SSD/macOS Sonoma)"/>
    <s v="Apple MacBook Air M3 MRXV3HN/A Ultrabook (Apple M3/8 GB/256 GB SSD/macOS Sonoma) price in India"/>
    <x v="165"/>
    <n v="594"/>
    <n v="92"/>
    <x v="0"/>
    <d v="2024-03-01T00:00:00"/>
    <s v="AMD Octa-Core Ryzen 7 (5800H) 4.4 Ghz"/>
    <s v="macOS Sonoma"/>
    <x v="40"/>
    <s v="13.6&quot; (34.54 cm), 2560 x 1664 px, IPS LCD Display"/>
    <s v="Web Camera"/>
    <s v="Slim 11.3 mm"/>
    <m/>
    <m/>
    <n v="82"/>
    <x v="0"/>
    <x v="10"/>
    <x v="2"/>
  </r>
  <r>
    <s v="Apple MacBook Pro M3 MR7J3HN/A Ultrabook (Apple M3/8 GB/512 GB SSD/macOS Sonoma)"/>
    <s v="Apple MacBook Pro M3 MR7J3HN/A Ultrabook (Apple M3/8 GB/512 GB SSD/macOS Sonoma) price in India"/>
    <x v="97"/>
    <n v="17"/>
    <n v="92"/>
    <x v="0"/>
    <d v="2023-11-01T00:00:00"/>
    <s v="AMD Octa-Core Ryzen 7 (5800H) 4.7 Ghz"/>
    <s v="macOS Sonoma"/>
    <x v="25"/>
    <s v="14.2&quot; (36.07 cm), 3024 x 1964 px, Liquid Retina XDR Display"/>
    <s v="Web Camera"/>
    <s v="Slim 15.5 mm"/>
    <s v="HDMI Port"/>
    <m/>
    <n v="77"/>
    <x v="0"/>
    <x v="10"/>
    <x v="2"/>
  </r>
  <r>
    <s v="Gigabyte G5 KF-E3IN313SH Laptop (Core i5 12th Gen/8 GB/512 GB SSD/Windows 11/8 GB)"/>
    <s v="Gigabyte G5 KF-E3IN313SH Laptop (Core i5 12th Gen/8 GB/512 GB SSD/Windows 11/8 GB) price in India"/>
    <x v="104"/>
    <n v="37"/>
    <n v="92"/>
    <x v="0"/>
    <d v="2023-09-01T00:00:00"/>
    <s v="AMD Octa-Core Ryzen 7 (5800H) 4.7 Ghz"/>
    <s v="Windows 11"/>
    <x v="5"/>
    <s v="15.6&quot; (39.62 cm), 1920 x 1080 px, LCD Display"/>
    <s v="Web Camera"/>
    <m/>
    <m/>
    <m/>
    <n v="83"/>
    <x v="11"/>
    <x v="10"/>
    <x v="2"/>
  </r>
  <r>
    <s v="Apple MacBook Air M2 MQKR3HN/A Ultrabook (Apple M2/8 GB/256 GB SSD/macOS Ventura)"/>
    <s v="Apple MacBook Air M2 MQKR3HN/A Ultrabook (Apple M2/8 GB/256 GB SSD/macOS Ventura) price in India"/>
    <x v="150"/>
    <n v="295"/>
    <n v="92"/>
    <x v="0"/>
    <d v="2023-06-01T00:00:00"/>
    <s v="AMD Octa-Core Ryzen 7 (5800H) 4.7 Ghz"/>
    <s v="macOS Ventura"/>
    <x v="47"/>
    <s v="15.3&quot; (38.86 cm), 2880 x 1864 px, IPS LCD Display"/>
    <s v="Web Camera"/>
    <s v="Slim 11.5 mm"/>
    <m/>
    <m/>
    <n v="73"/>
    <x v="0"/>
    <x v="10"/>
    <x v="2"/>
  </r>
  <r>
    <s v="Apple MacBook Air M2 MQKX3HN/A Laptop (Apple M2/8 GB/512 GB SSD/macOS Ventura)"/>
    <s v="Apple MacBook Air M2 MQKX3HN/A Laptop (Apple M2/8 GB/512 GB SSD/macOS Ventura) price in India"/>
    <x v="166"/>
    <n v="295"/>
    <n v="92"/>
    <x v="0"/>
    <d v="2023-06-01T00:00:00"/>
    <s v="AMD Octa-Core Ryzen 7 (5800HS) 3.1 Ghz"/>
    <s v="macOS Ventura"/>
    <x v="25"/>
    <s v="15.3&quot; (38.86 cm), 2880 x 1864 px, IPS LCD Display"/>
    <s v="Web Camera"/>
    <s v="Slim 11.5 mm"/>
    <m/>
    <m/>
    <n v="74"/>
    <x v="0"/>
    <x v="10"/>
    <x v="2"/>
  </r>
  <r>
    <s v="Asus ROG Strix G16 G614JU-N3221WS Laptop (Core i5 13th Gen/16 GB/1 TB SSD/Windows 11/6 GB)"/>
    <s v="Asus ROG Strix G16 G614JU-N3221WS Laptop (Core i5 13th Gen/16 GB/1 TB SSD/Windows 11/6 GB) price in India"/>
    <x v="99"/>
    <n v="11"/>
    <n v="92"/>
    <x v="0"/>
    <d v="2023-05-01T00:00:00"/>
    <s v="AMD Octa-Core Ryzen 7 (5800HS) 3.1 Ghz"/>
    <s v="Windows 11"/>
    <x v="10"/>
    <s v="16&quot; (40.64 cm), 1920 x 1200 px, IPS LCD Display"/>
    <s v="Web Camera"/>
    <m/>
    <s v="HDMI Port"/>
    <m/>
    <n v="85"/>
    <x v="2"/>
    <x v="10"/>
    <x v="0"/>
  </r>
  <r>
    <s v="MSI Vector GP77 13VG-055IN Laptop (Core i7 13th Gen/32 GB/1 TB SSD/Windows 11/8 GB)"/>
    <s v="MSI Vector GP77 13VG-055IN Laptop (Core i7 13th Gen/32 GB/1 TB SSD/Windows 11/8 GB) price in India"/>
    <x v="167"/>
    <n v="5"/>
    <n v="92"/>
    <x v="0"/>
    <d v="2023-05-01T00:00:00"/>
    <s v="AMD Octa-Core Ryzen 7 (5800HS) 3.2 Ghz"/>
    <s v="Windows 11"/>
    <x v="19"/>
    <s v="17.3&quot; (43.94 cm), 2560 x 1440 px Display"/>
    <s v="Web Camera"/>
    <m/>
    <m/>
    <m/>
    <m/>
    <x v="3"/>
    <x v="10"/>
    <x v="3"/>
  </r>
  <r>
    <s v="Asus ROG Strix Scar 18 G834JY-N6056WS Laptop (Core i9 13th Gen/32 GB/2 TB SSD/Windows 11/16 GB)"/>
    <s v="Asus ROG Strix Scar 18 G834JY-N6056WS Laptop (Core i9 13th Gen/32 GB/2 TB SSD/Windows 11/16 GB) price in India"/>
    <x v="168"/>
    <n v="7"/>
    <n v="92"/>
    <x v="0"/>
    <d v="2023-03-01T00:00:00"/>
    <s v="AMD Octa-Core Ryzen 7 (5800HS) 3.2 Ghz"/>
    <s v="Windows 11"/>
    <x v="22"/>
    <s v="18&quot; (45.72 cm), 2560 x 1600 px, IPS LCD Display"/>
    <s v="Web Camera"/>
    <m/>
    <s v="HDMI Port"/>
    <m/>
    <m/>
    <x v="2"/>
    <x v="10"/>
    <x v="3"/>
  </r>
  <r>
    <s v="MSI Modern 14 C12M-269IN Laptop (Core i3 12th Gen/8 GB/512 GB SSD/Windows 11)"/>
    <s v="MSI Modern 14 C12M-269IN Laptop (Core i3 12th Gen/8 GB/512 GB SSD/Windows 11) price in India"/>
    <x v="169"/>
    <n v="17"/>
    <n v="92"/>
    <x v="0"/>
    <d v="2023-01-01T00:00:00"/>
    <s v="AMD Octa-Core Ryzen 7 (5800HS) 4.4 Ghz"/>
    <s v="Windows 11"/>
    <x v="5"/>
    <s v="14&quot; (35.56 cm), 1920 x 1080 px, IPS LCD Display"/>
    <s v="Web Camera"/>
    <m/>
    <s v="HDMI Port"/>
    <m/>
    <m/>
    <x v="3"/>
    <x v="10"/>
    <x v="2"/>
  </r>
  <r>
    <s v="Lenovo ThinkBook 15 G2 (20VE00JUIN) Laptop (Core i7 11th Gen/16 GB/512 GB SSD/Windows 10)"/>
    <s v="Lenovo ThinkBook 15 G2 (20VE00JUIN) Laptop (Core i7 11th Gen/16 GB/512 GB SSD/Windows 10) price in India"/>
    <x v="170"/>
    <n v="10"/>
    <n v="92"/>
    <x v="0"/>
    <d v="2022-11-01T00:00:00"/>
    <s v="AMD Octa-Core Ryzen 7 (5800U) 4.2 Ghz"/>
    <s v="Windows 10"/>
    <x v="2"/>
    <s v="15&quot; (38.1 cm), 1920 x 1080 px, LED Display"/>
    <s v="Web Camera"/>
    <s v="Slim 18.9 mm"/>
    <s v="HDMI Port"/>
    <s v="1 USB Ports"/>
    <n v="73"/>
    <x v="5"/>
    <x v="10"/>
    <x v="0"/>
  </r>
  <r>
    <s v="Asus VivoBook Flip 14 TM420UA-EC701TS Laptop (AMD Octa Core Ryzen 7/8 GB/512 GB SSD/Windows 10)"/>
    <s v="Asus VivoBook Flip 14 TM420UA-EC701TS Laptop (AMD Octa Core Ryzen 7/8 GB/512 GB SSD/Windows 10) price in India"/>
    <x v="107"/>
    <n v="52"/>
    <n v="92"/>
    <x v="0"/>
    <d v="2022-11-01T00:00:00"/>
    <s v="AMD Octa-Core Ryzen 7 (5800U) 4.4 Ghz"/>
    <s v="Windows 10"/>
    <x v="5"/>
    <s v="14&quot; (35.56 cm), 1920 x 1080 px, IPS LCD Display"/>
    <s v="Web Camera"/>
    <s v="Slim 18.2 mm"/>
    <s v="HDMI Port"/>
    <m/>
    <m/>
    <x v="2"/>
    <x v="10"/>
    <x v="2"/>
  </r>
  <r>
    <s v="MSI Pulse GL66 11UDK-627IN Laptop (Core i7 11th Gen/16 GB/512 GB SSD/Windows 10/4 GB)"/>
    <s v="MSI Pulse GL66 11UDK-627IN Laptop (Core i7 11th Gen/16 GB/512 GB SSD/Windows 10/4 GB) price in India"/>
    <x v="171"/>
    <n v="11"/>
    <n v="92"/>
    <x v="0"/>
    <d v="2022-11-01T00:00:00"/>
    <s v="AMD Octa-Core Ryzen 7 (5825U) 2.0 Ghz"/>
    <s v="Windows 10"/>
    <x v="2"/>
    <s v="15.6&quot; (39.62 cm), 1920 x 1080 px, LED Display"/>
    <s v="Web Camera"/>
    <m/>
    <s v="HDMI Port"/>
    <m/>
    <n v="79"/>
    <x v="3"/>
    <x v="10"/>
    <x v="0"/>
  </r>
  <r>
    <s v="Asus TUF Gaming F15 FX506LHB-HN374WS Laptop (Core i5 10th Gen/16 GB/512 GB SSD/Windows 11/4 GB)"/>
    <s v="Asus TUF Gaming F15 FX506LHB-HN374WS Laptop (Core i5 10th Gen/16 GB/512 GB SSD/Windows 11/4 GB) price in India"/>
    <x v="172"/>
    <n v="47"/>
    <n v="92"/>
    <x v="0"/>
    <d v="2022-08-01T00:00:00"/>
    <s v="AMD Octa-Core Ryzen 7 (5825U) 2.0 Ghz"/>
    <s v="Windows 11"/>
    <x v="2"/>
    <s v="15.6&quot; (39.62 cm), 1920 x 1080 px Display"/>
    <s v="Web Camera"/>
    <m/>
    <m/>
    <s v="3 USB Ports"/>
    <m/>
    <x v="2"/>
    <x v="10"/>
    <x v="0"/>
  </r>
  <r>
    <s v="Dell G15-5515 (D560542WIN9W) Laptop (AMD Hexa Core Ryzen 5/8 GB/512 GB SSD/Windows 10/4 GB)"/>
    <s v="Dell G15-5515 (D560542WIN9W) Laptop (AMD Hexa Core Ryzen 5/8 GB/512 GB SSD/Windows 10/4 GB) price in India"/>
    <x v="106"/>
    <n v="217"/>
    <n v="92"/>
    <x v="0"/>
    <d v="2022-08-01T00:00:00"/>
    <s v="AMD Octa-Core Ryzen 7 (5825U) 4.7 Ghz"/>
    <s v="Windows 10"/>
    <x v="5"/>
    <s v="15.6&quot; (39.62 cm), 1920 x 1080 px, IPS LCD Display"/>
    <s v="Web Camera"/>
    <m/>
    <s v="HDMI Port"/>
    <m/>
    <n v="79"/>
    <x v="6"/>
    <x v="10"/>
    <x v="2"/>
  </r>
  <r>
    <s v="Lenovo Legion 5 Pro Gen 7 (82RG00EKIN) Laptop (AMD Octa Core Ryzen 7/32 GB/1 TB SSD/Windows 11/8 GB)"/>
    <s v="Lenovo Legion 5 Pro Gen 7 (82RG00EKIN) Laptop (AMD Octa Core Ryzen 7/32 GB/1 TB SSD/Windows 11/8 GB) price in India"/>
    <x v="173"/>
    <n v="10"/>
    <n v="92"/>
    <x v="0"/>
    <d v="2022-07-01T00:00:00"/>
    <s v="AMD Octa-Core Ryzen 7 (6800H) 3.1 Ghz"/>
    <s v="Windows 11"/>
    <x v="19"/>
    <s v="16&quot; (40.64 cm), 2560 x 1600 px, IPS LCD Display"/>
    <s v="Web Camera"/>
    <s v="Slim 19.9 mm"/>
    <s v="HDMI Port"/>
    <m/>
    <n v="87"/>
    <x v="5"/>
    <x v="10"/>
    <x v="3"/>
  </r>
  <r>
    <s v="MSI Sword 15 A12UD-471IN Laptop (Core i5 12th Gen/16 GB/512 GB SSD/Windows 11/4 GB)"/>
    <s v="MSI Sword 15 A12UD-471IN Laptop (Core i5 12th Gen/16 GB/512 GB SSD/Windows 11/4 GB) price in India"/>
    <x v="109"/>
    <n v="88"/>
    <n v="92"/>
    <x v="0"/>
    <d v="2022-07-01T00:00:00"/>
    <s v="AMD Octa-Core Ryzen 7 (6800H) 3.1 Ghz"/>
    <s v="Windows 11"/>
    <x v="2"/>
    <s v="15.6&quot; (39.62 cm), 1920 x 1080 px, IPS LCD Display"/>
    <s v="Web Camera"/>
    <m/>
    <s v="HDMI Port"/>
    <m/>
    <n v="82"/>
    <x v="3"/>
    <x v="10"/>
    <x v="0"/>
  </r>
  <r>
    <s v="Lenovo Legion 5 Pro Gen 7 (82RG009AIN) Laptop (AMD Octa Core Ryzen 7/16 GB/1 TB SSD/Windows 11/6 GB)"/>
    <s v="Lenovo Legion 5 Pro Gen 7 (82RG009AIN) Laptop (AMD Octa Core Ryzen 7/16 GB/1 TB SSD/Windows 11/6 GB) price in India"/>
    <x v="174"/>
    <n v="10"/>
    <n v="92"/>
    <x v="0"/>
    <d v="2022-06-01T00:00:00"/>
    <s v="AMD Octa-Core Ryzen 7 (6800H) 3.1 Ghz"/>
    <s v="Windows 11"/>
    <x v="10"/>
    <s v="16&quot; (40.64 cm), 2560 x 1600 px, IPS LCD Display"/>
    <s v="Web Camera"/>
    <m/>
    <s v="HDMI Port"/>
    <m/>
    <n v="85"/>
    <x v="5"/>
    <x v="10"/>
    <x v="0"/>
  </r>
  <r>
    <s v="Samsung Galaxy Book 4 NP750XGJ-LG4IN Laptop (Core i3 13th Gen/8 GB/512 GB SSD/Windows 11)"/>
    <s v="Samsung Galaxy Book 4 NP750XGJ-LG4IN Laptop (Core i3 13th Gen/8 GB/512 GB SSD/Windows 11) price in India"/>
    <x v="47"/>
    <n v="4067"/>
    <n v="90"/>
    <x v="0"/>
    <d v="2024-09-01T00:00:00"/>
    <s v="AMD Octa-Core Ryzen 7 (6800H) 3.1 Ghz"/>
    <s v="Windows 11"/>
    <x v="48"/>
    <s v="15.6&quot; (39.62 cm), 1920 x 1080 px, LCD Display"/>
    <s v="Web Camera"/>
    <s v="Slim 15.4 mm"/>
    <s v="HDMI Port"/>
    <m/>
    <n v="72"/>
    <x v="8"/>
    <x v="10"/>
    <x v="2"/>
  </r>
  <r>
    <s v="Apple MacBook Air M3 MRYR3HN/A Ultrabook (Apple M3/8 GB/256 GB SSD/macOS Sonoma)"/>
    <s v="Apple MacBook Air M3 MRYR3HN/A Ultrabook (Apple M3/8 GB/256 GB SSD/macOS Sonoma) price in India"/>
    <x v="137"/>
    <n v="50"/>
    <n v="90"/>
    <x v="0"/>
    <d v="2024-03-01T00:00:00"/>
    <s v="AMD Octa-Core Ryzen 7 (6800H) 3.1 Ghz"/>
    <s v="macOS Sonoma"/>
    <x v="40"/>
    <s v="15.3&quot; (38.86 cm), 2880 x 1864 px, Liquid Retina Display"/>
    <s v="Web Camera"/>
    <s v="Slim 11.5 mm"/>
    <m/>
    <m/>
    <n v="83"/>
    <x v="0"/>
    <x v="10"/>
    <x v="2"/>
  </r>
  <r>
    <s v="Lenovo LOQ 15ARP9 Gen 9 (83JC0046IN) Laptop (AMD Octa Core Ryzen 7/24 GB/512 GB SSD/Windows 11/8 GB)"/>
    <s v="Lenovo LOQ 15ARP9 Gen 9 (83JC0046IN) Laptop (AMD Octa Core Ryzen 7/24 GB/512 GB SSD/Windows 11/8 GB) price in India"/>
    <x v="175"/>
    <n v="1009"/>
    <n v="90"/>
    <x v="0"/>
    <d v="2024-08-01T00:00:00"/>
    <s v="AMD Octa-Core Ryzen 7 (6800H) 3.1 Ghz"/>
    <s v="Windows 11"/>
    <x v="44"/>
    <s v="15.6&quot; (39.62 cm), 1920 x 1080 px, IPS LCD Display"/>
    <s v="Web Camera"/>
    <m/>
    <s v="HDMI Port"/>
    <m/>
    <m/>
    <x v="5"/>
    <x v="10"/>
    <x v="1"/>
  </r>
  <r>
    <s v="Lenovo Ideapad S340 (81NB00F6IN) Laptop (AMD Quad Core Ryzen 5/8 GB/1 TB 256 GB SSD/Windows 10)"/>
    <s v="Lenovo Ideapad S340 (81NB00F6IN) Laptop (AMD Quad Core Ryzen 5/8 GB/1 TB 256 GB SSD/Windows 10) price in India"/>
    <x v="176"/>
    <n v="236"/>
    <n v="90"/>
    <x v="0"/>
    <d v="2020-08-01T00:00:00"/>
    <s v="AMD Octa-Core Ryzen 7 (6800H) 3.1 Ghz"/>
    <s v="Windows 10"/>
    <x v="37"/>
    <s v="14&quot; (35.56 cm), 1920 x 1080 px, LED Display"/>
    <s v="Web Camera"/>
    <s v="Slim 17.9 mm"/>
    <s v="HDMI Port"/>
    <m/>
    <m/>
    <x v="5"/>
    <x v="10"/>
    <x v="2"/>
  </r>
  <r>
    <s v="Lenovo LOQ 15ARP9 Gen 9 (83JC0045IN) Laptop (AMD Octa Core Ryzen 7/24 GB/512 GB SSD/Windows 11/6 GB)"/>
    <s v="Lenovo LOQ 15ARP9 Gen 9 (83JC0045IN) Laptop (AMD Octa Core Ryzen 7/24 GB/512 GB SSD/Windows 11/6 GB) price in India"/>
    <x v="123"/>
    <n v="1013"/>
    <n v="90"/>
    <x v="0"/>
    <d v="2024-08-01T00:00:00"/>
    <s v="AMD Octa-Core Ryzen 7 (6800H) 3.1 Ghz"/>
    <s v="Windows 11"/>
    <x v="44"/>
    <s v="15.6&quot; (39.62 cm), 1920 x 1080 px, IPS LCD Display"/>
    <s v="Web Camera"/>
    <m/>
    <s v="HDMI Port"/>
    <m/>
    <m/>
    <x v="5"/>
    <x v="10"/>
    <x v="1"/>
  </r>
  <r>
    <s v="Asus TUF Gaming A15 FA507NVR-LP204WS Laptop (AMD Octa Core Ryzen 7/16 GB/512 GB SSD/Windows 11/8 GB)"/>
    <s v="Asus TUF Gaming A15 FA507NVR-LP204WS Laptop (AMD Octa Core Ryzen 7/16 GB/512 GB SSD/Windows 11/8 GB) price in India"/>
    <x v="9"/>
    <n v="37"/>
    <n v="90"/>
    <x v="0"/>
    <d v="2025-01-01T00:00:00"/>
    <s v="AMD Octa-Core Ryzen 7 (6800H) 3.1 Ghz"/>
    <s v="Windows 11"/>
    <x v="6"/>
    <s v="15.6&quot; (39.62 cm), 1920 x 1080 px, IPS LCD Display"/>
    <s v="Web Camera"/>
    <m/>
    <s v="HDMI Port"/>
    <m/>
    <m/>
    <x v="2"/>
    <x v="10"/>
    <x v="0"/>
  </r>
  <r>
    <s v="HP Pavilion 15-eh1137AU (A30YHPA) Laptop (AMD Hexa Core Ryzen 5/8 GB/512 GB SSD/Windows 11)"/>
    <s v="HP Pavilion 15-eh1137AU (A30YHPA) Laptop (AMD Hexa Core Ryzen 5/8 GB/512 GB SSD/Windows 11) price in India"/>
    <x v="177"/>
    <n v="1751"/>
    <n v="90"/>
    <x v="0"/>
    <d v="2024-12-01T00:00:00"/>
    <s v="AMD Octa-Core Ryzen 7 (6800H) 3.1 Ghz"/>
    <s v="Windows 11"/>
    <x v="5"/>
    <s v="15.6&quot; (39.62 cm), 1920 x 1080 px, IPS LCD Display"/>
    <s v="Web Camera"/>
    <m/>
    <s v="HDMI Port"/>
    <m/>
    <m/>
    <x v="7"/>
    <x v="10"/>
    <x v="2"/>
  </r>
  <r>
    <s v="Asus Zenbook 14 OLED UX3405CA-PZ345WS Laptop (Core Ultra 5/16 GB/1 TB SSD/Windows 11)"/>
    <s v="Asus Zenbook 14 OLED UX3405CA-PZ345WS Laptop (Core Ultra 5/16 GB/1 TB SSD/Windows 11) price in India"/>
    <x v="113"/>
    <n v="17"/>
    <n v="90"/>
    <x v="0"/>
    <d v="2025-02-01T00:00:00"/>
    <s v="AMD Octa-Core Ryzen 7 (6800H) 3.3 Ghz"/>
    <s v="Windows 11"/>
    <x v="3"/>
    <s v="14&quot; (35.56 cm), 2880 x 1800 px, OLED Display"/>
    <s v="Web Camera"/>
    <s v="Slim 14.9 mm"/>
    <s v="HDMI Port"/>
    <m/>
    <n v="83"/>
    <x v="2"/>
    <x v="10"/>
    <x v="0"/>
  </r>
  <r>
    <s v="Asus Zenbook 14 OLED UX3405CA-PZ162WS Laptop (Core Ultra 5/16 GB/1 TB SSD/Windows 11)"/>
    <s v="Asus Zenbook 14 OLED UX3405CA-PZ162WS Laptop (Core Ultra 5/16 GB/1 TB SSD/Windows 11) price in India"/>
    <x v="113"/>
    <n v="17"/>
    <n v="90"/>
    <x v="0"/>
    <d v="2025-02-01T00:00:00"/>
    <s v="AMD Octa-Core Ryzen 7 (6800H) 3.3 Ghz"/>
    <s v="Windows 11"/>
    <x v="3"/>
    <s v="14&quot; (35.56 cm), 2880 x 1800 px, OLED Display"/>
    <s v="Web Camera"/>
    <s v="Slim 14.9 mm"/>
    <s v="HDMI Port"/>
    <m/>
    <n v="84"/>
    <x v="2"/>
    <x v="10"/>
    <x v="0"/>
  </r>
  <r>
    <s v="Asus TUF Gaming A15 FA507NVR-LP104WS Laptop (AMD Octa Core Ryzen 7/16 GB/512 GB SSD/Windows 11/8 GB)"/>
    <s v="Asus TUF Gaming A15 FA507NVR-LP104WS Laptop (AMD Octa Core Ryzen 7/16 GB/512 GB SSD/Windows 11/8 GB) price in India"/>
    <x v="178"/>
    <n v="102"/>
    <n v="90"/>
    <x v="0"/>
    <d v="2024-08-01T00:00:00"/>
    <s v="AMD Octa-Core Ryzen 7 (6800H) 4.7 Ghz"/>
    <s v="Windows 11"/>
    <x v="6"/>
    <s v="15.6&quot; (39.62 cm), 1920 x 1080 px, IPS LCD Display"/>
    <s v="Web Camera"/>
    <m/>
    <s v="HDMI Port"/>
    <m/>
    <m/>
    <x v="2"/>
    <x v="10"/>
    <x v="0"/>
  </r>
  <r>
    <s v="Apple MacBook Air M4 MC7A4HN/A Ultrabook (Apple M4/16 GB/256 GB SSD/macOS Sequoia)"/>
    <s v="Apple MacBook Air M4 MC7A4HN/A Ultrabook (Apple M4/16 GB/256 GB SSD/macOS Sequoia) price in India"/>
    <x v="179"/>
    <n v="14"/>
    <n v="90"/>
    <x v="0"/>
    <d v="2025-03-01T00:00:00"/>
    <s v="AMD Octa-Core Ryzen 7 (6800H) 4.7 Ghz"/>
    <s v="macOS Sequoia"/>
    <x v="0"/>
    <s v="15.3&quot; (38.86 cm), 2880 x 1864 px, Liquid Retina Display"/>
    <s v="Web Camera"/>
    <s v="Slim 11.5 mm"/>
    <m/>
    <m/>
    <n v="85"/>
    <x v="0"/>
    <x v="10"/>
    <x v="0"/>
  </r>
  <r>
    <s v="Apple MacBook Air M4 MC6L4HN/A Ultrabook (Apple M4/24 GB/512 GB SSD/macOS Sequoia)"/>
    <s v="Apple MacBook Air M4 MC6L4HN/A Ultrabook (Apple M4/24 GB/512 GB SSD/macOS Sequoia) price in India"/>
    <x v="26"/>
    <n v="14"/>
    <n v="90"/>
    <x v="0"/>
    <d v="2025-03-01T00:00:00"/>
    <s v="AMD Octa-Core Ryzen 7 (6800H) 4.7 Ghz"/>
    <s v="macOS Sequoia"/>
    <x v="1"/>
    <s v="15.3&quot; (38.86 cm), 2880 x 1864 px, Liquid Retina Display"/>
    <s v="Web Camera"/>
    <s v="Slim 11.5 mm"/>
    <m/>
    <m/>
    <n v="86"/>
    <x v="0"/>
    <x v="10"/>
    <x v="1"/>
  </r>
  <r>
    <s v="Apple MacBook Air M4 MW1J3HN/A Ultrabook (Apple M4/16 GB/256 GB SSD/macOS Sequoia)"/>
    <s v="Apple MacBook Air M4 MW1J3HN/A Ultrabook (Apple M4/16 GB/256 GB SSD/macOS Sequoia) price in India"/>
    <x v="25"/>
    <n v="14"/>
    <n v="90"/>
    <x v="0"/>
    <d v="2025-03-01T00:00:00"/>
    <s v="AMD Octa-Core Ryzen 7 (6800H) 4.7 Ghz"/>
    <s v="macOS Sequoia"/>
    <x v="0"/>
    <s v="15.3&quot; (38.86 cm), 2880 x 1864 px, Liquid Retina Display"/>
    <s v="Web Camera"/>
    <s v="Slim 11.5 mm"/>
    <m/>
    <m/>
    <n v="85"/>
    <x v="0"/>
    <x v="10"/>
    <x v="0"/>
  </r>
  <r>
    <s v="Apple MacBook Air M4 MC7C4HN/A Ultrabook (Apple M4/16 GB/512 GB SSD/macOS Sequoia)"/>
    <s v="Apple MacBook Air M4 MC7C4HN/A Ultrabook (Apple M4/16 GB/512 GB SSD/macOS Sequoia) price in India"/>
    <x v="68"/>
    <n v="14"/>
    <n v="90"/>
    <x v="0"/>
    <d v="2025-03-01T00:00:00"/>
    <s v="AMD Octa-Core Ryzen 7 (6800H) 4.7 Ghz"/>
    <s v="macOS Sequoia"/>
    <x v="32"/>
    <s v="15.3&quot; (38.86 cm), 2880 x 1864 px, Liquid Retina Display"/>
    <s v="Web Camera"/>
    <s v="Slim 11.5 mm"/>
    <m/>
    <m/>
    <n v="86"/>
    <x v="0"/>
    <x v="10"/>
    <x v="0"/>
  </r>
  <r>
    <s v="Apple MacBook Air M4 MW1H3HN/A Ultrabook (Apple M4/16 GB/512 GB SSD/macOS Sequoia)"/>
    <s v="Apple MacBook Air M4 MW1H3HN/A Ultrabook (Apple M4/16 GB/512 GB SSD/macOS Sequoia) price in India"/>
    <x v="68"/>
    <n v="14"/>
    <n v="90"/>
    <x v="0"/>
    <d v="2025-03-01T00:00:00"/>
    <s v="AMD Octa-Core Ryzen 7 (6800H) 4.7 Ghz"/>
    <s v="macOS Sequoia"/>
    <x v="32"/>
    <s v="15.3&quot; (38.86 cm), 2880 x 1864 px, Liquid Retina Display"/>
    <s v="Web Camera"/>
    <s v="Slim 11.5 mm"/>
    <m/>
    <m/>
    <n v="86"/>
    <x v="0"/>
    <x v="10"/>
    <x v="0"/>
  </r>
  <r>
    <s v="Apple MacBook Air M4 MW1K3HN/A Ultrabook (Apple M4/16 GB/512 GB SSD/macOS Sequoia)"/>
    <s v="Apple MacBook Air M4 MW1K3HN/A Ultrabook (Apple M4/16 GB/512 GB SSD/macOS Sequoia) price in India"/>
    <x v="68"/>
    <n v="14"/>
    <n v="90"/>
    <x v="0"/>
    <d v="2025-03-01T00:00:00"/>
    <s v="AMD Octa-Core Ryzen 7 (6800H) 4.7 Ghz"/>
    <s v="macOS Sequoia"/>
    <x v="32"/>
    <s v="15.3&quot; (38.86 cm), 2880 x 1864 px, Liquid Retina Display"/>
    <s v="Web Camera"/>
    <s v="Slim 11.5 mm"/>
    <m/>
    <m/>
    <n v="86"/>
    <x v="0"/>
    <x v="10"/>
    <x v="0"/>
  </r>
  <r>
    <s v="MSI Modern 15 B7M-427IN Laptop (AMD Hexa Core Ryzen 5/16 GB/512 GB SSD/Windows 11)"/>
    <s v="MSI Modern 15 B7M-427IN Laptop (AMD Hexa Core Ryzen 5/16 GB/512 GB SSD/Windows 11) price in India"/>
    <x v="180"/>
    <n v="11"/>
    <n v="90"/>
    <x v="0"/>
    <d v="2024-10-01T00:00:00"/>
    <s v="AMD Octa-Core Ryzen 7 (6800H) 4.7 Ghz"/>
    <s v="Windows 11"/>
    <x v="2"/>
    <s v="15.6&quot; (39.62 cm), 1920 x 1080 px, IPS LCD Display"/>
    <s v="Web Camera"/>
    <s v="Slim 19.9 mm"/>
    <s v="HDMI Port"/>
    <m/>
    <n v="75"/>
    <x v="3"/>
    <x v="10"/>
    <x v="0"/>
  </r>
  <r>
    <s v="Lenovo IdeaPad 5 14IRH9 (83KX0018IN) Laptop (Core i5 13th Gen/16 GB/512 GB SSD/Windows 11)"/>
    <s v="Lenovo IdeaPad 5 14IRH9 (83KX0018IN) Laptop (Core i5 13th Gen/16 GB/512 GB SSD/Windows 11) price in India"/>
    <x v="181"/>
    <n v="50"/>
    <n v="90"/>
    <x v="0"/>
    <d v="2024-08-01T00:00:00"/>
    <s v="AMD Octa-Core Ryzen 7 (6800HS) 3.3 Ghz"/>
    <s v="Windows 11"/>
    <x v="8"/>
    <s v="14&quot; (35.56 cm), 1920 x 1200 px, IPS LCD Display"/>
    <s v="Web Camera"/>
    <s v="Slim 17.5 mm"/>
    <s v="HDMI Port"/>
    <m/>
    <n v="81"/>
    <x v="5"/>
    <x v="10"/>
    <x v="0"/>
  </r>
  <r>
    <s v="Dell Inspiron 15 5515 (D560459WIN9SE) Laptop (AMD Hexa Core Ryzen 5/8 GB/512 GB SSD/Windows 10)"/>
    <s v="Dell Inspiron 15 5515 (D560459WIN9SE) Laptop (AMD Hexa Core Ryzen 5/8 GB/512 GB SSD/Windows 10) price in India"/>
    <x v="182"/>
    <n v="194"/>
    <n v="90"/>
    <x v="0"/>
    <d v="2021-07-01T00:00:00"/>
    <s v="AMD Octa-Core Ryzen 7 (6800HS) 3.3 Ghz"/>
    <s v="Windows 10"/>
    <x v="5"/>
    <s v="15.6&quot; (39.62 cm), 1920 x 1080 px, LED Display"/>
    <s v="Web Camera"/>
    <s v="Slim 20 mm"/>
    <s v="HDMI Port"/>
    <s v="1 USB Ports"/>
    <m/>
    <x v="6"/>
    <x v="10"/>
    <x v="2"/>
  </r>
  <r>
    <s v="MSI GF65 Thin 9SD-293IN Laptop (Core i7 9th Gen/16 GB/512 GB SSD/Windows 10/6 GB)"/>
    <s v="MSI GF65 Thin 9SD-293IN Laptop (Core i7 9th Gen/16 GB/512 GB SSD/Windows 10/6 GB) price in India"/>
    <x v="121"/>
    <n v="912"/>
    <n v="90"/>
    <x v="0"/>
    <d v="2020-08-01T00:00:00"/>
    <s v="AMD Octa-Core Ryzen 7 (6800HS) 3.3 Ghz"/>
    <s v="Windows 10"/>
    <x v="2"/>
    <s v="15.6&quot; (39.62 cm), 1920 x 1080 px, LED Display"/>
    <s v="Web Camera"/>
    <s v="Slim 21.7 mm"/>
    <s v="HDMI Port"/>
    <m/>
    <n v="79"/>
    <x v="3"/>
    <x v="10"/>
    <x v="0"/>
  </r>
  <r>
    <s v="MSI GF65 Thin 10SER-1258IN Laptop (Core i7 10th Gen/16 GB/512 GB SSD/Windows 10/6 GB)"/>
    <s v="MSI GF65 Thin 10SER-1258IN Laptop (Core i7 10th Gen/16 GB/512 GB SSD/Windows 10/6 GB) price in India"/>
    <x v="183"/>
    <n v="275"/>
    <n v="90"/>
    <x v="0"/>
    <d v="2021-03-01T00:00:00"/>
    <s v="AMD Octa-Core Ryzen 7 (6800HS) 4.7 Ghz"/>
    <s v="Windows 10"/>
    <x v="2"/>
    <s v="15.6&quot; (39.62 cm), 1920 x 1080 px, LED Display"/>
    <s v="Web Camera"/>
    <s v="Slim 21.7 mm"/>
    <s v="HDMI Port"/>
    <s v="1 USB Ports"/>
    <n v="80"/>
    <x v="3"/>
    <x v="10"/>
    <x v="0"/>
  </r>
  <r>
    <s v="Asus VivoBook 15 X512FL-EJ202T Ultrabook (Core i5 8th Gen/8 GB/512 GB SSD/Windows 10/2 GB)"/>
    <s v="Asus VivoBook 15 X512FL-EJ202T Ultrabook (Core i5 8th Gen/8 GB/512 GB SSD/Windows 10/2 GB) price in India"/>
    <x v="15"/>
    <n v="53"/>
    <n v="90"/>
    <x v="0"/>
    <d v="2019-06-01T00:00:00"/>
    <s v="AMD Octa-Core Ryzen 7 (6800HS) 4.7 Ghz"/>
    <s v="Windows 10"/>
    <x v="5"/>
    <s v="15.6&quot; (39.62 cm), 1920 x 1080 px, LED Display"/>
    <s v="Web Camera"/>
    <s v="Slim 19.9 mm"/>
    <s v="HDMI Port"/>
    <m/>
    <m/>
    <x v="2"/>
    <x v="10"/>
    <x v="2"/>
  </r>
  <r>
    <s v="Dell G15-5515 (D560804WIN9W) Laptop (AMD Hexa Core Ryzen 5/8 GB/512 GB SSD/Windows 11/4 GB)"/>
    <s v="Dell G15-5515 (D560804WIN9W) Laptop (AMD Hexa Core Ryzen 5/8 GB/512 GB SSD/Windows 11/4 GB) price in India"/>
    <x v="27"/>
    <n v="174"/>
    <n v="90"/>
    <x v="0"/>
    <d v="2022-03-01T00:00:00"/>
    <s v="AMD Octa-Core Ryzen 7 (6800HS) 4.7 Ghz"/>
    <s v="Windows 11"/>
    <x v="5"/>
    <s v="15.6&quot; (39.62 cm), 1920 x 1080 px, IPS LCD Display"/>
    <s v="Web Camera"/>
    <m/>
    <s v="HDMI Port"/>
    <m/>
    <n v="79"/>
    <x v="6"/>
    <x v="10"/>
    <x v="2"/>
  </r>
  <r>
    <s v="Dell Inspiron 15 3535 (IN3535YM9GN001ORB1) Laptop (AMD Quad Core Ryzen 5/8 GB/512 GB SSD/Windows 11)"/>
    <s v="Dell Inspiron 15 3535 (IN3535YM9GN001ORB1) Laptop (AMD Quad Core Ryzen 5/8 GB/512 GB SSD/Windows 11) price in India"/>
    <x v="184"/>
    <n v="65"/>
    <n v="90"/>
    <x v="0"/>
    <d v="2024-11-01T00:00:00"/>
    <s v="AMD Octa-Core Ryzen 7 (6800HS) 4.7 Ghz"/>
    <s v="Windows 11"/>
    <x v="5"/>
    <s v="15.6&quot; (39.62 cm), 1920 x 1080 px, IPS LCD Display"/>
    <s v="Web Camera"/>
    <s v="Slim 18.9 mm"/>
    <s v="HDMI Port"/>
    <m/>
    <m/>
    <x v="6"/>
    <x v="10"/>
    <x v="2"/>
  </r>
  <r>
    <s v="Asus VivoBook 15 X512DA-EJ1298TS Ultrabook (AMD Quad Core Ryzen 5/8 GB/1 TB 256 SSD/Windows 10)"/>
    <s v="Asus VivoBook 15 X512DA-EJ1298TS Ultrabook (AMD Quad Core Ryzen 5/8 GB/1 TB 256 SSD/Windows 10) price in India"/>
    <x v="124"/>
    <n v="449"/>
    <n v="90"/>
    <x v="0"/>
    <d v="2021-01-01T00:00:00"/>
    <s v="AMD Octa-Core Ryzen 7 (6800HS) 4.7 Ghz"/>
    <s v="Windows 10"/>
    <x v="37"/>
    <s v="15.6&quot; (39.62 cm), 1920 x 1080 px, LED Display"/>
    <s v="Web Camera"/>
    <s v="Slim 19.9 mm"/>
    <s v="HDMI Port"/>
    <m/>
    <m/>
    <x v="2"/>
    <x v="10"/>
    <x v="2"/>
  </r>
  <r>
    <s v="Apple MacBook Air M3 MXD43HN/A Ultrabook (Apple M3/16 GB/512 GB SSD/macOS Sequoia)"/>
    <s v="Apple MacBook Air M3 MXD43HN/A Ultrabook (Apple M3/16 GB/512 GB SSD/macOS Sequoia) price in India"/>
    <x v="68"/>
    <n v="52"/>
    <n v="90"/>
    <x v="0"/>
    <d v="2024-12-01T00:00:00"/>
    <s v="AMD Octa-Core Ryzen 7 (6800HS) 4.7 Ghz"/>
    <s v="macOS Sequoia"/>
    <x v="32"/>
    <s v="15.3&quot; (38.86 cm), 2880 x 1864 px, Liquid Retina Display"/>
    <s v="Web Camera"/>
    <s v="Slim 11.5 mm"/>
    <m/>
    <m/>
    <n v="84"/>
    <x v="0"/>
    <x v="10"/>
    <x v="0"/>
  </r>
  <r>
    <s v="HP Omen 15-en1036AX (3W218PA) Laptop (AMD Octa Core Ryzen 7/16 GB/1 TB SSD/Windows 10/6 GB)"/>
    <s v="HP Omen 15-en1036AX (3W218PA) Laptop (AMD Octa Core Ryzen 7/16 GB/1 TB SSD/Windows 10/6 GB) price in India"/>
    <x v="153"/>
    <n v="636"/>
    <n v="90"/>
    <x v="0"/>
    <d v="2021-07-01T00:00:00"/>
    <s v="AMD Octa-Core Ryzen 7 (6800HS) 4.7 Ghz"/>
    <s v="Windows 10"/>
    <x v="23"/>
    <s v="15.6&quot; (39.62 cm), 1920 x 1080 px, IPS LCD Display"/>
    <s v="Web Camera"/>
    <m/>
    <s v="HDMI Port"/>
    <s v="1 USB Ports"/>
    <n v="82"/>
    <x v="7"/>
    <x v="10"/>
    <x v="0"/>
  </r>
  <r>
    <s v="Acer Nitro 5 AN515-51 (NH.Q2SSI.006) Laptop (Core i7 7th Gen/8 GB/1 TB 128 GB SSD/Windows 10/2 GB)"/>
    <s v="Acer Nitro 5 AN515-51 (NH.Q2SSI.006) Laptop (Core i7 7th Gen/8 GB/1 TB 128 GB SSD/Windows 10/2 GB) price in India"/>
    <x v="185"/>
    <n v="414"/>
    <n v="90"/>
    <x v="0"/>
    <m/>
    <s v="AMD Octa-Core Ryzen 7 (6800HS) 4.7 Ghz"/>
    <s v="Windows 10"/>
    <x v="37"/>
    <s v="15.6&quot; (39.62 cm), 1920 x 1080 px, LED Display"/>
    <s v="Web Camera"/>
    <m/>
    <s v="HDMI Port"/>
    <s v="3 USB Ports"/>
    <m/>
    <x v="1"/>
    <x v="10"/>
    <x v="2"/>
  </r>
  <r>
    <s v="Asus ROG Strix Scar 16 G635LW-RW157WS Laptop (Core Ultra 9 Series 2 /32 GB/2 TB SSD/Windows 11/16 GB)"/>
    <s v="Asus ROG Strix Scar 16 G635LW-RW157WS Laptop (Core Ultra 9 Series 2 /32 GB/2 TB SSD/Windows 11/16 GB) price in India"/>
    <x v="186"/>
    <n v="2"/>
    <n v="90"/>
    <x v="0"/>
    <d v="2025-05-01T00:00:00"/>
    <s v="AMD Octa-Core Ryzen 7 (6800HS) 4.7 Ghz"/>
    <s v="Windows 11"/>
    <x v="22"/>
    <s v="16&quot; (40.64 cm), 2560 x 1600 px, Mini LED Display"/>
    <s v="Web Camera"/>
    <m/>
    <s v="HDMI Port"/>
    <m/>
    <m/>
    <x v="2"/>
    <x v="10"/>
    <x v="3"/>
  </r>
  <r>
    <s v="Asus Zenbook 14X OLED Space Edition UX5401ZAS-KN901WS Laptop (Core i9 12th Gen/32 GB/1 TB SSD/Windows 11)"/>
    <s v="Asus Zenbook 14X OLED Space Edition UX5401ZAS-KN901WS Laptop (Core i9 12th Gen/32 GB/1 TB SSD/Windows 11) price in India"/>
    <x v="120"/>
    <n v="22"/>
    <n v="90"/>
    <x v="0"/>
    <d v="2022-05-01T00:00:00"/>
    <s v="AMD Octa-Core Ryzen 7 (6800HS) 4.7 Ghz"/>
    <s v="Windows 11"/>
    <x v="46"/>
    <s v="14&quot; (35.56 cm), 2880 x 1800 px, OLED Display"/>
    <s v="Web Camera"/>
    <s v="Slim 15.9 mm"/>
    <s v="HDMI Port"/>
    <m/>
    <n v="81"/>
    <x v="2"/>
    <x v="10"/>
    <x v="3"/>
  </r>
  <r>
    <s v="Asus Vivobook S410UA-EB606T Laptop (Core i3 7th Gen/8 GB/1 TB 128 GB SSD/Windows 10)"/>
    <s v="Asus Vivobook S410UA-EB606T Laptop (Core i3 7th Gen/8 GB/1 TB 128 GB SSD/Windows 10) price in India"/>
    <x v="176"/>
    <n v="289"/>
    <n v="90"/>
    <x v="0"/>
    <m/>
    <s v="AMD Octa-Core Ryzen 7 (6800HS) 4.7 Ghz"/>
    <s v="Windows 10"/>
    <x v="37"/>
    <s v="14&quot; (35.56 cm), 1920 x 1080 px, LED Display"/>
    <s v="Web Camera"/>
    <s v="Slim 18.8 mm"/>
    <s v="HDMI Port"/>
    <s v="3 USB Ports"/>
    <m/>
    <x v="2"/>
    <x v="10"/>
    <x v="2"/>
  </r>
  <r>
    <s v="HP Pavilion Gaming 15-ec2076AX (471C4PA) Laptop (AMD Octa Core Ryzen 7/16 GB/512 GB SSD/Windows 10/4 GB)"/>
    <s v="HP Pavilion Gaming 15-ec2076AX (471C4PA) Laptop (AMD Octa Core Ryzen 7/16 GB/512 GB SSD/Windows 10/4 GB) price in India"/>
    <x v="187"/>
    <n v="331"/>
    <n v="90"/>
    <x v="0"/>
    <d v="2021-08-01T00:00:00"/>
    <s v="AMD Octa-Core Ryzen 7 (7435HS) 3.1 Ghz"/>
    <s v="Windows 10"/>
    <x v="2"/>
    <s v="15.6&quot; (39.62 cm), 1920 x 1080 px, IPS LCD Display"/>
    <s v="Web Camera"/>
    <m/>
    <s v="HDMI Port"/>
    <s v="2 USB Ports"/>
    <n v="85"/>
    <x v="7"/>
    <x v="10"/>
    <x v="0"/>
  </r>
  <r>
    <s v="Lenovo Ideapad Gaming 15ARH05 (82EY00UBIN) Laptop (AMD Hexa Core Ryzen 5/8 GB/1 TB 256 GB SSD/Windows 10/4 GB)"/>
    <s v="Lenovo Ideapad Gaming 15ARH05 (82EY00UBIN) Laptop (AMD Hexa Core Ryzen 5/8 GB/1 TB 256 GB SSD/Windows 10/4 GB) price in India"/>
    <x v="188"/>
    <n v="928"/>
    <n v="90"/>
    <x v="0"/>
    <d v="2021-06-01T00:00:00"/>
    <s v="AMD Octa-Core Ryzen 7 (7435HS) 3.1 Ghz"/>
    <s v="Windows 10"/>
    <x v="37"/>
    <s v="15.6&quot; (39.62 cm), 1920 x 1080 px, LED Display"/>
    <s v="Web Camera"/>
    <m/>
    <s v="HDMI Port"/>
    <s v="1 USB Ports"/>
    <n v="74"/>
    <x v="5"/>
    <x v="10"/>
    <x v="2"/>
  </r>
  <r>
    <s v="Lenovo Ideapad Flex 5 (81X200FCIN) Laptop (AMD Hexa Core Ryzen 5/8 GB/512 GB SSD/Windows 10)"/>
    <s v="Lenovo Ideapad Flex 5 (81X200FCIN) Laptop (AMD Hexa Core Ryzen 5/8 GB/512 GB SSD/Windows 10) price in India"/>
    <x v="189"/>
    <n v="199"/>
    <n v="90"/>
    <x v="0"/>
    <d v="2021-01-01T00:00:00"/>
    <s v="AMD Octa-Core Ryzen 7 (7435HS) 3.1 Ghz"/>
    <s v="Windows 10"/>
    <x v="5"/>
    <s v="14&quot; (35.56 cm), 1920 x 1080 px, LED Display"/>
    <s v="Web Camera"/>
    <s v="Slim 21 mm"/>
    <s v="HDMI Port"/>
    <s v="2 USB Ports"/>
    <m/>
    <x v="5"/>
    <x v="10"/>
    <x v="2"/>
  </r>
  <r>
    <s v="Lenovo IdeaPad Slim 3 14IRH8 (83EL003PIN) Laptop (Core i5 13th Gen/16 GB/512 GB SSD/Windows 11)"/>
    <s v="Lenovo IdeaPad Slim 3 14IRH8 (83EL003PIN) Laptop (Core i5 13th Gen/16 GB/512 GB SSD/Windows 11) price in India"/>
    <x v="190"/>
    <n v="11"/>
    <n v="90"/>
    <x v="0"/>
    <d v="2024-11-01T00:00:00"/>
    <s v="AMD Octa-Core Ryzen 7 (7435HS) 3.1 Ghz"/>
    <s v="Windows 11"/>
    <x v="17"/>
    <s v="14&quot; (35.56 cm), 1920 x 1080 px, IPS LCD Display"/>
    <s v="Web Camera"/>
    <s v="Slim 17.9 mm"/>
    <s v="HDMI Port"/>
    <m/>
    <n v="80"/>
    <x v="5"/>
    <x v="10"/>
    <x v="0"/>
  </r>
  <r>
    <s v="Lenovo Ideapad Gaming 3 15IMH05 (81Y4019EIN) Laptop (Core i7 10th Gen/8 GB/512 GB SSD/Windows 10/4 GB)"/>
    <s v="Lenovo Ideapad Gaming 3 15IMH05 (81Y4019EIN) Laptop (Core i7 10th Gen/8 GB/512 GB SSD/Windows 10/4 GB) price in India"/>
    <x v="55"/>
    <n v="128"/>
    <n v="90"/>
    <x v="0"/>
    <d v="2021-12-01T00:00:00"/>
    <s v="AMD Octa-Core Ryzen 7 (7435HS) 3.1 Ghz"/>
    <s v="Windows 10"/>
    <x v="5"/>
    <s v="15.6&quot; (39.62 cm), 1920 x 1080 px, LED Display"/>
    <s v="Web Camera"/>
    <m/>
    <s v="HDMI Port"/>
    <s v="1 USB Ports"/>
    <n v="76"/>
    <x v="5"/>
    <x v="10"/>
    <x v="2"/>
  </r>
  <r>
    <s v="Asus TUF FX706HCB-HX162T Laptop (Core i5 11th Gen/8 GB/512 GB SSD/Windows 10/4 GB)"/>
    <s v="Asus TUF FX706HCB-HX162T Laptop (Core i5 11th Gen/8 GB/512 GB SSD/Windows 10/4 GB) price in India"/>
    <x v="27"/>
    <n v="196"/>
    <n v="90"/>
    <x v="0"/>
    <d v="2021-12-01T00:00:00"/>
    <s v="AMD Octa-Core Ryzen 7 (7435HS) 3.1 Ghz"/>
    <s v="Windows 10"/>
    <x v="5"/>
    <s v="17.3&quot; (43.94 cm), 1920 x 1080 px, LED Display"/>
    <s v="Web Camera"/>
    <m/>
    <s v="HDMI Port"/>
    <s v="2 USB Ports"/>
    <n v="77"/>
    <x v="2"/>
    <x v="10"/>
    <x v="2"/>
  </r>
  <r>
    <s v="HP Pavilion x360 14-dy0050TU (3W295PA) Laptop (Core i7 11th Gen/16 GB/512 GB SSD/Windows 10)"/>
    <s v="HP Pavilion x360 14-dy0050TU (3W295PA) Laptop (Core i7 11th Gen/16 GB/512 GB SSD/Windows 10) price in India"/>
    <x v="191"/>
    <n v="204"/>
    <n v="90"/>
    <x v="0"/>
    <d v="2021-09-01T00:00:00"/>
    <s v="AMD Octa-Core Ryzen 7 (7435HS) 4.5 Ghz"/>
    <s v="Windows 10"/>
    <x v="2"/>
    <s v="14&quot; (35.56 cm), 1920 x 1080 px, LED Display"/>
    <s v="Web Camera"/>
    <s v="Slim 19.1 mm"/>
    <s v="HDMI Port"/>
    <s v="1 USB Ports"/>
    <n v="74"/>
    <x v="7"/>
    <x v="10"/>
    <x v="0"/>
  </r>
  <r>
    <s v="Dell Inspiron 15 3593 (C560512WIN9) Laptop (Core i5 10th Gen/4 GB/1 TB 256 GB SSD/Windows 10)"/>
    <s v="Dell Inspiron 15 3593 (C560512WIN9) Laptop (Core i5 10th Gen/4 GB/1 TB 256 GB SSD/Windows 10) price in India"/>
    <x v="125"/>
    <n v="58"/>
    <n v="90"/>
    <x v="0"/>
    <d v="2020-06-01T00:00:00"/>
    <s v="AMD Octa-Core Ryzen 7 (7435HS) 4.5 Ghz"/>
    <s v="Windows 10"/>
    <x v="49"/>
    <s v="15.6&quot; (39.62 cm), 1920 x 1080 px, LED Display"/>
    <s v="Web Camera"/>
    <m/>
    <s v="HDMI Port"/>
    <m/>
    <m/>
    <x v="6"/>
    <x v="10"/>
    <x v="7"/>
  </r>
  <r>
    <s v="Apple MacBook Air M4 MW1M3HN/A Ultrabook (Apple M4/16 GB/512 GB SSD/macOS Sequoia)"/>
    <s v="Apple MacBook Air M4 MW1M3HN/A Ultrabook (Apple M4/16 GB/512 GB SSD/macOS Sequoia) price in India"/>
    <x v="68"/>
    <n v="14"/>
    <n v="90"/>
    <x v="0"/>
    <d v="2025-03-01T00:00:00"/>
    <s v="AMD Octa-Core Ryzen 7 (7435HS) 4.5 Ghz"/>
    <s v="macOS Sequoia"/>
    <x v="32"/>
    <s v="15.3&quot; (38.86 cm), 2880 x 1864 px, Liquid Retina Display"/>
    <s v="Web Camera"/>
    <s v="Slim 11.5 mm"/>
    <m/>
    <m/>
    <n v="86"/>
    <x v="0"/>
    <x v="10"/>
    <x v="0"/>
  </r>
  <r>
    <s v="Microsoft Surface Pro 11 (ZIB-00031) Laptop (Snapdragon X Elite/16 GB/1 TB SSD/Windows 11)"/>
    <s v="Microsoft Surface Pro 11 (ZIB-00031) Laptop (Snapdragon X Elite/16 GB/1 TB SSD/Windows 11) price in India"/>
    <x v="192"/>
    <n v="2"/>
    <n v="90"/>
    <x v="0"/>
    <d v="2024-07-01T00:00:00"/>
    <s v="AMD Octa-Core Ryzen 7 (7435HS) 4.5 Ghz"/>
    <s v="Windows 11"/>
    <x v="10"/>
    <s v="13.8&quot; (35.05 cm), 2880 x 1920 px, OLED Display"/>
    <s v="Web Camera"/>
    <m/>
    <m/>
    <m/>
    <n v="83"/>
    <x v="4"/>
    <x v="10"/>
    <x v="0"/>
  </r>
  <r>
    <s v="Asus TUF Gaming F15 FX507VU-LP210W Laptop (Core i7 13th Gen/16 GB/512 GB SSD/Windows 11/6 GB)"/>
    <s v="Asus TUF Gaming F15 FX507VU-LP210W Laptop (Core i7 13th Gen/16 GB/512 GB SSD/Windows 11/6 GB) price in India"/>
    <x v="24"/>
    <n v="2"/>
    <n v="90"/>
    <x v="0"/>
    <d v="2024-07-01T00:00:00"/>
    <s v="AMD Octa-Core Ryzen 7 (7435HS) 4.5 Ghz"/>
    <s v="Windows 11"/>
    <x v="6"/>
    <s v="15.6&quot; (39.62 cm), 1920 x 1080 px, IPS LCD Display"/>
    <s v="Web Camera"/>
    <m/>
    <s v="HDMI Port"/>
    <m/>
    <m/>
    <x v="2"/>
    <x v="10"/>
    <x v="0"/>
  </r>
  <r>
    <s v="Dell Alienware m16 R1 (ANM16A0UCFG001CDB1) Laptop (AMD Octa Core Ryzen 7/16 GB/1 TB SSD/Windows 11/8 GB)"/>
    <s v="Dell Alienware m16 R1 (ANM16A0UCFG001CDB1) Laptop (AMD Octa Core Ryzen 7/16 GB/1 TB SSD/Windows 11/8 GB) price in India"/>
    <x v="193"/>
    <n v="2"/>
    <n v="90"/>
    <x v="0"/>
    <d v="2024-06-01T00:00:00"/>
    <s v="AMD Octa-Core Ryzen 7 (7435HS) 4.5 Ghz"/>
    <s v="Windows 11"/>
    <x v="10"/>
    <s v="16&quot; (40.64 cm), 2560 x 1600 px Display"/>
    <m/>
    <m/>
    <s v="HDMI Port"/>
    <m/>
    <m/>
    <x v="6"/>
    <x v="10"/>
    <x v="0"/>
  </r>
  <r>
    <s v="Samsung Galaxy Book 4 NP750XGK-KG1IN Laptop (Core 5 Series 1 /8 GB/512 GB SSD/Windows 11)"/>
    <s v="Samsung Galaxy Book 4 NP750XGK-KG1IN Laptop (Core 5 Series 1 /8 GB/512 GB SSD/Windows 11) price in India"/>
    <x v="194"/>
    <n v="42"/>
    <n v="90"/>
    <x v="0"/>
    <d v="2024-03-01T00:00:00"/>
    <s v="AMD Octa-Core Ryzen 7 (7435HS) 4.5 Ghz"/>
    <s v="Windows 11"/>
    <x v="48"/>
    <s v="15.6&quot; (39.62 cm), 1920 x 1080 px, IPS LCD Display"/>
    <s v="Web Camera"/>
    <s v="Slim 15.4 mm"/>
    <s v="HDMI Port"/>
    <m/>
    <n v="79"/>
    <x v="8"/>
    <x v="10"/>
    <x v="2"/>
  </r>
  <r>
    <s v="Samsung Galaxy Book 4 NP750XGK-KG2IN Laptop (Core 5 Series 1 /16 GB/512 GB SSD/Windows 11)"/>
    <s v="Samsung Galaxy Book 4 NP750XGK-KG2IN Laptop (Core 5 Series 1 /16 GB/512 GB SSD/Windows 11) price in India"/>
    <x v="195"/>
    <n v="42"/>
    <n v="90"/>
    <x v="0"/>
    <d v="2024-03-01T00:00:00"/>
    <s v="AMD Octa-Core Ryzen 7 (7435HS) 4.5 Ghz"/>
    <s v="Windows 11"/>
    <x v="30"/>
    <s v="15.6&quot; (39.62 cm), 1920 x 1080 px, IPS LCD Display"/>
    <s v="Web Camera"/>
    <s v="Slim 15.4 mm"/>
    <s v="HDMI Port"/>
    <m/>
    <n v="80"/>
    <x v="8"/>
    <x v="10"/>
    <x v="0"/>
  </r>
  <r>
    <s v="Lenovo Ideapad Slim 3 15IRH8 (83EM0026IN) Laptop (Core i5 13th Gen/16 GB/512 GB SSD/Windows 11)"/>
    <s v="Lenovo Ideapad Slim 3 15IRH8 (83EM0026IN) Laptop (Core i5 13th Gen/16 GB/512 GB SSD/Windows 11) price in India"/>
    <x v="196"/>
    <n v="63"/>
    <n v="90"/>
    <x v="0"/>
    <d v="2023-11-01T00:00:00"/>
    <s v="AMD Octa-Core Ryzen 7 (7435HS) 4.5 Ghz"/>
    <s v="Windows 11"/>
    <x v="17"/>
    <s v="15.6&quot; (39.62 cm), 1920 x 1080 px, IPS LCD Display"/>
    <s v="Web Camera"/>
    <s v="Slim 17.9 mm"/>
    <s v="HDMI Port"/>
    <m/>
    <n v="81"/>
    <x v="5"/>
    <x v="10"/>
    <x v="0"/>
  </r>
  <r>
    <s v="Apple MacBook Pro M3 Pro MRW13HN/A Ultrabook (Apple M3 Pro/18 GB/512 GB SSD/macOS Sonoma)"/>
    <s v="Apple MacBook Pro M3 Pro MRW13HN/A Ultrabook (Apple M3 Pro/18 GB/512 GB SSD/macOS Sonoma) price in India"/>
    <x v="197"/>
    <n v="2"/>
    <n v="90"/>
    <x v="0"/>
    <d v="2023-11-01T00:00:00"/>
    <s v="AMD Octa-Core Ryzen 7 (7730U) 2.0 Ghz"/>
    <s v="macOS Sonoma"/>
    <x v="24"/>
    <s v="16.2&quot; (41.15 cm), 3456 x 2234 px, Liquid Retina XDR Display"/>
    <s v="Web Camera"/>
    <s v="Slim 16.8 mm"/>
    <s v="HDMI Port"/>
    <m/>
    <n v="73"/>
    <x v="0"/>
    <x v="10"/>
    <x v="6"/>
  </r>
  <r>
    <s v="Apple MacBook Pro M3 Pro MRW23HN/A Ultrabook (Apple M3 Pro/36 GB/512 GB SSD/macOS Sonoma)"/>
    <s v="Apple MacBook Pro M3 Pro MRW23HN/A Ultrabook (Apple M3 Pro/36 GB/512 GB SSD/macOS Sonoma) price in India"/>
    <x v="58"/>
    <n v="2"/>
    <n v="90"/>
    <x v="0"/>
    <d v="2023-11-01T00:00:00"/>
    <s v="AMD Octa-Core Ryzen 7 (7730U) 2.0 Ghz"/>
    <s v="macOS Sonoma"/>
    <x v="50"/>
    <s v="16.2&quot; (41.15 cm), 3456 x 2234 px, Liquid Retina XDR Display"/>
    <s v="Web Camera"/>
    <s v="Slim 16.8 mm"/>
    <s v="HDMI Port"/>
    <m/>
    <n v="73"/>
    <x v="0"/>
    <x v="10"/>
    <x v="5"/>
  </r>
  <r>
    <s v="Lenovo IdeaPad Gaming 3 15ARH7 (82SB00M6IN) Laptop (AMD Hexa Core Ryzen 5/16 GB/512 GB SSD/Windows 11/6 GB)"/>
    <s v="Lenovo IdeaPad Gaming 3 15ARH7 (82SB00M6IN) Laptop (AMD Hexa Core Ryzen 5/16 GB/512 GB SSD/Windows 11/6 GB) price in India"/>
    <x v="198"/>
    <n v="144"/>
    <n v="90"/>
    <x v="0"/>
    <d v="2023-10-01T00:00:00"/>
    <s v="AMD Octa-Core Ryzen 7 (7730U) 2.0 Ghz"/>
    <s v="Windows 11"/>
    <x v="6"/>
    <s v="15.6&quot; (39.62 cm), 1920 x 1080 px Display"/>
    <m/>
    <m/>
    <s v="HDMI Port"/>
    <m/>
    <n v="79"/>
    <x v="5"/>
    <x v="10"/>
    <x v="0"/>
  </r>
  <r>
    <s v="MSI Katana 15 B13UDXK-1482IN Laptop (Core i5 13th Gen/32 GB/1 TB SSD/Windows 11/6 GB)"/>
    <s v="MSI Katana 15 B13UDXK-1482IN Laptop (Core i5 13th Gen/32 GB/1 TB SSD/Windows 11/6 GB) price in India"/>
    <x v="199"/>
    <n v="81"/>
    <n v="90"/>
    <x v="0"/>
    <d v="2023-10-01T00:00:00"/>
    <s v="AMD Octa-Core Ryzen 7 (7730U) 2.0 Ghz"/>
    <s v="Windows 11"/>
    <x v="19"/>
    <s v="15.6&quot; (39.62 cm), 1920 x 1080 px, IPS LCD Display"/>
    <s v="Web Camera"/>
    <m/>
    <s v="HDMI Port"/>
    <m/>
    <m/>
    <x v="3"/>
    <x v="10"/>
    <x v="3"/>
  </r>
  <r>
    <s v="Lenovo V15 (82TTA02UIH) Laptop (Core i5 12th Gen/8 GB/512 GB SSD/Windows 11)"/>
    <s v="Lenovo V15 (82TTA02UIH) Laptop (Core i5 12th Gen/8 GB/512 GB SSD/Windows 11) price in India"/>
    <x v="200"/>
    <n v="18"/>
    <n v="90"/>
    <x v="0"/>
    <d v="2023-09-01T00:00:00"/>
    <s v="AMD Octa-Core Ryzen 7 (7730U) 2.0 Ghz"/>
    <s v="Windows 11"/>
    <x v="5"/>
    <s v="15.6&quot; (39.62 cm), 1920 x 1080 px, TN LCD Display"/>
    <s v="Web Camera"/>
    <m/>
    <s v="HDMI Port"/>
    <m/>
    <n v="71"/>
    <x v="5"/>
    <x v="10"/>
    <x v="2"/>
  </r>
  <r>
    <s v="HP Pavilion x360 14-ek1021TU (7Z1P9PA) Laptop (Core i7 13th Gen/16 GB/512 GB SSD/Windows 11)"/>
    <s v="HP Pavilion x360 14-ek1021TU (7Z1P9PA) Laptop (Core i7 13th Gen/16 GB/512 GB SSD/Windows 11) price in India"/>
    <x v="201"/>
    <n v="6"/>
    <n v="90"/>
    <x v="0"/>
    <d v="2023-09-01T00:00:00"/>
    <s v="AMD Octa-Core Ryzen 7 (7730U) 2.0 Ghz"/>
    <s v="Windows 11"/>
    <x v="2"/>
    <s v="14&quot; (35.56 cm), 1920 x 1080 px, IPS LCD Display"/>
    <s v="Web Camera"/>
    <s v="Slim 19.9 mm"/>
    <s v="HDMI Port"/>
    <m/>
    <n v="77"/>
    <x v="7"/>
    <x v="10"/>
    <x v="0"/>
  </r>
  <r>
    <s v="HP 250 G9 (7N179PA) Laptop (Core i5 12th Gen/8 GB/512 GB SSD/Windows 11)"/>
    <s v="HP 250 G9 (7N179PA) Laptop (Core i5 12th Gen/8 GB/512 GB SSD/Windows 11) price in India"/>
    <x v="202"/>
    <n v="4"/>
    <n v="90"/>
    <x v="0"/>
    <d v="2023-09-01T00:00:00"/>
    <s v="AMD Octa-Core Ryzen 7 (7730U) 2.0 Ghz"/>
    <s v="Windows 11"/>
    <x v="5"/>
    <s v="15.6&quot; (39.62 cm), 1366 x 768 px Display"/>
    <s v="Web Camera"/>
    <s v="Slim 17.9 mm"/>
    <s v="HDMI Port"/>
    <m/>
    <n v="79"/>
    <x v="7"/>
    <x v="10"/>
    <x v="2"/>
  </r>
  <r>
    <s v="Lenovo Ideapad Gaming 3 (82SB00V4IN) Laptop (AMD Hexa Core Ryzen 5/8 GB/512 GB SSD/Windows 11/4 GB)"/>
    <s v="Lenovo Ideapad Gaming 3 (82SB00V4IN) Laptop (AMD Hexa Core Ryzen 5/8 GB/512 GB SSD/Windows 11/4 GB) price in India"/>
    <x v="203"/>
    <n v="260"/>
    <n v="90"/>
    <x v="0"/>
    <d v="2023-08-01T00:00:00"/>
    <s v="AMD Octa-Core Ryzen 7 (7730U) 2.0 Ghz"/>
    <s v="Windows 11"/>
    <x v="16"/>
    <s v="15.6&quot; (39.62 cm), 1920 x 1080 px, IPS LCD Display"/>
    <s v="Web Camera"/>
    <m/>
    <s v="HDMI Port"/>
    <m/>
    <n v="80"/>
    <x v="5"/>
    <x v="10"/>
    <x v="2"/>
  </r>
  <r>
    <s v="Lenovo Ideapad Slim 5 (82XE0072IN) Laptop (AMD Octa Core Ryzen 7/16 GB/512 GB SSD/Windows 11)"/>
    <s v="Lenovo Ideapad Slim 5 (82XE0072IN) Laptop (AMD Octa Core Ryzen 7/16 GB/512 GB SSD/Windows 11) price in India"/>
    <x v="204"/>
    <n v="40"/>
    <n v="90"/>
    <x v="0"/>
    <d v="2023-08-01T00:00:00"/>
    <s v="AMD Octa-Core Ryzen 7 (7730U) 2.0 Ghz"/>
    <s v="Windows 11"/>
    <x v="2"/>
    <s v="14&quot; (35.56 cm), 1920 x 1200 px, IPS LCD Display"/>
    <s v="Web Camera"/>
    <m/>
    <s v="HDMI Port"/>
    <m/>
    <n v="76"/>
    <x v="5"/>
    <x v="10"/>
    <x v="0"/>
  </r>
  <r>
    <s v="MSI Katana 17 B12VFK-668IN Laptop (Core i7 12th Gen/8 GB/1 TB SSD/Windows 11/8 GB)"/>
    <s v="MSI Katana 17 B12VFK-668IN Laptop (Core i7 12th Gen/8 GB/1 TB SSD/Windows 11/8 GB) price in India"/>
    <x v="205"/>
    <n v="40"/>
    <n v="90"/>
    <x v="0"/>
    <d v="2023-08-01T00:00:00"/>
    <s v="AMD Octa-Core Ryzen 7 (7730U) 4.5 Ghz"/>
    <s v="Windows 11"/>
    <x v="42"/>
    <s v="17.3&quot; (43.94 cm), 1920 x 1080 px Display"/>
    <s v="Web Camera"/>
    <m/>
    <s v="HDMI Port"/>
    <m/>
    <n v="85"/>
    <x v="3"/>
    <x v="10"/>
    <x v="2"/>
  </r>
  <r>
    <s v="MSI Katana 17 B12VGK-672IN Laptop (Core i7 12th Gen/16 GB/1 TB SSD/Windows 11/8 GB)"/>
    <s v="MSI Katana 17 B12VGK-672IN Laptop (Core i7 12th Gen/16 GB/1 TB SSD/Windows 11/8 GB) price in India"/>
    <x v="206"/>
    <n v="12"/>
    <n v="90"/>
    <x v="0"/>
    <d v="2023-08-01T00:00:00"/>
    <s v="AMD Octa-Core Ryzen 7 (7730U) 4.5 Ghz"/>
    <s v="Windows 11"/>
    <x v="10"/>
    <s v="17.3&quot; (43.94 cm), 2560 x 1440 px Display"/>
    <s v="Web Camera"/>
    <m/>
    <s v="HDMI Port"/>
    <m/>
    <n v="86"/>
    <x v="3"/>
    <x v="10"/>
    <x v="0"/>
  </r>
  <r>
    <s v="Lenovo LOQ 15IRH8 (82XV00F7IN) Laptop (Core i5 12th Gen/16 GB/512 GB SSD/Windows 11/8 GB)"/>
    <s v="Lenovo LOQ 15IRH8 (82XV00F7IN) Laptop (Core i5 12th Gen/16 GB/512 GB SSD/Windows 11/8 GB) price in India"/>
    <x v="207"/>
    <n v="159"/>
    <n v="90"/>
    <x v="0"/>
    <d v="2023-08-01T00:00:00"/>
    <s v="AMD Octa-Core Ryzen 7 (7730U) 4.5 Ghz"/>
    <s v="Windows 11"/>
    <x v="6"/>
    <s v="15.6&quot; (39.62 cm), 1920 x 1080 px, IPS LCD Display"/>
    <s v="Web Camera"/>
    <m/>
    <s v="HDMI Port"/>
    <m/>
    <n v="84"/>
    <x v="5"/>
    <x v="10"/>
    <x v="0"/>
  </r>
  <r>
    <s v="Lenovo LOQ 15APH8 (82XT009CIN) Laptop (AMD Octa Core Ryzen 7/16 GB/512 GB SSD/Windows 11/8 GB)"/>
    <s v="Lenovo LOQ 15APH8 (82XT009CIN) Laptop (AMD Octa Core Ryzen 7/16 GB/512 GB SSD/Windows 11/8 GB) price in India"/>
    <x v="208"/>
    <n v="65"/>
    <n v="90"/>
    <x v="0"/>
    <d v="2023-08-01T00:00:00"/>
    <s v="AMD Octa-Core Ryzen 7 (7730U) 4.5 Ghz"/>
    <s v="Windows 11"/>
    <x v="6"/>
    <s v="15.6&quot; (39.62 cm), 1920 x 1080 px, IPS LCD Display"/>
    <s v="Web Camera"/>
    <m/>
    <s v="HDMI Port"/>
    <m/>
    <n v="85"/>
    <x v="5"/>
    <x v="10"/>
    <x v="0"/>
  </r>
  <r>
    <s v="MSI Katana 15 B13VFK-843IN Laptop (Core i9 13th Gen/16 GB/1 TB SSD/Windows 11/8 GB)"/>
    <s v="MSI Katana 15 B13VFK-843IN Laptop (Core i9 13th Gen/16 GB/1 TB SSD/Windows 11/8 GB) price in India"/>
    <x v="209"/>
    <n v="18"/>
    <n v="90"/>
    <x v="0"/>
    <d v="2023-07-01T00:00:00"/>
    <s v="AMD Octa-Core Ryzen 7 (7730U) 4.5 Ghz"/>
    <s v="Windows 11"/>
    <x v="10"/>
    <s v="15.6&quot; (39.62 cm), 1920 x 1080 px, IPS LCD Display"/>
    <s v="Web Camera"/>
    <m/>
    <s v="HDMI Port"/>
    <m/>
    <n v="87"/>
    <x v="3"/>
    <x v="10"/>
    <x v="0"/>
  </r>
  <r>
    <s v="Asus VivoBook 15X OLED K3504VA-LK542WS Laptop (Core i5 13th Gen/16 GB/512 GB SSD/Windows 11)"/>
    <s v="Asus VivoBook 15X OLED K3504VA-LK542WS Laptop (Core i5 13th Gen/16 GB/512 GB SSD/Windows 11) price in India"/>
    <x v="210"/>
    <n v="2"/>
    <n v="90"/>
    <x v="0"/>
    <d v="2023-07-01T00:00:00"/>
    <s v="AMD Octa-Core Ryzen 7 (7732HS)"/>
    <s v="Windows 11"/>
    <x v="2"/>
    <s v="15.6&quot; (39.62 cm), 1920 x 1080 px, OLED Display"/>
    <s v="Web Camera"/>
    <s v="Slim 17.9 mm"/>
    <s v="HDMI Port"/>
    <m/>
    <n v="76"/>
    <x v="2"/>
    <x v="10"/>
    <x v="0"/>
  </r>
  <r>
    <s v="Lenovo Yoga 7 14ARP8 (82YM004UIN) Laptop (AMD Octa Core Ryzen 7/16 GB/512 GB SSD/Windows 11)"/>
    <s v="Lenovo Yoga 7 14ARP8 (82YM004UIN) Laptop (AMD Octa Core Ryzen 7/16 GB/512 GB SSD/Windows 11) price in India"/>
    <x v="211"/>
    <n v="2"/>
    <n v="90"/>
    <x v="0"/>
    <d v="2023-07-01T00:00:00"/>
    <s v="AMD Octa-Core Ryzen 7 (7735HS)"/>
    <s v="Windows 11"/>
    <x v="17"/>
    <s v="14&quot; (35.56 cm), 2880 x 1800 px, OLED Display"/>
    <s v="Web Camera"/>
    <m/>
    <s v="HDMI Port"/>
    <m/>
    <n v="78"/>
    <x v="5"/>
    <x v="10"/>
    <x v="0"/>
  </r>
  <r>
    <s v="HP Victus 15-fa0187TX (8F4Z5PA) Laptop (Core i7 12th Gen/16 GB/1 TB SSD/Windows 11/4 GB)"/>
    <s v="HP Victus 15-fa0187TX (8F4Z5PA) Laptop (Core i7 12th Gen/16 GB/1 TB SSD/Windows 11/4 GB) price in India"/>
    <x v="121"/>
    <n v="2"/>
    <n v="90"/>
    <x v="0"/>
    <d v="2023-07-01T00:00:00"/>
    <s v="AMD Octa-Core Ryzen 7 (7735HS) 3.1 Ghz"/>
    <s v="Windows 11"/>
    <x v="23"/>
    <s v="15.6&quot; (39.62 cm), 1920 x 1080 px, IPS LCD Display"/>
    <s v="Web Camera"/>
    <m/>
    <s v="HDMI Port"/>
    <m/>
    <n v="83"/>
    <x v="7"/>
    <x v="10"/>
    <x v="0"/>
  </r>
  <r>
    <s v="Dell Vostro 5630 (IN5630P8YRR001ORS1) Laptop (Core i5 13th Gen/16 GB/512 GB SSD/Windows 11)"/>
    <s v="Dell Vostro 5630 (IN5630P8YRR001ORS1) Laptop (Core i5 13th Gen/16 GB/512 GB SSD/Windows 11) price in India"/>
    <x v="212"/>
    <n v="14"/>
    <n v="90"/>
    <x v="0"/>
    <d v="2023-07-01T00:00:00"/>
    <s v="AMD Octa-Core Ryzen 7 (7735HS) 3.1 Ghz"/>
    <s v="Windows 11"/>
    <x v="17"/>
    <s v="16&quot; (40.64 cm), 1920 x 1080 px Display"/>
    <s v="Web Camera"/>
    <s v="Slim 18.2 mm"/>
    <s v="HDMI Port"/>
    <m/>
    <n v="76"/>
    <x v="6"/>
    <x v="10"/>
    <x v="0"/>
  </r>
  <r>
    <s v="HP Envy x360 15-fh0015AU (8C4S1PA) Laptop (AMD Hexa Core Ryzen 5/16 GB/512 GB SSD/Windows 11)"/>
    <s v="HP Envy x360 15-fh0015AU (8C4S1PA) Laptop (AMD Hexa Core Ryzen 5/16 GB/512 GB SSD/Windows 11) price in India"/>
    <x v="213"/>
    <n v="10"/>
    <n v="90"/>
    <x v="0"/>
    <d v="2023-07-01T00:00:00"/>
    <s v="AMD Octa-Core Ryzen 7 (7735HS) 4.7 Ghz"/>
    <s v="Windows 11"/>
    <x v="30"/>
    <s v="15.6&quot; (39.62 cm), 1920 x 1080 px, IPS LCD Display"/>
    <s v="Web Camera"/>
    <s v="Slim 18.3 mm"/>
    <s v="HDMI Port"/>
    <m/>
    <n v="72"/>
    <x v="7"/>
    <x v="10"/>
    <x v="0"/>
  </r>
  <r>
    <s v="HP Victus 15-fa1066TX (81H53PA) Laptop (Core i7 13th Gen/16 GB/512 GB SSD/Windows 11/6 GB)"/>
    <s v="HP Victus 15-fa1066TX (81H53PA) Laptop (Core i7 13th Gen/16 GB/512 GB SSD/Windows 11/6 GB) price in India"/>
    <x v="214"/>
    <n v="67"/>
    <n v="90"/>
    <x v="0"/>
    <d v="2023-06-01T00:00:00"/>
    <s v="AMD Octa-Core Ryzen 7 (7735HS) 4.7 Ghz"/>
    <s v="Windows 11"/>
    <x v="2"/>
    <s v="15.6&quot; (39.62 cm), 1920 x 1080 px, IPS LCD Display"/>
    <s v="Web Camera"/>
    <m/>
    <s v="HDMI Port"/>
    <m/>
    <n v="84"/>
    <x v="7"/>
    <x v="10"/>
    <x v="0"/>
  </r>
  <r>
    <s v="MSI Katana 17 B13VEK-254IN Laptop (Core i7 13th Gen/16 GB/1 TB SSD/Windows 11/6 GB)"/>
    <s v="MSI Katana 17 B13VEK-254IN Laptop (Core i7 13th Gen/16 GB/1 TB SSD/Windows 11/6 GB) price in India"/>
    <x v="215"/>
    <n v="32"/>
    <n v="90"/>
    <x v="0"/>
    <d v="2023-06-01T00:00:00"/>
    <s v="AMD Octa-Core Ryzen 7 (7735HS) 4.7 Ghz"/>
    <s v="Windows 11"/>
    <x v="10"/>
    <s v="17.3&quot; (43.94 cm), 1920 x 1080 px Display"/>
    <s v="Web Camera"/>
    <m/>
    <s v="HDMI Port"/>
    <m/>
    <n v="85"/>
    <x v="3"/>
    <x v="10"/>
    <x v="0"/>
  </r>
  <r>
    <s v="MSI Katana 15 B12UDXK-1019IN Laptop (Core i5 12th Gen/16 GB/1 TB SSD/Windows 11/6 GB)"/>
    <s v="MSI Katana 15 B12UDXK-1019IN Laptop (Core i5 12th Gen/16 GB/1 TB SSD/Windows 11/6 GB) price in India"/>
    <x v="216"/>
    <n v="17"/>
    <n v="90"/>
    <x v="0"/>
    <d v="2023-05-01T00:00:00"/>
    <s v="AMD Octa-Core Ryzen 7 (7735HS) 4.7 Ghz"/>
    <s v="Windows 11"/>
    <x v="10"/>
    <s v="15.6&quot; (39.62 cm), 1920 x 1080 px, IPS LCD Display"/>
    <s v="Web Camera"/>
    <m/>
    <s v="HDMI Port"/>
    <m/>
    <n v="81"/>
    <x v="3"/>
    <x v="10"/>
    <x v="0"/>
  </r>
  <r>
    <s v="Asus ROG Strix G16 G614JV-N4141WS Laptop (Core i9 13th Gen/16 GB/1 TB SSD/Windows 11/8 GB)"/>
    <s v="Asus ROG Strix G16 G614JV-N4141WS Laptop (Core i9 13th Gen/16 GB/1 TB SSD/Windows 11/8 GB) price in India"/>
    <x v="26"/>
    <n v="42"/>
    <n v="90"/>
    <x v="0"/>
    <d v="2023-05-01T00:00:00"/>
    <s v="AMD Octa-Core Ryzen 7 (7735HS) 4.7 Ghz"/>
    <s v="Windows 11"/>
    <x v="10"/>
    <s v="16&quot; (40.64 cm), 2560 x 1600 px, IPS LCD Display"/>
    <s v="Web Camera"/>
    <m/>
    <m/>
    <m/>
    <m/>
    <x v="2"/>
    <x v="10"/>
    <x v="0"/>
  </r>
  <r>
    <s v="Asus ROG Strix G18 G814JV-N5063WS Laptop (Core i7 13th Gen/16 GB/1 TB SSD/Windows 11/8 GB)"/>
    <s v="Asus ROG Strix G18 G814JV-N5063WS Laptop (Core i7 13th Gen/16 GB/1 TB SSD/Windows 11/8 GB) price in India"/>
    <x v="105"/>
    <n v="13"/>
    <n v="90"/>
    <x v="0"/>
    <d v="2023-05-01T00:00:00"/>
    <s v="AMD Octa-Core Ryzen 7 (7735HS) 4.7 Ghz"/>
    <s v="Windows 11"/>
    <x v="10"/>
    <s v="18&quot; (45.72 cm), 1920 x 1200 px, IPS LCD Display"/>
    <s v="Web Camera"/>
    <s v="Slim 11 mm"/>
    <s v="HDMI Port"/>
    <m/>
    <m/>
    <x v="2"/>
    <x v="10"/>
    <x v="0"/>
  </r>
  <r>
    <s v="MSI GF63 Thin 12VE-267IN Laptop (Core i5 12th Gen/16 GB/1 TB 256 GB SSD/Windows 11/6 GB)"/>
    <s v="MSI GF63 Thin 12VE-267IN Laptop (Core i5 12th Gen/16 GB/1 TB 256 GB SSD/Windows 11/6 GB) price in India"/>
    <x v="217"/>
    <n v="180"/>
    <n v="90"/>
    <x v="0"/>
    <d v="2023-05-01T00:00:00"/>
    <s v="AMD Octa-Core Ryzen 7 (7735U) 2.7 Ghz"/>
    <s v="Windows 11"/>
    <x v="34"/>
    <s v="15.6&quot; (39.62 cm), 1920 x 1080 px, IPS LCD Display"/>
    <s v="Web Camera"/>
    <m/>
    <s v="HDMI Port"/>
    <m/>
    <n v="80"/>
    <x v="3"/>
    <x v="10"/>
    <x v="0"/>
  </r>
  <r>
    <s v="Asus Zenbook 14 OLED UM3402YA-KM541WS Laptop (AMD Hexa Core Ryzen 5/16 GB/512 GB SSD/Windows 11)"/>
    <s v="Asus Zenbook 14 OLED UM3402YA-KM541WS Laptop (AMD Hexa Core Ryzen 5/16 GB/512 GB SSD/Windows 11) price in India"/>
    <x v="218"/>
    <n v="45"/>
    <n v="90"/>
    <x v="0"/>
    <d v="2023-03-01T00:00:00"/>
    <s v="AMD Octa-Core Ryzen 7 (7735U) 2.7 Ghz"/>
    <s v="Windows 11"/>
    <x v="30"/>
    <s v="14&quot; (35.56 cm), 2880 x 1800 px, OLED Display"/>
    <s v="Web Camera"/>
    <s v="Slim 16.9 mm"/>
    <m/>
    <m/>
    <n v="71"/>
    <x v="2"/>
    <x v="10"/>
    <x v="0"/>
  </r>
  <r>
    <s v="Asus VivoBook Pro 15 OLED M3500QC-L1501WS Netbook (AMD Hexa Core Ryzen 5/16 GB/512 GB SSD/Windows 11)"/>
    <s v="Asus VivoBook Pro 15 OLED M3500QC-L1501WS Netbook (AMD Hexa Core Ryzen 5/16 GB/512 GB SSD/Windows 11) price in India"/>
    <x v="219"/>
    <n v="6"/>
    <n v="90"/>
    <x v="0"/>
    <d v="2023-03-01T00:00:00"/>
    <s v="AMD Octa-Core Ryzen 7 (7735U) 4.7 Ghz"/>
    <s v="Windows 11"/>
    <x v="2"/>
    <s v="15.6&quot; (39.62 cm), 1920 x 1080 px Display"/>
    <s v="Web Camera"/>
    <m/>
    <m/>
    <s v="4 USB Ports"/>
    <m/>
    <x v="2"/>
    <x v="10"/>
    <x v="0"/>
  </r>
  <r>
    <s v="MSI Katana 15 B13VEK-297IN Laptop (Core i7 13th Gen/16 GB/1 TB SSD/Windows 11/6 GB)"/>
    <s v="MSI Katana 15 B13VEK-297IN Laptop (Core i7 13th Gen/16 GB/1 TB SSD/Windows 11/6 GB) price in India"/>
    <x v="66"/>
    <n v="15"/>
    <n v="90"/>
    <x v="0"/>
    <d v="2023-02-01T00:00:00"/>
    <s v="AMD Octa-Core Ryzen 7 (7745HX) 3.4 Ghz"/>
    <s v="Windows 11"/>
    <x v="10"/>
    <s v="15.6&quot; (39.62 cm), 1920 x 1080 px, IPS LCD Display"/>
    <s v="Web Camera"/>
    <m/>
    <s v="HDMI Port"/>
    <m/>
    <m/>
    <x v="3"/>
    <x v="10"/>
    <x v="0"/>
  </r>
  <r>
    <s v="MSI Stealth 15 A13VE-034IN Laptop (Core i7 13th Gen/16 GB/1 TB SSD/Windows 11/6 GB)"/>
    <s v="MSI Stealth 15 A13VE-034IN Laptop (Core i7 13th Gen/16 GB/1 TB SSD/Windows 11/6 GB) price in India"/>
    <x v="220"/>
    <n v="6"/>
    <n v="90"/>
    <x v="0"/>
    <d v="2023-02-01T00:00:00"/>
    <s v="AMD Octa-Core Ryzen 7 (7745HX) 4.8 Ghz"/>
    <s v="Windows 11"/>
    <x v="10"/>
    <s v="15.6&quot; (39.62 cm), 1920 x 1080 px, IPS LCD Display"/>
    <s v="Web Camera"/>
    <s v="Slim 20 mm"/>
    <s v="HDMI Port"/>
    <m/>
    <m/>
    <x v="3"/>
    <x v="10"/>
    <x v="0"/>
  </r>
  <r>
    <s v="Apple MacBook Pro M2 Pro MPHJ3HN/A Ultrabook (Apple M2 Pro/16 GB/1 TB SSD/macOS Ventura)"/>
    <s v="Apple MacBook Pro M2 Pro MPHJ3HN/A Ultrabook (Apple M2 Pro/16 GB/1 TB SSD/macOS Ventura) price in India"/>
    <x v="221"/>
    <n v="6"/>
    <n v="90"/>
    <x v="0"/>
    <d v="2023-01-01T00:00:00"/>
    <s v="AMD Octa-Core Ryzen 7 (7840HS) 3.4 Ghz"/>
    <s v="macOS Ventura"/>
    <x v="33"/>
    <s v="14.2&quot; (36.07 cm), 3024 x 1964 px, Liquid Retina XDR Display"/>
    <s v="Web Camera"/>
    <m/>
    <s v="HDMI Port"/>
    <m/>
    <n v="77"/>
    <x v="0"/>
    <x v="10"/>
    <x v="0"/>
  </r>
  <r>
    <s v="Acer Aspire 7 A715-5G (NH.QGBSI.002) Laptop (Core i5 12th Gen/8 GB/512 GB SSD/Windows 11/4 GB)"/>
    <s v="Acer Aspire 7 A715-5G (NH.QGBSI.002) Laptop (Core i5 12th Gen/8 GB/512 GB SSD/Windows 11/4 GB) price in India"/>
    <x v="222"/>
    <n v="2"/>
    <n v="90"/>
    <x v="0"/>
    <d v="2023-01-01T00:00:00"/>
    <s v="AMD Octa-Core Ryzen 7 (7840HS) 3.4 Ghz"/>
    <s v="Windows 11"/>
    <x v="5"/>
    <s v="15.6&quot; (39.62 cm), 1920 x 1080 px, IPS LCD Display"/>
    <s v="Web Camera"/>
    <s v="Slim 19 mm"/>
    <s v="HDMI Port"/>
    <m/>
    <n v="72"/>
    <x v="1"/>
    <x v="10"/>
    <x v="2"/>
  </r>
  <r>
    <s v="Gigabyte G5 KE-52IN213SH (RC55KE) Laptop (Core i5 12th Gen/16 GB/512 GB SSD/Windows 11/6 GB)"/>
    <s v="Gigabyte G5 KE-52IN213SH (RC55KE) Laptop (Core i5 12th Gen/16 GB/512 GB SSD/Windows 11/6 GB) price in India"/>
    <x v="223"/>
    <n v="18"/>
    <n v="90"/>
    <x v="0"/>
    <d v="2022-12-01T00:00:00"/>
    <s v="AMD Octa-Core Ryzen 7 (7840HS) 3.4 Ghz"/>
    <s v="Windows 11"/>
    <x v="2"/>
    <s v="15.6&quot; (39.62 cm), 1920 x 1080 px Display"/>
    <s v="Web Camera"/>
    <m/>
    <s v="HDMI Port"/>
    <m/>
    <n v="82"/>
    <x v="11"/>
    <x v="10"/>
    <x v="0"/>
  </r>
  <r>
    <s v="Microsoft Surface 5 Intel Evo (RIP-00048) Laptop (Core i7 12th Gen/16 GB/512 GB SSD/Windows 11)"/>
    <s v="Microsoft Surface 5 Intel Evo (RIP-00048) Laptop (Core i7 12th Gen/16 GB/512 GB SSD/Windows 11) price in India"/>
    <x v="224"/>
    <n v="2"/>
    <n v="90"/>
    <x v="0"/>
    <d v="2022-11-01T00:00:00"/>
    <s v="AMD Octa-Core Ryzen 7 (7840HS) 3.4 Ghz"/>
    <s v="Windows 11"/>
    <x v="8"/>
    <s v="15&quot; (38.1 cm), 2496 x 1664 px Display"/>
    <s v="Web Camera"/>
    <s v="Slim 14.7 mm"/>
    <m/>
    <m/>
    <n v="77"/>
    <x v="4"/>
    <x v="10"/>
    <x v="0"/>
  </r>
  <r>
    <s v="Asus TUF Gaming F15 FX506LI-HN279T Laptop (Core i5 10th Gen/16 GB/512 GB SSD/Windows 10/4 GB)"/>
    <s v="Asus TUF Gaming F15 FX506LI-HN279T Laptop (Core i5 10th Gen/16 GB/512 GB SSD/Windows 10/4 GB) price in India"/>
    <x v="225"/>
    <n v="889"/>
    <n v="90"/>
    <x v="0"/>
    <d v="2022-11-01T00:00:00"/>
    <s v="AMD Octa-Core Ryzen 7 (7840HS) 3.4 Ghz"/>
    <s v="Windows 10"/>
    <x v="2"/>
    <s v="15.6&quot; (39.62 cm), 1920 x 1080 px, LED Display"/>
    <s v="Web Camera"/>
    <m/>
    <s v="HDMI Port"/>
    <m/>
    <n v="75"/>
    <x v="2"/>
    <x v="10"/>
    <x v="0"/>
  </r>
  <r>
    <s v="Lenovo Thinkpad T14 (20W0S0TC00) Laptop (Core i5 11th Gen/16 GB/512 GB SSD/Windows 10)"/>
    <s v="Lenovo Thinkpad T14 (20W0S0TC00) Laptop (Core i5 11th Gen/16 GB/512 GB SSD/Windows 10) price in India"/>
    <x v="226"/>
    <n v="2"/>
    <n v="90"/>
    <x v="0"/>
    <d v="2022-11-01T00:00:00"/>
    <s v="AMD Octa-Core Ryzen 7 (7840HS) 4.8 Ghz"/>
    <s v="Windows 10"/>
    <x v="2"/>
    <s v="14&quot; (35.56 cm), 1920 x 1080 px, LED Display"/>
    <s v="Web Camera"/>
    <s v="Slim 18 mm"/>
    <s v="HDMI Port"/>
    <s v="2 USB Ports"/>
    <m/>
    <x v="5"/>
    <x v="10"/>
    <x v="0"/>
  </r>
  <r>
    <s v="Gigabyte G5 ME-51IN213SH (RC55ME) Laptop (Core i5 12th Gen/16 GB/512 GB SSD/Windows 11/4 GB)"/>
    <s v="Gigabyte G5 ME-51IN213SH (RC55ME) Laptop (Core i5 12th Gen/16 GB/512 GB SSD/Windows 11/4 GB) price in India"/>
    <x v="227"/>
    <n v="19"/>
    <n v="90"/>
    <x v="0"/>
    <d v="2022-11-01T00:00:00"/>
    <s v="AMD Octa-Core Ryzen 7 (7840HS) 4.8 Ghz"/>
    <s v="Windows 11"/>
    <x v="2"/>
    <s v="15.6&quot; (39.62 cm), 1920 x 1080 px Display"/>
    <s v="Web Camera"/>
    <m/>
    <s v="HDMI Port"/>
    <m/>
    <n v="81"/>
    <x v="11"/>
    <x v="10"/>
    <x v="0"/>
  </r>
  <r>
    <s v="HP 15s-fq2670TU (6N043PA) Laptop (Core i3 11th Gen/8 GB/256 GB SSD/Windows 11)"/>
    <s v="HP 15s-fq2670TU (6N043PA) Laptop (Core i3 11th Gen/8 GB/256 GB SSD/Windows 11) price in India"/>
    <x v="228"/>
    <n v="13"/>
    <n v="90"/>
    <x v="0"/>
    <d v="2022-10-01T00:00:00"/>
    <s v="AMD Octa-Core Ryzen 7 (7840HS) 4.8 Ghz"/>
    <s v="Windows 11"/>
    <x v="38"/>
    <s v="15.6&quot; (39.62 cm), 1920 x 1080 px, IPS LCD Display"/>
    <s v="Web Camera"/>
    <s v="Slim 17.9 mm"/>
    <s v="HDMI Port"/>
    <m/>
    <m/>
    <x v="7"/>
    <x v="10"/>
    <x v="2"/>
  </r>
  <r>
    <s v="Lenovo Legion 5i Pro Gen 7 (82RF00DYIN) Laptop (Core i7 12th Gen/16 GB/1 TB SSD/Windows 11/6 GB)"/>
    <s v="Lenovo Legion 5i Pro Gen 7 (82RF00DYIN) Laptop (Core i7 12th Gen/16 GB/1 TB SSD/Windows 11/6 GB) price in India"/>
    <x v="229"/>
    <n v="2"/>
    <n v="90"/>
    <x v="0"/>
    <d v="2022-10-01T00:00:00"/>
    <s v="AMD Octa-Core Ryzen 7 (7840HS) 4.8 Ghz"/>
    <s v="Windows 11"/>
    <x v="10"/>
    <s v="16&quot; (40.64 cm), 2560 x 1600 px, IPS LCD Display"/>
    <s v="Web Camera"/>
    <s v="Slim 19.9 mm"/>
    <s v="HDMI Port"/>
    <m/>
    <n v="86"/>
    <x v="5"/>
    <x v="10"/>
    <x v="0"/>
  </r>
  <r>
    <s v="MSI Crosshair 15 B12UEZ-897IN Laptop (Core i7 12th Gen/16 GB/512 GB SSD/Windows 11/6 GB)"/>
    <s v="MSI Crosshair 15 B12UEZ-897IN Laptop (Core i7 12th Gen/16 GB/512 GB SSD/Windows 11/6 GB) price in India"/>
    <x v="230"/>
    <n v="40"/>
    <n v="90"/>
    <x v="0"/>
    <d v="2022-09-01T00:00:00"/>
    <s v="AMD Octa-Core Ryzen 7 (7840U) 4.8 Ghz"/>
    <s v="Windows 11"/>
    <x v="2"/>
    <s v="15.6&quot; (39.62 cm), 1920 x 1080 px Display"/>
    <s v="Web Camera"/>
    <m/>
    <s v="HDMI Port"/>
    <m/>
    <n v="84"/>
    <x v="3"/>
    <x v="10"/>
    <x v="0"/>
  </r>
  <r>
    <s v="MSI Alpha 15 B5EEK-235IN Laptop (AMD Octa Core Ryzen 7/8 GB/512 GB SSD/Windows 11/8 GB)"/>
    <s v="MSI Alpha 15 B5EEK-235IN Laptop (AMD Octa Core Ryzen 7/8 GB/512 GB SSD/Windows 11/8 GB) price in India"/>
    <x v="191"/>
    <n v="634"/>
    <n v="90"/>
    <x v="0"/>
    <d v="2022-09-01T00:00:00"/>
    <s v="AMD Octa-Core Ryzen 7 (8840HS) 5.1 Ghz"/>
    <s v="Windows 11"/>
    <x v="5"/>
    <s v="15.6&quot; (39.62 cm), 1920 x 1080 px, IPS LCD Display"/>
    <s v="Web Camera"/>
    <m/>
    <s v="HDMI Port"/>
    <m/>
    <n v="77"/>
    <x v="3"/>
    <x v="10"/>
    <x v="2"/>
  </r>
  <r>
    <s v="Asus VivoBook Pro 15 OLED K6500ZE-L502WS Laptop (Core i5 12th Gen/16 GB/512 GB SSD/Windows 11/4 GB)"/>
    <s v="Asus VivoBook Pro 15 OLED K6500ZE-L502WS Laptop (Core i5 12th Gen/16 GB/512 GB SSD/Windows 11/4 GB) price in India"/>
    <x v="231"/>
    <n v="2"/>
    <n v="90"/>
    <x v="0"/>
    <d v="2022-08-01T00:00:00"/>
    <s v="AMD Octa-Core Ryzen 7 (8845HS) 3.8 Ghz"/>
    <s v="Windows 11"/>
    <x v="17"/>
    <s v="15.6&quot; (39.62 cm), 1920 x 1080 px, OLED Display"/>
    <s v="Web Camera"/>
    <m/>
    <s v="HDMI Port"/>
    <m/>
    <n v="79"/>
    <x v="2"/>
    <x v="10"/>
    <x v="0"/>
  </r>
  <r>
    <s v="Lenovo Legion 5 15ACH6H (82JU018YIN) Laptop (AMD Octa Core Ryzen 7/16 GB/512 GB SSD/Windows 11/6 GB)"/>
    <s v="Lenovo Legion 5 15ACH6H (82JU018YIN) Laptop (AMD Octa Core Ryzen 7/16 GB/512 GB SSD/Windows 11/6 GB) price in India"/>
    <x v="232"/>
    <n v="300"/>
    <n v="90"/>
    <x v="0"/>
    <d v="2022-08-01T00:00:00"/>
    <s v="AMD Octa-Core Ryzen 7 (8845HS) 5.1 Ghz"/>
    <s v="Windows 11"/>
    <x v="2"/>
    <s v="15.6&quot; (39.62 cm), 2560 x 1440 px, IPS LCD Display"/>
    <s v="Web Camera"/>
    <m/>
    <s v="HDMI Port"/>
    <m/>
    <n v="82"/>
    <x v="5"/>
    <x v="10"/>
    <x v="0"/>
  </r>
  <r>
    <s v="Asus ZenBook Pro 14 Duo OLED Intel Evo UX8402ZE-M711WS Laptop (Core i7 12th Gen/16 GB/1 TB SSD/Windows 45234 GB)"/>
    <s v="Asus ZenBook Pro 14 Duo OLED Intel Evo UX8402ZE-M711WS Laptop (Core i7 12th Gen/16 GB/1 TB SSD/Windows 45234 GB) price in India"/>
    <x v="68"/>
    <n v="4"/>
    <n v="90"/>
    <x v="0"/>
    <d v="2022-08-01T00:00:00"/>
    <s v="AMD Octa-Core Ryzen 7 (8845HS) 5.1 Ghz"/>
    <s v="Windows 11"/>
    <x v="21"/>
    <s v="14.5&quot; (36.83 cm), 2880 x 1800 px, OLED Display"/>
    <s v="Web Camera"/>
    <s v="Slim 17.9 mm"/>
    <s v="HDMI Port"/>
    <m/>
    <n v="85"/>
    <x v="2"/>
    <x v="10"/>
    <x v="0"/>
  </r>
  <r>
    <s v="Dell Inspiron 15 3525 (D560831WIN9SE) Laptop (AMD Dual Core Ryzen 3/8 GB/256 GB SSD/Windows 11)"/>
    <s v="Dell Inspiron 15 3525 (D560831WIN9SE) Laptop (AMD Dual Core Ryzen 3/8 GB/256 GB SSD/Windows 11) price in India"/>
    <x v="233"/>
    <n v="15"/>
    <n v="90"/>
    <x v="0"/>
    <d v="2022-08-01T00:00:00"/>
    <s v="AMD Octa-Core Ryzen 7 (8845HS) 5.1 Ghz"/>
    <s v="Windows 11"/>
    <x v="38"/>
    <s v="15.6&quot; (39.62 cm), 1920 x 1080 px, IPS LCD Display"/>
    <s v="Web Camera"/>
    <s v="Slim 16.9 mm"/>
    <s v="HDMI Port"/>
    <m/>
    <m/>
    <x v="6"/>
    <x v="10"/>
    <x v="2"/>
  </r>
  <r>
    <s v="Asus TUF Dash F15 FX517ZC-HN109WS Laptop (Core i7 12th Gen/8 GB/1 TB SSD/Windows 11/6 GB)"/>
    <s v="Asus TUF Dash F15 FX517ZC-HN109WS Laptop (Core i7 12th Gen/8 GB/1 TB SSD/Windows 11/6 GB) price in India"/>
    <x v="234"/>
    <n v="227"/>
    <n v="90"/>
    <x v="0"/>
    <d v="2022-08-01T00:00:00"/>
    <s v="AMD Octa-Core Ryzen 9 (5900HS) 3.0 Ghz"/>
    <s v="Windows 11"/>
    <x v="42"/>
    <s v="15.6&quot; (39.62 cm), 1920 x 1080 px, IPS LCD Display"/>
    <s v="Web Camera"/>
    <s v="Slim 20.7 mm"/>
    <s v="HDMI Port"/>
    <m/>
    <n v="85"/>
    <x v="2"/>
    <x v="11"/>
    <x v="2"/>
  </r>
  <r>
    <s v="Asus TUF Dash F15 FX517ZC-HN108WS Laptop (Core i7 12th Gen/16 GB/1 TB SSD/Windows 11/4 GB)"/>
    <s v="Asus TUF Dash F15 FX517ZC-HN108WS Laptop (Core i7 12th Gen/16 GB/1 TB SSD/Windows 11/4 GB) price in India"/>
    <x v="235"/>
    <n v="220"/>
    <n v="90"/>
    <x v="0"/>
    <d v="2022-08-01T00:00:00"/>
    <s v="AMD Octa-Core Ryzen 9 (5900HX) 3.3 Ghz"/>
    <s v="Windows 11"/>
    <x v="10"/>
    <s v="15.6&quot; (39.62 cm), 1920 x 1080 px, IPS LCD Display"/>
    <s v="Web Camera"/>
    <m/>
    <s v="HDMI Port"/>
    <m/>
    <n v="83"/>
    <x v="2"/>
    <x v="11"/>
    <x v="0"/>
  </r>
  <r>
    <s v="Asus TUF Gaming A17 FA706IHR-HX031W Laptop (AMD Hexa Core Ryzen 5/8 GB/512 GB SSD/Windows 11/4 GB)"/>
    <s v="Asus TUF Gaming A17 FA706IHR-HX031W Laptop (AMD Hexa Core Ryzen 5/8 GB/512 GB SSD/Windows 11/4 GB) price in India"/>
    <x v="236"/>
    <n v="38"/>
    <n v="90"/>
    <x v="0"/>
    <d v="2022-08-01T00:00:00"/>
    <s v="AMD Octa-Core Ryzen 9 (5900HX) 4.6 Ghz"/>
    <s v="Windows 11"/>
    <x v="5"/>
    <s v="17.3&quot; (43.94 cm), 1920 x 1080 px, IPS LCD Display"/>
    <s v="Web Camera"/>
    <m/>
    <s v="HDMI Port"/>
    <m/>
    <n v="75"/>
    <x v="2"/>
    <x v="11"/>
    <x v="2"/>
  </r>
  <r>
    <s v="Asus TUF Gaming A17 FA706ICB-HX061W Laptop (AMD Octa Core Ryzen 7/8 GB/512 GB SSD/Windows 11/4 GB)"/>
    <s v="Asus TUF Gaming A17 FA706ICB-HX061W Laptop (AMD Octa Core Ryzen 7/8 GB/512 GB SSD/Windows 11/4 GB) price in India"/>
    <x v="237"/>
    <n v="17"/>
    <n v="90"/>
    <x v="0"/>
    <d v="2022-07-01T00:00:00"/>
    <s v="AMD Octa-Core Ryzen 9 (5980HX) 4.8 Ghz"/>
    <s v="Windows 11"/>
    <x v="5"/>
    <s v="17.3&quot; (43.94 cm), 1920 x 1080 px, IPS LCD Display"/>
    <s v="Web Camera"/>
    <m/>
    <s v="HDMI Port"/>
    <m/>
    <n v="77"/>
    <x v="2"/>
    <x v="11"/>
    <x v="2"/>
  </r>
  <r>
    <s v="Lenovo IdeaPad Flex 5 14ALC7 (82R9006DIN) Laptop (AMD Hexa Core Ryzen 5/16 GB/512 GB SSD/Windows 11)"/>
    <s v="Lenovo IdeaPad Flex 5 14ALC7 (82R9006DIN) Laptop (AMD Hexa Core Ryzen 5/16 GB/512 GB SSD/Windows 11) price in India"/>
    <x v="159"/>
    <n v="2"/>
    <n v="90"/>
    <x v="0"/>
    <d v="2022-07-01T00:00:00"/>
    <s v="AMD Octa-Core Ryzen 9 (6800HS) 3.3 Ghz"/>
    <s v="Windows 11"/>
    <x v="30"/>
    <s v="14&quot; (35.56 cm), 1920 x 1200 px, IPS LCD Display"/>
    <s v="Web Camera"/>
    <s v="Slim 17.8 mm"/>
    <s v="HDMI Port"/>
    <m/>
    <n v="71"/>
    <x v="5"/>
    <x v="11"/>
    <x v="0"/>
  </r>
  <r>
    <s v="MSI Katana GF66 12UC-632IN Laptop (Core i7 12th Gen/8 GB/512 GB SSD/Windows 11/4 GB)"/>
    <s v="MSI Katana GF66 12UC-632IN Laptop (Core i7 12th Gen/8 GB/512 GB SSD/Windows 11/4 GB) price in India"/>
    <x v="238"/>
    <n v="134"/>
    <n v="90"/>
    <x v="0"/>
    <d v="2022-07-01T00:00:00"/>
    <s v="AMD Octa-Core Ryzen 9 (6800HS) 4.8 Ghz"/>
    <s v="Windows 11"/>
    <x v="5"/>
    <s v="15.6&quot; (39.62 cm), 1920 x 1080 px, IPS LCD Display"/>
    <s v="Web Camera"/>
    <m/>
    <s v="HDMI Port"/>
    <m/>
    <n v="82"/>
    <x v="3"/>
    <x v="11"/>
    <x v="2"/>
  </r>
  <r>
    <s v="MSI GP66 Leopard 11UG-693IN Laptop (Core i7 11th Gen/16 GB/1 TB SSD/Windows 10/8 GB)"/>
    <s v="MSI GP66 Leopard 11UG-693IN Laptop (Core i7 11th Gen/16 GB/1 TB SSD/Windows 10/8 GB) price in India"/>
    <x v="239"/>
    <n v="160"/>
    <n v="90"/>
    <x v="0"/>
    <d v="2022-07-01T00:00:00"/>
    <s v="AMD Octa-Core Ryzen 9 (6900HS) 3.3 Ghz"/>
    <s v="Windows 10"/>
    <x v="23"/>
    <s v="15.6&quot; (39.62 cm), 2560 x 1440 px, IPS LCD Display"/>
    <s v="Web Camera"/>
    <m/>
    <s v="HDMI Port"/>
    <m/>
    <n v="83"/>
    <x v="3"/>
    <x v="11"/>
    <x v="0"/>
  </r>
  <r>
    <s v="Asus TUF Gaming A17 FA706IC-HX036W Laptop (AMD Octa Core Ryzen 7/8 GB/512 GB SSD/Windows 11/4 GB)"/>
    <s v="Asus TUF Gaming A17 FA706IC-HX036W Laptop (AMD Octa Core Ryzen 7/8 GB/512 GB SSD/Windows 11/4 GB) price in India"/>
    <x v="240"/>
    <n v="76"/>
    <n v="90"/>
    <x v="0"/>
    <d v="2022-07-01T00:00:00"/>
    <s v="AMD Octa-Core Ryzen 9 (6900HS) 4.4 Ghz"/>
    <s v="Windows 11"/>
    <x v="5"/>
    <s v="17.3&quot; (43.94 cm), 1920 x 1080 px, IPS LCD Display"/>
    <s v="Web Camera"/>
    <m/>
    <s v="HDMI Port"/>
    <m/>
    <n v="77"/>
    <x v="2"/>
    <x v="11"/>
    <x v="2"/>
  </r>
  <r>
    <s v="HP Victus 15-fb0051AX (6F9T9PA) Laptop (AMD Hexa Core Ryzen 5/8 GB/512 GB SSD/Windows 11/4 GB)"/>
    <s v="HP Victus 15-fb0051AX (6F9T9PA) Laptop (AMD Hexa Core Ryzen 5/8 GB/512 GB SSD/Windows 11/4 GB) price in India"/>
    <x v="241"/>
    <n v="11"/>
    <n v="90"/>
    <x v="0"/>
    <d v="2022-07-01T00:00:00"/>
    <s v="AMD Octa-Core Ryzen 9 (6900HS) 4.8 Ghz"/>
    <s v="Windows 11"/>
    <x v="5"/>
    <s v="15.6&quot; (39.62 cm), 1920 x 1080 px, IPS LCD Display"/>
    <s v="Web Camera"/>
    <m/>
    <s v="HDMI Port"/>
    <m/>
    <n v="79"/>
    <x v="7"/>
    <x v="11"/>
    <x v="2"/>
  </r>
  <r>
    <s v="Motorola Motobook 60 14IRH10R (83J7000CIN) Laptop (Core 5 Series 2 /16 GB/512 GB SSD/Windows 11)"/>
    <s v="Motorola Motobook 60 14IRH10R (83J7000CIN) Laptop (Core 5 Series 2 /16 GB/512 GB SSD/Windows 11) price in India"/>
    <x v="210"/>
    <n v="84"/>
    <n v="88"/>
    <x v="0"/>
    <d v="2025-04-01T00:00:00"/>
    <s v="AMD Octa-Core Ryzen 9 (6900HS) 4.8 Ghz"/>
    <s v="Windows 11"/>
    <x v="6"/>
    <s v="14&quot; (35.56 cm), 2880 x 1880 px, OLED Display"/>
    <s v="Web Camera"/>
    <s v="Slim 17.9 mm"/>
    <s v="HDMI Port"/>
    <m/>
    <n v="73"/>
    <x v="12"/>
    <x v="11"/>
    <x v="0"/>
  </r>
  <r>
    <s v="Motorola Moto Book 60 14IRH10R (83J7000AIN) Laptop (Core 5 Series 2 /16 GB/512 GB SSD/Windows 11)"/>
    <s v="Motorola Moto Book 60 14IRH10R (83J7000AIN) Laptop (Core 5 Series 2 /16 GB/512 GB SSD/Windows 11) price in India"/>
    <x v="210"/>
    <n v="84"/>
    <n v="88"/>
    <x v="0"/>
    <d v="2025-04-01T00:00:00"/>
    <s v="AMD Octa-Core Ryzen 9 (6900HS) 4.8 Ghz"/>
    <s v="Windows 11"/>
    <x v="6"/>
    <s v="14&quot; (35.56 cm), 2880 x 1880 px, OLED Display"/>
    <s v="Web Camera"/>
    <s v="Slim 17.9 mm"/>
    <s v="HDMI Port"/>
    <m/>
    <n v="73"/>
    <x v="12"/>
    <x v="11"/>
    <x v="0"/>
  </r>
  <r>
    <s v="Motorola Moto Book 60 14IRH10R (83J70008IN) Laptop (Core 7 Series 2 /16 GB/512 GB SSD/Windows 11)"/>
    <s v="Motorola Moto Book 60 14IRH10R (83J70008IN) Laptop (Core 7 Series 2 /16 GB/512 GB SSD/Windows 11) price in India"/>
    <x v="121"/>
    <n v="76"/>
    <n v="88"/>
    <x v="0"/>
    <d v="2025-04-01T00:00:00"/>
    <s v="AMD Octa-Core Ryzen 9 (6900HS) 4.8 Ghz"/>
    <s v="Windows 11"/>
    <x v="6"/>
    <s v="14&quot; (35.56 cm), 2880 x 1880 px, OLED Display"/>
    <s v="Web Camera"/>
    <s v="Slim 17.9 mm"/>
    <s v="HDMI Port"/>
    <m/>
    <n v="74"/>
    <x v="12"/>
    <x v="11"/>
    <x v="0"/>
  </r>
  <r>
    <s v="Motorola Moto Book 60 14IRH10R (83J7000EIN) Laptop (Core 7 Series 2 /16 GB/1 TB SSD/Windows 11)"/>
    <s v="Motorola Moto Book 60 14IRH10R (83J7000EIN) Laptop (Core 7 Series 2 /16 GB/1 TB SSD/Windows 11) price in India"/>
    <x v="242"/>
    <n v="76"/>
    <n v="88"/>
    <x v="0"/>
    <d v="2025-04-01T00:00:00"/>
    <s v="AMD Octa-Core Ryzen 9 (6900HS) 4.8 Ghz"/>
    <s v="Windows 11"/>
    <x v="10"/>
    <s v="14&quot; (35.56 cm), 2880 x 1880 px, OLED Display"/>
    <s v="Web Camera"/>
    <s v="Slim 17.9 mm"/>
    <s v="HDMI Port"/>
    <m/>
    <n v="75"/>
    <x v="12"/>
    <x v="11"/>
    <x v="0"/>
  </r>
  <r>
    <s v="Motorola Moto Book 60 14IRH10R (83J7000DIN) Laptop (Core 7 Series 2 /16 GB/1 TB SSD/Windows 11)"/>
    <s v="Motorola Moto Book 60 14IRH10R (83J7000DIN) Laptop (Core 7 Series 2 /16 GB/1 TB SSD/Windows 11) price in India"/>
    <x v="242"/>
    <n v="76"/>
    <n v="88"/>
    <x v="0"/>
    <d v="2025-04-01T00:00:00"/>
    <s v="AMD Octa-Core Ryzen 9 (6900HS) 4.8 Ghz"/>
    <s v="Windows 11"/>
    <x v="10"/>
    <s v="14&quot; (35.56 cm), 2880 x 1880 px, OLED Display"/>
    <s v="Web Camera"/>
    <s v="Slim 17.9 mm"/>
    <s v="HDMI Port"/>
    <m/>
    <n v="75"/>
    <x v="12"/>
    <x v="11"/>
    <x v="0"/>
  </r>
  <r>
    <s v="Motorola Moto Book 60 14IRH10R (83J70009IN) Laptop (Core 7 Series 2 /16 GB/512 GB SSD/Windows 11)"/>
    <s v="Motorola Moto Book 60 14IRH10R (83J70009IN) Laptop (Core 7 Series 2 /16 GB/512 GB SSD/Windows 11) price in India"/>
    <x v="121"/>
    <n v="76"/>
    <n v="88"/>
    <x v="0"/>
    <d v="2025-04-01T00:00:00"/>
    <s v="AMD Octa-Core Ryzen 9 (6900HS) 4.8 Ghz"/>
    <s v="Windows 11"/>
    <x v="6"/>
    <s v="14&quot; (35.56 cm), 2880 x 1880 px, OLED Display"/>
    <s v="Web Camera"/>
    <s v="Slim 17.9 mm"/>
    <s v="HDMI Port"/>
    <m/>
    <n v="74"/>
    <x v="12"/>
    <x v="11"/>
    <x v="0"/>
  </r>
  <r>
    <s v="HP Victus 15-fa1327TX (9Z528PA) Laptop (Core i5 13th Gen/16 GB/512 GB SSD/Windows 11/6 GB)"/>
    <s v="HP Victus 15-fa1327TX (9Z528PA) Laptop (Core i5 13th Gen/16 GB/512 GB SSD/Windows 11/6 GB) price in India"/>
    <x v="243"/>
    <n v="1258"/>
    <n v="88"/>
    <x v="0"/>
    <d v="2024-09-01T00:00:00"/>
    <s v="AMD Octa-Core Ryzen 9 (6900HS) 4.8 Ghz"/>
    <s v="Windows 11"/>
    <x v="2"/>
    <s v="15.6&quot; (39.62 cm), 1920 x 1080 px, IPS LCD Display"/>
    <s v="Web Camera"/>
    <m/>
    <s v="HDMI Port"/>
    <m/>
    <n v="87"/>
    <x v="7"/>
    <x v="11"/>
    <x v="0"/>
  </r>
  <r>
    <s v="Asus VivoBook 14 X413JA-EK268T Laptop (Core i3 10th Gen/4 GB/512 GB SSD/Windows 10)"/>
    <s v="Asus VivoBook 14 X413JA-EK268T Laptop (Core i3 10th Gen/4 GB/512 GB SSD/Windows 10) price in India"/>
    <x v="6"/>
    <n v="4144"/>
    <n v="88"/>
    <x v="0"/>
    <d v="2020-10-01T00:00:00"/>
    <s v="AMD Octa-Core Ryzen 9 (6900HX) 3.3 Ghz"/>
    <s v="Windows 10"/>
    <x v="51"/>
    <s v="14&quot; (35.56 cm), 1920 x 1080 px, LED Display"/>
    <s v="Web Camera"/>
    <s v="Slim 19.1 mm"/>
    <s v="HDMI Port"/>
    <m/>
    <m/>
    <x v="2"/>
    <x v="11"/>
    <x v="7"/>
  </r>
  <r>
    <s v="Samsung Galaxy Book 4 NP750XGK-KS1IN Laptop (Core 5 Series 1 /8 GB/512 GB SSD/Windows 11)"/>
    <s v="Samsung Galaxy Book 4 NP750XGK-KS1IN Laptop (Core 5 Series 1 /8 GB/512 GB SSD/Windows 11) price in India"/>
    <x v="244"/>
    <n v="159"/>
    <n v="88"/>
    <x v="0"/>
    <d v="2024-03-01T00:00:00"/>
    <s v="AMD Octa-Core Ryzen 9 (6900HX) 4.8 Ghz"/>
    <s v="Windows 11"/>
    <x v="48"/>
    <s v="15.6&quot; (39.62 cm), 1920 x 1080 px, IPS LCD Display"/>
    <s v="Web Camera"/>
    <s v="Slim 15.4 mm"/>
    <s v="HDMI Port"/>
    <m/>
    <n v="79"/>
    <x v="8"/>
    <x v="11"/>
    <x v="2"/>
  </r>
  <r>
    <s v="MSI Bravo 15 B5DD-410IN Laptop (AMD Hexa Core Ryzen 5/8 GB/512 GB SSD/Windows 11)"/>
    <s v="MSI Bravo 15 B5DD-410IN Laptop (AMD Hexa Core Ryzen 5/8 GB/512 GB SSD/Windows 11) price in India"/>
    <x v="245"/>
    <n v="3356"/>
    <n v="88"/>
    <x v="0"/>
    <d v="2022-08-01T00:00:00"/>
    <s v="AMD Octa-Core Ryzen 9 (6900HX) 4.8 Ghz"/>
    <s v="Windows 11"/>
    <x v="5"/>
    <s v="15.6&quot; (39.62 cm), 1920 x 1080 px, IPS LCD Display"/>
    <s v="Web Camera"/>
    <m/>
    <s v="HDMI Port"/>
    <m/>
    <m/>
    <x v="3"/>
    <x v="11"/>
    <x v="2"/>
  </r>
  <r>
    <s v="Lenovo Yoga Slim 7 (83CV003MIN) Laptop (Core Ultra 5/16 GB/512 GB SSD/Windows 11)"/>
    <s v="Lenovo Yoga Slim 7 (83CV003MIN) Laptop (Core Ultra 5/16 GB/512 GB SSD/Windows 11) price in India"/>
    <x v="237"/>
    <n v="54"/>
    <n v="88"/>
    <x v="0"/>
    <d v="2024-07-01T00:00:00"/>
    <s v="AMD Octa-Core Ryzen 9 (6900HX) 4.8 Ghz"/>
    <s v="Windows 11"/>
    <x v="8"/>
    <s v="14&quot; (35.56 cm), 1920 x 1200 px, OLED Display"/>
    <s v="Web Camera"/>
    <s v="Slim 14.9 mm"/>
    <s v="HDMI Port"/>
    <m/>
    <n v="83"/>
    <x v="5"/>
    <x v="11"/>
    <x v="0"/>
  </r>
  <r>
    <s v="MSI Modern 14 C12MO-1212IN Laptop (Core i5 12th Gen/16 GB/512 GB SSD/Windows 11)"/>
    <s v="MSI Modern 14 C12MO-1212IN Laptop (Core i5 12th Gen/16 GB/512 GB SSD/Windows 11) price in India"/>
    <x v="180"/>
    <n v="225"/>
    <n v="88"/>
    <x v="0"/>
    <d v="2024-07-01T00:00:00"/>
    <s v="AMD Octa-Core Ryzen 9 (6900HX) 4.8 Ghz"/>
    <s v="Windows 11"/>
    <x v="6"/>
    <s v="14&quot; (35.56 cm), 1920 x 1080 px, IPS LCD Display"/>
    <s v="Web Camera"/>
    <m/>
    <s v="HDMI Port"/>
    <m/>
    <n v="79"/>
    <x v="3"/>
    <x v="11"/>
    <x v="0"/>
  </r>
  <r>
    <s v="Lenovo Legion 5 15IMH05 (82AU00PMIN) Laptop (Core i5 10th Gen/8 GB/512 GB SSD/Windows 10/4 GB)"/>
    <s v="Lenovo Legion 5 15IMH05 (82AU00PMIN) Laptop (Core i5 10th Gen/8 GB/512 GB SSD/Windows 10/4 GB) price in India"/>
    <x v="246"/>
    <n v="651"/>
    <n v="88"/>
    <x v="0"/>
    <d v="2021-06-01T00:00:00"/>
    <s v="AMD Octa-Core Ryzen 9 (7940HS) 4.8 Ghz"/>
    <s v="Windows 10"/>
    <x v="5"/>
    <s v="15.6&quot; (39.62 cm), 1920 x 1080 px, LED Display"/>
    <s v="Web Camera"/>
    <m/>
    <s v="HDMI Port"/>
    <s v="1 USB Ports"/>
    <n v="75"/>
    <x v="5"/>
    <x v="11"/>
    <x v="2"/>
  </r>
  <r>
    <s v="Apple MacBook Air M4 MW1G3HN/A Ultrabook (Apple M4/16 GB/256 GB SSD/macOS Sequoia)"/>
    <s v="Apple MacBook Air M4 MW1G3HN/A Ultrabook (Apple M4/16 GB/256 GB SSD/macOS Sequoia) price in India"/>
    <x v="25"/>
    <n v="8"/>
    <n v="88"/>
    <x v="0"/>
    <d v="2025-03-01T00:00:00"/>
    <s v="AMD Octa-Core Ryzen 9 (7940HS) 4.8 Ghz"/>
    <s v="macOS Sequoia"/>
    <x v="0"/>
    <s v="15.3&quot; (38.86 cm), 2880 x 1864 px, Liquid Retina Display"/>
    <s v="Web Camera"/>
    <s v="Slim 11.5 mm"/>
    <m/>
    <m/>
    <n v="85"/>
    <x v="0"/>
    <x v="11"/>
    <x v="0"/>
  </r>
  <r>
    <s v="Infinix INBook Air Pro Plus XL434 (71008302159) Laptop (Core i5 13th Gen/16 GB/512 GB SSD/Windows 11)"/>
    <s v="Infinix INBook Air Pro Plus XL434 (71008302159) Laptop (Core i5 13th Gen/16 GB/512 GB SSD/Windows 11) price in India"/>
    <x v="247"/>
    <n v="56"/>
    <n v="88"/>
    <x v="0"/>
    <d v="2024-10-01T00:00:00"/>
    <s v="AMD Octa-Core Ryzen 9 (7940HS) 5.2 Ghz"/>
    <s v="Windows 11"/>
    <x v="30"/>
    <s v="14&quot; (35.56 cm), 2880 x 1800 px, OLED Display"/>
    <s v="Web Camera"/>
    <s v="Slim 15.3 mm"/>
    <s v="HDMI Port"/>
    <m/>
    <n v="82"/>
    <x v="10"/>
    <x v="11"/>
    <x v="0"/>
  </r>
  <r>
    <s v="Infinix INBook Air Pro Plus XL434 (71008302165) Laptop (Core i5 13th Gen/16 GB/512 GB SSD/Windows 11)"/>
    <s v="Infinix INBook Air Pro Plus XL434 (71008302165) Laptop (Core i5 13th Gen/16 GB/512 GB SSD/Windows 11) price in India"/>
    <x v="247"/>
    <n v="56"/>
    <n v="88"/>
    <x v="0"/>
    <d v="2024-10-01T00:00:00"/>
    <s v="AMD Octa-Core Ryzen 9 (7940HS) 5.2 Ghz"/>
    <s v="Windows 11"/>
    <x v="30"/>
    <s v="14&quot; (35.56 cm), 2880 x 1800 px, OLED Display"/>
    <s v="Web Camera"/>
    <s v="Slim 15.3 mm"/>
    <s v="HDMI Port"/>
    <m/>
    <n v="82"/>
    <x v="10"/>
    <x v="11"/>
    <x v="0"/>
  </r>
  <r>
    <s v="Asus Zenbook S 14 OLED UX5406SA-PZ7762WS Laptop (Core Ultra 7/32 GB/1 TB SSD/Windows 11)"/>
    <s v="Asus Zenbook S 14 OLED UX5406SA-PZ7762WS Laptop (Core Ultra 7/32 GB/1 TB SSD/Windows 11) price in India"/>
    <x v="248"/>
    <n v="9"/>
    <n v="88"/>
    <x v="0"/>
    <d v="2025-01-01T00:00:00"/>
    <s v="AMD Octa-Core Ryzen 9 (7940HS) 5.2 Ghz"/>
    <s v="Windows 11"/>
    <x v="7"/>
    <s v="14&quot; (35.56 cm), 2880 x 1800 px, OLED Display"/>
    <s v="Web Camera"/>
    <s v="Slim 12.9 mm"/>
    <m/>
    <m/>
    <m/>
    <x v="2"/>
    <x v="11"/>
    <x v="3"/>
  </r>
  <r>
    <s v="Asus Zenbook S 14 OLED UX5406SA-PZ7761WS Laptop (Core Ultra 7/32 GB/1 TB SSD/Windows 11)"/>
    <s v="Asus Zenbook S 14 OLED UX5406SA-PZ7761WS Laptop (Core Ultra 7/32 GB/1 TB SSD/Windows 11) price in India"/>
    <x v="249"/>
    <n v="9"/>
    <n v="88"/>
    <x v="0"/>
    <d v="2025-01-01T00:00:00"/>
    <s v="AMD Octa-Core Ryzen 9 (8945H) 5.2 Ghz"/>
    <s v="Windows 11"/>
    <x v="7"/>
    <s v="14&quot; (35.56 cm), 2880 x 1800 px, OLED Display"/>
    <s v="Web Camera"/>
    <s v="Slim 12.9 mm"/>
    <s v="HDMI Port"/>
    <m/>
    <m/>
    <x v="2"/>
    <x v="11"/>
    <x v="3"/>
  </r>
  <r>
    <s v="Apple MacBook Air M3 MC9F4HN/A Ultrabook (Apple M3/16 GB/256 GB SSD/macOS Sequoia)"/>
    <s v="Apple MacBook Air M3 MC9F4HN/A Ultrabook (Apple M3/16 GB/256 GB SSD/macOS Sequoia) price in India"/>
    <x v="0"/>
    <n v="7"/>
    <n v="88"/>
    <x v="0"/>
    <d v="2024-11-01T00:00:00"/>
    <s v="AMD Octa-Core Ryzen 9 (8945HS) 4.0 Ghz"/>
    <s v="macOS Sequoia"/>
    <x v="0"/>
    <s v="15.3&quot; (38.86 cm), 2880 x 1864 px, IPS LCD Display"/>
    <s v="Web Camera"/>
    <s v="Slim 11.5 mm"/>
    <m/>
    <m/>
    <n v="84"/>
    <x v="0"/>
    <x v="11"/>
    <x v="0"/>
  </r>
  <r>
    <s v="Asus Vivobook S430UA-EB091T Laptop (Core i3 8th Gen/8 GB/1 TB 256 GB SSD/Windows 10)"/>
    <s v="Asus Vivobook S430UA-EB091T Laptop (Core i3 8th Gen/8 GB/1 TB 256 GB SSD/Windows 10) price in India"/>
    <x v="176"/>
    <n v="464"/>
    <n v="88"/>
    <x v="0"/>
    <d v="2018-11-01T00:00:00"/>
    <s v="AMD Octa-Core Ryzen 9 (8945HS) 5.2 Ghz"/>
    <s v="Windows 10"/>
    <x v="37"/>
    <s v="14&quot; (35.56 cm), 1920 x 1080 px, LED Display"/>
    <s v="Web Camera"/>
    <s v="Slim 18 mm"/>
    <s v="HDMI Port"/>
    <s v="3 USB Ports"/>
    <m/>
    <x v="2"/>
    <x v="11"/>
    <x v="2"/>
  </r>
  <r>
    <s v="Asus TUF Gaming F15 FX506HE-HN385WS Laptop (Core i7 11th Gen/16 GB/1 TB SSD/Windows 11/4 GB)"/>
    <s v="Asus TUF Gaming F15 FX506HE-HN385WS Laptop (Core i7 11th Gen/16 GB/1 TB SSD/Windows 11/4 GB) price in India"/>
    <x v="250"/>
    <n v="342"/>
    <n v="88"/>
    <x v="0"/>
    <d v="2023-09-01T00:00:00"/>
    <s v="AMD Octa-Core Ryzen AI 7 (350) 5.0 Ghz"/>
    <s v="Windows 11"/>
    <x v="23"/>
    <s v="15.6&quot; (39.62 cm), 1920 x 1080 px, IPS LCD Display"/>
    <s v="Web Camera"/>
    <s v="Slim 10.3 mm"/>
    <s v="HDMI Port"/>
    <m/>
    <n v="86"/>
    <x v="2"/>
    <x v="12"/>
    <x v="0"/>
  </r>
  <r>
    <s v="Asus TUF Gaming F16 FX607VB-RL076WS Laptop (Core 5 Series 2 /16 GB/512 GB SSD/Windows 11/4 GB)"/>
    <s v="Asus TUF Gaming F16 FX607VB-RL076WS Laptop (Core 5 Series 2 /16 GB/512 GB SSD/Windows 11/4 GB) price in India"/>
    <x v="251"/>
    <n v="7"/>
    <n v="88"/>
    <x v="0"/>
    <d v="2025-03-01T00:00:00"/>
    <s v="AMD Octa-Core Ryzen AI 7 (350) 5.0 Ghz"/>
    <s v="Windows 11"/>
    <x v="2"/>
    <s v="16&quot; (40.64 cm), 1920 x 1200 px, IPS LCD Display"/>
    <s v="Web Camera"/>
    <m/>
    <s v="HDMI Port"/>
    <m/>
    <n v="86"/>
    <x v="2"/>
    <x v="12"/>
    <x v="0"/>
  </r>
  <r>
    <s v="HP Pavilion x360 14-ek1152TU (B6PA4PA) Laptop (Core i7 13th Gen/16 GB/512 GB SSD/Windows 11)"/>
    <s v="HP Pavilion x360 14-ek1152TU (B6PA4PA) Laptop (Core i7 13th Gen/16 GB/512 GB SSD/Windows 11) price in India"/>
    <x v="252"/>
    <n v="14"/>
    <n v="88"/>
    <x v="0"/>
    <d v="2025-01-01T00:00:00"/>
    <s v="AMD Octa-Core Ryzen AI 7 (350) 5.0 Ghz"/>
    <s v="Windows 11"/>
    <x v="2"/>
    <s v="14&quot; (35.56 cm), 1920 x 1080 px, IPS LCD Display"/>
    <s v="Web Camera"/>
    <s v="Slim 18.9 mm"/>
    <s v="HDMI Port"/>
    <m/>
    <n v="82"/>
    <x v="7"/>
    <x v="12"/>
    <x v="0"/>
  </r>
  <r>
    <s v="HP 250R G9 (B10MTAT) Laptop (Core i3 13th Gen/8 GB/512 GB SSD/DOS)"/>
    <s v="HP 250R G9 (B10MTAT) Laptop (Core i3 13th Gen/8 GB/512 GB SSD/DOS) price in India"/>
    <x v="253"/>
    <n v="45"/>
    <n v="88"/>
    <x v="0"/>
    <d v="2024-10-01T00:00:00"/>
    <s v="AMD Octa-Core Ryzen AI 7 (350) 5.0 Ghz"/>
    <s v="DOS"/>
    <x v="5"/>
    <s v="15.6&quot; (39.62 cm), 1366 x 768 px, IPS LCD Display"/>
    <s v="Web Camera"/>
    <s v="Slim 9.2 mm"/>
    <s v="HDMI Port"/>
    <m/>
    <n v="78"/>
    <x v="7"/>
    <x v="12"/>
    <x v="2"/>
  </r>
  <r>
    <s v="MSI Modern 14 C7M-284IN Laptop (AMD Hexa Core Ryzen 5/8 GB/512 GB SSD/Windows 11)"/>
    <s v="MSI Modern 14 C7M-284IN Laptop (AMD Hexa Core Ryzen 5/8 GB/512 GB SSD/Windows 11) price in India"/>
    <x v="6"/>
    <n v="5"/>
    <n v="88"/>
    <x v="0"/>
    <d v="2024-10-01T00:00:00"/>
    <s v="AMD Octa-Core Ryzen AI 7 (350) 5.0 Ghz"/>
    <s v="Windows 11"/>
    <x v="5"/>
    <s v="14&quot; (35.56 cm), 1920 x 1080 px, IPS LCD Display"/>
    <s v="Web Camera"/>
    <s v="Slim 19.3 mm"/>
    <s v="HDMI Port"/>
    <m/>
    <n v="75"/>
    <x v="3"/>
    <x v="13"/>
    <x v="2"/>
  </r>
  <r>
    <s v="Asus Vivobook S15 K5504VAB-BN417WS Laptop (Core i9 13th Gen/16 GB/512 GB SSD/Windows 11)"/>
    <s v="Asus Vivobook S15 K5504VAB-BN417WS Laptop (Core i9 13th Gen/16 GB/512 GB SSD/Windows 11) price in India"/>
    <x v="254"/>
    <n v="96"/>
    <n v="88"/>
    <x v="0"/>
    <d v="2024-10-01T00:00:00"/>
    <s v="AMD Quad-Core A6 APU (7310) 2.0 Ghz"/>
    <s v="Windows 11"/>
    <x v="17"/>
    <s v="15.6&quot; (39.62 cm), 1920 x 1080 px, IPS LCD Display"/>
    <s v="Web Camera"/>
    <s v="Slim 17.9 mm"/>
    <s v="HDMI Port"/>
    <m/>
    <n v="84"/>
    <x v="2"/>
    <x v="14"/>
    <x v="0"/>
  </r>
  <r>
    <s v="Asus TUF Gaming A15 FA566NCR-HN054WS Laptop (AMD Octa Core Ryzen 7/16 GB/512 GB SSD/Windows 11/4 GB)"/>
    <s v="Asus TUF Gaming A15 FA566NCR-HN054WS Laptop (AMD Octa Core Ryzen 7/16 GB/512 GB SSD/Windows 11/4 GB) price in India"/>
    <x v="255"/>
    <n v="1294"/>
    <n v="88"/>
    <x v="0"/>
    <d v="2024-09-01T00:00:00"/>
    <s v="AMD Quad-Core A8 APU (7410) 2.2 Ghz"/>
    <s v="Windows 11"/>
    <x v="6"/>
    <s v="15.6&quot; (39.62 cm), 1920 x 1080 px, IPS LCD Display"/>
    <s v="Web Camera"/>
    <m/>
    <s v="HDMI Port"/>
    <m/>
    <n v="86"/>
    <x v="2"/>
    <x v="15"/>
    <x v="0"/>
  </r>
  <r>
    <s v="HP 15s-EQ0144AU (275H3PA) Laptop (AMD Quad Core Ryzen 5/8 GB/512 GB SSD/Windows 10)"/>
    <s v="HP 15s-EQ0144AU (275H3PA) Laptop (AMD Quad Core Ryzen 5/8 GB/512 GB SSD/Windows 10) price in India"/>
    <x v="180"/>
    <n v="525"/>
    <n v="88"/>
    <x v="0"/>
    <d v="2020-12-01T00:00:00"/>
    <s v="AMD Quad-Core A8 APU (7410) 2.2 Ghz"/>
    <s v="Windows 10"/>
    <x v="5"/>
    <s v="15.6&quot; (39.62 cm), 1920 x 1080 px, LED Display"/>
    <s v="Web Camera"/>
    <s v="Slim 17.9 mm"/>
    <s v="HDMI Port"/>
    <m/>
    <m/>
    <x v="7"/>
    <x v="15"/>
    <x v="2"/>
  </r>
  <r>
    <s v="Asus Vivobook S430UA-EB151T Laptop (Core i3 8th Gen/8 GB/1 TB 256 GB SSD/Windows 10)"/>
    <s v="Asus Vivobook S430UA-EB151T Laptop (Core i3 8th Gen/8 GB/1 TB 256 GB SSD/Windows 10) price in India"/>
    <x v="21"/>
    <n v="462"/>
    <n v="88"/>
    <x v="0"/>
    <d v="2018-11-01T00:00:00"/>
    <s v="AMD Quad-Core APU (7110) 1.8 Ghz"/>
    <s v="Windows 10"/>
    <x v="37"/>
    <s v="14&quot; (35.56 cm), 1920 x 1080 px, LED Display"/>
    <s v="Web Camera"/>
    <s v="Slim 18 mm"/>
    <s v="HDMI Port"/>
    <s v="3 USB Ports"/>
    <m/>
    <x v="2"/>
    <x v="16"/>
    <x v="2"/>
  </r>
  <r>
    <s v="Asus TUF Gaming A15 FA506NC-HN083W Laptop (AMD Hexa Core Ryzen 5/16 GB/512 GB SSD/Windows 11/4 GB)"/>
    <s v="Asus TUF Gaming A15 FA506NC-HN083W Laptop (AMD Hexa Core Ryzen 5/16 GB/512 GB SSD/Windows 11/4 GB) price in India"/>
    <x v="256"/>
    <n v="560"/>
    <n v="88"/>
    <x v="0"/>
    <d v="2024-07-01T00:00:00"/>
    <s v="AMD Quad-Core Ryzen 3 (5300U) 2.6 Ghz"/>
    <s v="Windows 11"/>
    <x v="6"/>
    <s v="15.6&quot; (39.62 cm), 1920 x 1080 px, IPS LCD Display"/>
    <s v="Web Camera"/>
    <m/>
    <s v="HDMI Port"/>
    <m/>
    <n v="86"/>
    <x v="2"/>
    <x v="17"/>
    <x v="0"/>
  </r>
  <r>
    <s v="Asus Vivobook Flip TM420UA-EC501TS Laptop (AMD Hexa Core Ryzen 5/8 GB/512 GB SSD/Windows 10)"/>
    <s v="Asus Vivobook Flip TM420UA-EC501TS Laptop (AMD Hexa Core Ryzen 5/8 GB/512 GB SSD/Windows 10) price in India"/>
    <x v="257"/>
    <n v="295"/>
    <n v="88"/>
    <x v="0"/>
    <d v="2021-05-01T00:00:00"/>
    <s v="AMD Quad-Core Ryzen 3 (5300U) 2.6 Ghz"/>
    <s v="Windows 10"/>
    <x v="5"/>
    <s v="14&quot; (35.56 cm), 1920 x 1080 px, IPS LCD Display"/>
    <s v="Web Camera"/>
    <s v="Slim 18.2 mm"/>
    <s v="HDMI Port"/>
    <s v="3 USB Ports"/>
    <m/>
    <x v="2"/>
    <x v="17"/>
    <x v="2"/>
  </r>
  <r>
    <s v="Dell Latitude 14 3420 (P144G201) Laptop (Core i3 11th Gen/8 GB/512 GB SSD/DOS)"/>
    <s v="Dell Latitude 14 3420 (P144G201) Laptop (Core i3 11th Gen/8 GB/512 GB SSD/DOS) price in India"/>
    <x v="258"/>
    <n v="38"/>
    <n v="88"/>
    <x v="0"/>
    <d v="2024-12-01T00:00:00"/>
    <s v="AMD Quad-Core Ryzen 3 (5300U) 2.6 Ghz"/>
    <s v="DOS"/>
    <x v="5"/>
    <s v="14&quot; (35.56 cm), 1920 x 1080 px Display"/>
    <s v="Web Camera"/>
    <m/>
    <s v="HDMI Port"/>
    <m/>
    <m/>
    <x v="6"/>
    <x v="17"/>
    <x v="2"/>
  </r>
  <r>
    <s v="Microsoft Surface Pro 11 (ZHX-00014) Laptop (Snapdragon X Plus/16 GB/256 GB SSD/Windows 11)"/>
    <s v="Microsoft Surface Pro 11 (ZHX-00014) Laptop (Snapdragon X Plus/16 GB/256 GB SSD/Windows 11) price in India"/>
    <x v="259"/>
    <n v="20"/>
    <n v="88"/>
    <x v="0"/>
    <d v="2024-07-01T00:00:00"/>
    <s v="AMD Quad-Core Ryzen 3 (5300U) 3.4 Ghz"/>
    <s v="Windows 11"/>
    <x v="11"/>
    <s v="13.8&quot; (35.05 cm), 2880 x 1920 px, LCD Display"/>
    <s v="Web Camera"/>
    <m/>
    <m/>
    <m/>
    <n v="80"/>
    <x v="4"/>
    <x v="17"/>
    <x v="0"/>
  </r>
  <r>
    <s v="Asus VivoBook Pro 15 M6500QC-HN542WS Laptop (AMD Hexa Core Ryzen 5/16 GB/512 GB SSD/Windows 11/4 GB)"/>
    <s v="Asus VivoBook Pro 15 M6500QC-HN542WS Laptop (AMD Hexa Core Ryzen 5/16 GB/512 GB SSD/Windows 11/4 GB) price in India"/>
    <x v="158"/>
    <n v="200"/>
    <n v="88"/>
    <x v="0"/>
    <d v="2023-07-01T00:00:00"/>
    <s v="AMD Quad-Core Ryzen 3 (5300U) 3.4 Ghz"/>
    <s v="Windows 11"/>
    <x v="2"/>
    <s v="15.6&quot; (39.62 cm), 1920 x 1080 px Display"/>
    <s v="Web Camera"/>
    <s v="Slim 19.9 mm"/>
    <s v="HDMI Port"/>
    <m/>
    <n v="84"/>
    <x v="2"/>
    <x v="17"/>
    <x v="0"/>
  </r>
  <r>
    <s v="HP Pavilion 14-dv0055TU (2N1L1PA) Laptop (Core i5 11th Gen/16 GB/512 GB SSD/Windows 10)"/>
    <s v="HP Pavilion 14-dv0055TU (2N1L1PA) Laptop (Core i5 11th Gen/16 GB/512 GB SSD/Windows 10) price in India"/>
    <x v="27"/>
    <n v="729"/>
    <n v="88"/>
    <x v="0"/>
    <d v="2021-05-01T00:00:00"/>
    <s v="AMD Quad-Core Ryzen 3 (5300U) 3.8 Ghz"/>
    <s v="Windows 10"/>
    <x v="2"/>
    <s v="14&quot; (35.56 cm), 1920 x 1080 px, LED Display"/>
    <s v="Web Camera"/>
    <s v="Slim 17 mm"/>
    <s v="HDMI Port"/>
    <m/>
    <n v="73"/>
    <x v="7"/>
    <x v="17"/>
    <x v="0"/>
  </r>
  <r>
    <s v="Asus VivoBook Flip 14 TP470EA-EC301TS Laptop (Core i3 11th Gen/8 GB/256 GB SSD/Windows 10)"/>
    <s v="Asus VivoBook Flip 14 TP470EA-EC301TS Laptop (Core i3 11th Gen/8 GB/256 GB SSD/Windows 10) price in India"/>
    <x v="62"/>
    <n v="847"/>
    <n v="88"/>
    <x v="0"/>
    <d v="2021-05-01T00:00:00"/>
    <s v="AMD Quad-Core Ryzen 3 (5300U) 4.0 Ghz"/>
    <s v="Windows 10"/>
    <x v="38"/>
    <s v="14&quot; (35.56 cm), 1920 x 1080 px, LED Display"/>
    <s v="Web Camera"/>
    <s v="Slim 18.7 mm"/>
    <s v="HDMI Port"/>
    <m/>
    <m/>
    <x v="2"/>
    <x v="17"/>
    <x v="2"/>
  </r>
  <r>
    <s v="HP Pavilion TouchSmart 14 x360-14-dh1006tu (8GA81PA) Laptop (Core i3 10th Gen/4 GB/256 GB SSD/Windows 10)"/>
    <s v="HP Pavilion TouchSmart 14 x360-14-dh1006tu (8GA81PA) Laptop (Core i3 10th Gen/4 GB/256 GB SSD/Windows 10) price in India"/>
    <x v="260"/>
    <n v="54"/>
    <n v="88"/>
    <x v="0"/>
    <d v="2019-10-01T00:00:00"/>
    <s v="AMD Quad-Core Ryzen 3 (5425U) 2.7 Ghz"/>
    <s v="Windows 10"/>
    <x v="52"/>
    <s v="14&quot; (35.56 cm), 1366 x 768 px, LED Display"/>
    <s v="Web Camera"/>
    <s v="Slim 20.5 mm"/>
    <s v="HDMI Port"/>
    <m/>
    <m/>
    <x v="7"/>
    <x v="17"/>
    <x v="7"/>
  </r>
  <r>
    <s v="Apple MacBook Pro MUHQ2HN/A Ultrabook (Core i5 8th Gen/8 GB/128 GB SSD/macOS Mojave)"/>
    <s v="Apple MacBook Pro MUHQ2HN/A Ultrabook (Core i5 8th Gen/8 GB/128 GB SSD/macOS Mojave) price in India"/>
    <x v="261"/>
    <n v="104"/>
    <n v="88"/>
    <x v="0"/>
    <d v="2019-08-01T00:00:00"/>
    <s v="AMD Quad-Core Ryzen 3 (5425U) 2.7 Ghz"/>
    <s v="macOS Mojave"/>
    <x v="53"/>
    <s v="13.3&quot; (33.78 cm), 2560 x 1600 px, LED Display"/>
    <s v="Web Camera"/>
    <s v="Slim 14.9 mm"/>
    <m/>
    <m/>
    <m/>
    <x v="0"/>
    <x v="17"/>
    <x v="2"/>
  </r>
  <r>
    <s v="Acer Aspire A515-51G (NX.GUGSI.001) Laptop (Core i5 8th Gen/8 GB/1 TB/Windows 10/2 GB)"/>
    <s v="Acer Aspire A515-51G (NX.GUGSI.001) Laptop (Core i5 8th Gen/8 GB/1 TB/Windows 10/2 GB) price in India"/>
    <x v="148"/>
    <n v="310"/>
    <n v="88"/>
    <x v="0"/>
    <m/>
    <s v="AMD Quad-Core Ryzen 3 (5425U) 2.7 Ghz"/>
    <s v="Windows 10"/>
    <x v="37"/>
    <s v="15.6&quot; (39.62 cm), 1366 x 768 px, LED Display"/>
    <s v="Web Camera"/>
    <s v="Slim 21 mm"/>
    <s v="HDMI Port"/>
    <s v="3 USB Ports"/>
    <m/>
    <x v="1"/>
    <x v="17"/>
    <x v="2"/>
  </r>
  <r>
    <s v="Lenovo Yoga 7 14IRL8 (82YL00AYIN) Laptop (Core i5 13th Gen/16 GB/512 GB SSD/Windows 11)"/>
    <s v="Lenovo Yoga 7 14IRL8 (82YL00AYIN) Laptop (Core i5 13th Gen/16 GB/512 GB SSD/Windows 11) price in India"/>
    <x v="262"/>
    <n v="28"/>
    <n v="88"/>
    <x v="0"/>
    <d v="2024-09-01T00:00:00"/>
    <s v="AMD Quad-Core Ryzen 3 (5425U) 4.1 Ghz"/>
    <s v="Windows 11"/>
    <x v="17"/>
    <s v="14&quot; (35.56 cm), 1920 x 1200 px, OLED Display"/>
    <s v="Web Camera"/>
    <s v="Slim 16.4 mm"/>
    <s v="HDMI Port"/>
    <m/>
    <n v="83"/>
    <x v="5"/>
    <x v="17"/>
    <x v="0"/>
  </r>
  <r>
    <s v="Asus TUF Gaming A15 FA507UV-LP137WS Laptop (AMD Octa Core Ryzen 9/16 GB/1 TB SSD/Windows 11/8 GB)"/>
    <s v="Asus TUF Gaming A15 FA507UV-LP137WS Laptop (AMD Octa Core Ryzen 9/16 GB/1 TB SSD/Windows 11/8 GB) price in India"/>
    <x v="206"/>
    <n v="7"/>
    <n v="88"/>
    <x v="0"/>
    <d v="2024-08-01T00:00:00"/>
    <s v="AMD Quad-Core Ryzen 3 (7320U) 2.4 Ghz"/>
    <s v="Windows 11"/>
    <x v="10"/>
    <s v="15.6&quot; (39.62 cm), 1920 x 1080 px, IPS LCD Display"/>
    <s v="Web Camera"/>
    <m/>
    <s v="HDMI Port"/>
    <m/>
    <m/>
    <x v="2"/>
    <x v="17"/>
    <x v="0"/>
  </r>
  <r>
    <s v="MSI GF63 Thin 12VE-070IN Laptop (Core i7 12th Gen/16 GB/512 GB SSD/Windows 11/6 GB)"/>
    <s v="MSI GF63 Thin 12VE-070IN Laptop (Core i7 12th Gen/16 GB/512 GB SSD/Windows 11/6 GB) price in India"/>
    <x v="263"/>
    <n v="332"/>
    <n v="88"/>
    <x v="0"/>
    <d v="2024-07-01T00:00:00"/>
    <s v="AMD Quad-Core Ryzen 3 (7320U) 2.4 Ghz"/>
    <s v="Windows 11"/>
    <x v="2"/>
    <s v="15.6&quot; (39.62 cm), 1920 x 1080 px, IPS LCD Display"/>
    <s v="Web Camera"/>
    <s v="Slim 21.7 mm"/>
    <s v="HDMI Port"/>
    <m/>
    <m/>
    <x v="3"/>
    <x v="17"/>
    <x v="0"/>
  </r>
  <r>
    <s v="Asus VivoBook S14 OLED M5406WA-PP961WS Laptop (AMD Dodeca Core Ryzen 9/24 GB/512 GB SSD/Windows 11)"/>
    <s v="Asus VivoBook S14 OLED M5406WA-PP961WS Laptop (AMD Dodeca Core Ryzen 9/24 GB/512 GB SSD/Windows 11) price in India"/>
    <x v="199"/>
    <n v="23"/>
    <n v="88"/>
    <x v="0"/>
    <d v="2024-07-01T00:00:00"/>
    <s v="AMD Quad-Core Ryzen 3 (7320U) 2.4 Ghz"/>
    <s v="Windows 11"/>
    <x v="54"/>
    <s v="14&quot; (35.56 cm), 2880 x 1800 px, OLED Display"/>
    <s v="Web Camera"/>
    <s v="Slim 15.9 mm"/>
    <s v="HDMI Port"/>
    <m/>
    <m/>
    <x v="2"/>
    <x v="17"/>
    <x v="1"/>
  </r>
  <r>
    <s v="Asus Zenbook 14 UX435EG-AI501TS Laptop (Core i5 11th Gen/8 GB/512 GB SSD/Windows 10/2 GB)"/>
    <s v="Asus Zenbook 14 UX435EG-AI501TS Laptop (Core i5 11th Gen/8 GB/512 GB SSD/Windows 10/2 GB) price in India"/>
    <x v="264"/>
    <n v="76"/>
    <n v="88"/>
    <x v="0"/>
    <d v="2021-04-01T00:00:00"/>
    <s v="AMD Quad-Core Ryzen 3 (7320U) 2.4 Ghz"/>
    <s v="Windows 10"/>
    <x v="48"/>
    <s v="14&quot; (35.56 cm), 1920 x 1080 px, LED Display"/>
    <s v="Web Camera"/>
    <s v="Slim 16.9 mm"/>
    <s v="HDMI Port"/>
    <m/>
    <n v="73"/>
    <x v="2"/>
    <x v="17"/>
    <x v="2"/>
  </r>
  <r>
    <s v="HP 15s-fr2005tu (2N8P8PA) Laptop (Core i5 11th Gen/8 GB/1 TB SSD/Windows 10)"/>
    <s v="HP 15s-fr2005tu (2N8P8PA) Laptop (Core i5 11th Gen/8 GB/1 TB SSD/Windows 10) price in India"/>
    <x v="21"/>
    <n v="314"/>
    <n v="88"/>
    <x v="0"/>
    <d v="2021-01-01T00:00:00"/>
    <s v="AMD Quad-Core Ryzen 3 (7320U) 2.4 Ghz"/>
    <s v="Windows 10"/>
    <x v="14"/>
    <s v="15.6&quot; (39.62 cm), 1920 x 1080 px, LED Display"/>
    <s v="Web Camera"/>
    <s v="Slim 19.9 mm"/>
    <s v="HDMI Port"/>
    <s v="2 USB Ports"/>
    <n v="73"/>
    <x v="7"/>
    <x v="17"/>
    <x v="2"/>
  </r>
  <r>
    <s v="Lenovo Legion 5i (82AU00KLIN) Laptop (Core i5 10th Gen/8 GB/512 GB SSD/Windows 10/4 GB)"/>
    <s v="Lenovo Legion 5i (82AU00KLIN) Laptop (Core i5 10th Gen/8 GB/512 GB SSD/Windows 10/4 GB) price in India"/>
    <x v="265"/>
    <n v="127"/>
    <n v="88"/>
    <x v="0"/>
    <d v="2020-11-01T00:00:00"/>
    <s v="AMD Quad-Core Ryzen 3 (7320U) 2.4 Ghz"/>
    <s v="Windows 10"/>
    <x v="5"/>
    <s v="15.6&quot; (39.62 cm), 1920 x 1080 px, LED Display"/>
    <s v="Web Camera"/>
    <m/>
    <s v="HDMI Port"/>
    <m/>
    <n v="73"/>
    <x v="5"/>
    <x v="17"/>
    <x v="2"/>
  </r>
  <r>
    <s v="Acer Swift 3 SF315-51G-57QM (NX.GSJSI.004) Laptop (Core i5 8th Gen/8 GB/1 TB/Linux/2 GB)"/>
    <s v="Acer Swift 3 SF315-51G-57QM (NX.GSJSI.004) Laptop (Core i5 8th Gen/8 GB/1 TB/Linux/2 GB) price in India"/>
    <x v="15"/>
    <n v="143"/>
    <n v="88"/>
    <x v="0"/>
    <m/>
    <s v="AMD Quad-Core Ryzen 3 (7320U) 2.4 Ghz"/>
    <s v="Linux"/>
    <x v="37"/>
    <s v="15.6&quot; (39.62 cm), 1920 x 1080 px, LED Display"/>
    <s v="Web Camera"/>
    <s v="Slim 18.9 mm"/>
    <s v="HDMI Port"/>
    <s v="3 USB Ports"/>
    <m/>
    <x v="1"/>
    <x v="17"/>
    <x v="2"/>
  </r>
  <r>
    <s v="MSI Cyborg 14 A13UCX-205IN Laptop (Core i5 13th Gen/16 GB/512 GB SSD/Windows 11/4 GB)"/>
    <s v="MSI Cyborg 14 A13UCX-205IN Laptop (Core i5 13th Gen/16 GB/512 GB SSD/Windows 11/4 GB) price in India"/>
    <x v="256"/>
    <n v="8"/>
    <n v="88"/>
    <x v="0"/>
    <d v="2024-06-01T00:00:00"/>
    <s v="AMD Quad-Core Ryzen 3 (7320U) 2.4 Ghz"/>
    <s v="Windows 11"/>
    <x v="6"/>
    <s v="14&quot; (35.56 cm), 1920 x 1200 px, IPS LCD Display"/>
    <s v="Web Camera"/>
    <s v="Slim 18.6 mm"/>
    <s v="HDMI Port"/>
    <m/>
    <n v="86"/>
    <x v="3"/>
    <x v="17"/>
    <x v="0"/>
  </r>
  <r>
    <s v="HP Victus 15-fb2117AX (A94BWPA) Laptop (AMD Octa Core Ryzen 7/16 GB/1 TB SSD/Windows 11/6 GB)"/>
    <s v="HP Victus 15-fb2117AX (A94BWPA) Laptop (AMD Octa Core Ryzen 7/16 GB/1 TB SSD/Windows 11/6 GB) price in India"/>
    <x v="183"/>
    <n v="25"/>
    <n v="88"/>
    <x v="0"/>
    <d v="2024-06-01T00:00:00"/>
    <s v="AMD Quad-Core Ryzen 3 (7320U) 2.4 Ghz"/>
    <s v="Windows 11"/>
    <x v="10"/>
    <s v="15.6&quot; (39.62 cm), 1920 x 1080 px, IPS LCD Display"/>
    <s v="Web Camera"/>
    <m/>
    <s v="HDMI Port"/>
    <m/>
    <m/>
    <x v="7"/>
    <x v="17"/>
    <x v="0"/>
  </r>
  <r>
    <s v="Infinix GTBook GL613 Laptop (Core i9 13th Gen/32 GB/1 TB SSD/Windows 11/8 GB)"/>
    <s v="Infinix GTBook GL613 Laptop (Core i9 13th Gen/32 GB/1 TB SSD/Windows 11/8 GB) price in India"/>
    <x v="99"/>
    <n v="43"/>
    <n v="88"/>
    <x v="0"/>
    <d v="2024-05-01T00:00:00"/>
    <s v="AMD Quad-Core Ryzen 3 (7320U) 2.4 Ghz"/>
    <s v="Windows 11"/>
    <x v="7"/>
    <s v="16&quot; (40.64 cm), 1920 x 1200 px, IPS LCD Display"/>
    <s v="Web Camera"/>
    <s v="Slim 18.9 mm"/>
    <s v="HDMI Port"/>
    <m/>
    <m/>
    <x v="10"/>
    <x v="17"/>
    <x v="3"/>
  </r>
  <r>
    <s v="Infinix GTBook GL613 Laptop (Core i5 13th Gen/16 GB/512 GB SSD/Windows 11/6 GB)"/>
    <s v="Infinix GTBook GL613 Laptop (Core i5 13th Gen/16 GB/512 GB SSD/Windows 11/6 GB) price in India"/>
    <x v="107"/>
    <n v="10"/>
    <n v="88"/>
    <x v="0"/>
    <d v="2024-05-01T00:00:00"/>
    <s v="AMD Quad-Core Ryzen 3 (7320U) 4.0 Ghz"/>
    <s v="Windows 11"/>
    <x v="8"/>
    <s v="16&quot; (40.64 cm), 1920 x 1200 px, IPS LCD Display"/>
    <s v="Web Camera"/>
    <s v="Slim 18.9 mm"/>
    <s v="HDMI Port"/>
    <m/>
    <m/>
    <x v="10"/>
    <x v="17"/>
    <x v="0"/>
  </r>
  <r>
    <s v="HP Victus 15-fa1226TX (A03H2PA) Laptop (Core i5 12th Gen/8 GB/512 GB SSD/Windows 11/4 GB)"/>
    <s v="HP Victus 15-fa1226TX (A03H2PA) Laptop (Core i5 12th Gen/8 GB/512 GB SSD/Windows 11/4 GB) price in India"/>
    <x v="266"/>
    <n v="119"/>
    <n v="88"/>
    <x v="0"/>
    <d v="2024-04-01T00:00:00"/>
    <s v="AMD Quad-Core Ryzen 3 (7320U) 4.0 Ghz"/>
    <s v="Windows 11"/>
    <x v="5"/>
    <s v="15.6&quot; (39.62 cm), 1920 x 1080 px Display"/>
    <s v="Web Camera"/>
    <m/>
    <s v="HDMI Port"/>
    <m/>
    <n v="81"/>
    <x v="7"/>
    <x v="17"/>
    <x v="2"/>
  </r>
  <r>
    <s v="Lenovo LOQ 15IAX9 (83GS008VIN) Laptop (Core i5 12th Gen/12 GB/512 GB SSD/Windows 11/4 GB)"/>
    <s v="Lenovo LOQ 15IAX9 (83GS008VIN) Laptop (Core i5 12th Gen/12 GB/512 GB SSD/Windows 11/4 GB) price in India"/>
    <x v="267"/>
    <n v="18"/>
    <n v="88"/>
    <x v="0"/>
    <d v="2024-04-01T00:00:00"/>
    <s v="AMD Quad-Core Ryzen 3 (7320U) 4.0 Ghz"/>
    <s v="Windows 11"/>
    <x v="55"/>
    <s v="15.6&quot; (39.62 cm), 1920 x 1080 px, IPS LCD Display"/>
    <s v="Web Camera"/>
    <m/>
    <s v="HDMI Port"/>
    <m/>
    <n v="83"/>
    <x v="5"/>
    <x v="17"/>
    <x v="8"/>
  </r>
  <r>
    <s v="HP Victus 15-fb0137AX (87B83PA) Laptop (AMD Octa Core Ryzen 7/16 GB/512 GB SSD/Windows 11/4 GB)"/>
    <s v="HP Victus 15-fb0137AX (87B83PA) Laptop (AMD Octa Core Ryzen 7/16 GB/512 GB SSD/Windows 11/4 GB) price in India"/>
    <x v="159"/>
    <n v="467"/>
    <n v="88"/>
    <x v="0"/>
    <d v="2024-02-01T00:00:00"/>
    <s v="AMD Quad-Core Ryzen 3 (7320U) 4.0 Ghz"/>
    <s v="Windows 11"/>
    <x v="2"/>
    <s v="15.6&quot; (39.62 cm), 1920 x 1080 px, IPS LCD Display"/>
    <s v="Web Camera"/>
    <m/>
    <s v="HDMI Port"/>
    <m/>
    <n v="83"/>
    <x v="7"/>
    <x v="17"/>
    <x v="0"/>
  </r>
  <r>
    <s v="Asus Vivobook S 14 Flip TN3402QA-LZ520WS Laptop (AMD Hexa Core Ryzen 5/8 GB/512 GB SSD/Windows 11)"/>
    <s v="Asus Vivobook S 14 Flip TN3402QA-LZ520WS Laptop (AMD Hexa Core Ryzen 5/8 GB/512 GB SSD/Windows 11) price in India"/>
    <x v="124"/>
    <n v="521"/>
    <n v="88"/>
    <x v="0"/>
    <d v="2024-01-01T00:00:00"/>
    <s v="AMD Quad-Core Ryzen 3 (7320U) 4.1 Ghz"/>
    <s v="Windows 11"/>
    <x v="5"/>
    <s v="14&quot; (35.56 cm), 1920 x 1200 px, IPS LCD Display"/>
    <s v="Web Camera"/>
    <m/>
    <s v="HDMI Port"/>
    <m/>
    <n v="72"/>
    <x v="2"/>
    <x v="17"/>
    <x v="2"/>
  </r>
  <r>
    <s v="Gigabyte G5 MF-G2IN313SH Laptop (Core i7 12th Gen/16 GB/512 GB SSD/Windows 11/6 GB)"/>
    <s v="Gigabyte G5 MF-G2IN313SH Laptop (Core i7 12th Gen/16 GB/512 GB SSD/Windows 11/6 GB) price in India"/>
    <x v="268"/>
    <n v="54"/>
    <n v="88"/>
    <x v="0"/>
    <d v="2023-12-01T00:00:00"/>
    <s v="AMD Quad-Core Ryzen 3 (7320U) 4.1 Ghz"/>
    <s v="Windows 11"/>
    <x v="2"/>
    <s v="15.6&quot; (39.62 cm), 1920 x 1080 px, LCD Display"/>
    <s v="Web Camera"/>
    <m/>
    <m/>
    <s v="4 USB Ports"/>
    <n v="82"/>
    <x v="11"/>
    <x v="17"/>
    <x v="0"/>
  </r>
  <r>
    <s v="Lenovo Ideapad Slim 5i 16IRL8 (82XF0077IN) Laptop (Core i5 13th Gen/16 GB/1 TB SSD/Windows 11)"/>
    <s v="Lenovo Ideapad Slim 5i 16IRL8 (82XF0077IN) Laptop (Core i5 13th Gen/16 GB/1 TB SSD/Windows 11) price in India"/>
    <x v="269"/>
    <n v="10"/>
    <n v="88"/>
    <x v="0"/>
    <d v="2023-11-01T00:00:00"/>
    <s v="AMD Quad-Core Ryzen 3 (7320U) 4.1 Ghz"/>
    <s v="Windows 11"/>
    <x v="21"/>
    <s v="16&quot; (40.64 cm), 2560 x 1600 px, IPS LCD Display"/>
    <s v="Web Camera"/>
    <s v="Slim 18.4 mm"/>
    <s v="HDMI Port"/>
    <m/>
    <n v="84"/>
    <x v="5"/>
    <x v="17"/>
    <x v="0"/>
  </r>
  <r>
    <s v="HP 15s-fq2510TU (943V8PA) Laptop (Core i5 11th Gen/16 GB/512 GB SSD/Windows 11)"/>
    <s v="HP 15s-fq2510TU (943V8PA) Laptop (Core i5 11th Gen/16 GB/512 GB SSD/Windows 11) price in India"/>
    <x v="270"/>
    <n v="77"/>
    <n v="88"/>
    <x v="0"/>
    <d v="2023-10-01T00:00:00"/>
    <s v="AMD Quad-Core Ryzen 3 (7320U) 4.1 Ghz"/>
    <s v="Windows 11"/>
    <x v="2"/>
    <s v="15.6&quot; (39.62 cm), 1920 x 1080 px, IPS LCD Display"/>
    <s v="Web Camera"/>
    <s v="Slim 17.9 mm"/>
    <s v="HDMI Port"/>
    <m/>
    <n v="73"/>
    <x v="7"/>
    <x v="17"/>
    <x v="0"/>
  </r>
  <r>
    <s v="Asus Chromebook Flip 14 CX1400FKA-EC0168 Laptop (Intel Celeron Dual Core/8 GB/128 GB eMMC/Google Chrome)"/>
    <s v="Asus Chromebook Flip 14 CX1400FKA-EC0168 Laptop (Intel Celeron Dual Core/8 GB/128 GB eMMC/Google Chrome) price in India"/>
    <x v="271"/>
    <n v="36"/>
    <n v="88"/>
    <x v="0"/>
    <d v="2023-10-01T00:00:00"/>
    <s v="AMD Quad-Core Ryzen 3 (7320U) 4.1 Ghz"/>
    <s v="Google Chrome"/>
    <x v="56"/>
    <s v="14&quot; (35.56 cm), 1920 x 1080 px Display"/>
    <s v="Web Camera"/>
    <s v="Slim 18.6 mm"/>
    <m/>
    <m/>
    <m/>
    <x v="2"/>
    <x v="17"/>
    <x v="2"/>
  </r>
  <r>
    <s v="Lenovo IdeaPad Gaming 3 15ARH7 (82SB00QYIN) Laptop (AMD Octa Core Ryzen 7/16 GB/512 GB SSD/Windows 11/6 GB)"/>
    <s v="Lenovo IdeaPad Gaming 3 15ARH7 (82SB00QYIN) Laptop (AMD Octa Core Ryzen 7/16 GB/512 GB SSD/Windows 11/6 GB) price in India"/>
    <x v="272"/>
    <n v="14"/>
    <n v="88"/>
    <x v="0"/>
    <d v="2023-10-01T00:00:00"/>
    <s v="AMD Quad-Core Ryzen 3 (7320U) 4.1 Ghz"/>
    <s v="Windows 11"/>
    <x v="6"/>
    <s v="15.6&quot; (39.62 cm), 1920 x 1080 px, IPS LCD Display"/>
    <s v="Web Camera"/>
    <s v="Slim 21.8 mm"/>
    <s v="HDMI Port"/>
    <m/>
    <n v="87"/>
    <x v="5"/>
    <x v="17"/>
    <x v="0"/>
  </r>
  <r>
    <s v="HP Pavilion x360 14-ek1009TU (7N759PA) Laptop (Core i5 13th Gen/16 GB/1 TB SSD/Windows 11)"/>
    <s v="HP Pavilion x360 14-ek1009TU (7N759PA) Laptop (Core i5 13th Gen/16 GB/1 TB SSD/Windows 11) price in India"/>
    <x v="273"/>
    <n v="71"/>
    <n v="88"/>
    <x v="0"/>
    <d v="2023-10-01T00:00:00"/>
    <s v="AMD Quad-Core Ryzen 3 (7320U) 4.1 Ghz"/>
    <s v="Windows 11"/>
    <x v="23"/>
    <s v="14&quot; (35.56 cm), 1920 x 1080 px, IPS LCD Display"/>
    <s v="Web Camera"/>
    <s v="Slim 19.9 mm"/>
    <s v="HDMI Port"/>
    <m/>
    <n v="81"/>
    <x v="7"/>
    <x v="17"/>
    <x v="0"/>
  </r>
  <r>
    <s v="Acer Nitro 5 AN515-47 (UN.QL3SI.006) Laptop (AMD Octa Core Ryzen 7/16 GB/512 GB SSD/Windows 11/4 GB)"/>
    <s v="Acer Nitro 5 AN515-47 (UN.QL3SI.006) Laptop (AMD Octa Core Ryzen 7/16 GB/512 GB SSD/Windows 11/4 GB) price in India"/>
    <x v="123"/>
    <n v="40"/>
    <n v="88"/>
    <x v="0"/>
    <d v="2023-10-01T00:00:00"/>
    <s v="AMD Quad-Core Ryzen 3 (7320U) 4.1 Ghz"/>
    <s v="Windows 11"/>
    <x v="6"/>
    <s v="15.6&quot; (39.62 cm), 1920 x 1080 px, TFT LCD Display"/>
    <s v="Web Camera"/>
    <m/>
    <s v="HDMI Port"/>
    <m/>
    <n v="85"/>
    <x v="1"/>
    <x v="17"/>
    <x v="0"/>
  </r>
  <r>
    <s v="Asus VivoBook S14 Flip TN3402QA-LZ740WS Laptop (AMD Octa Core Ryzen 7/16 GB/512 GB SSD/Windows 11)"/>
    <s v="Asus VivoBook S14 Flip TN3402QA-LZ740WS Laptop (AMD Octa Core Ryzen 7/16 GB/512 GB SSD/Windows 11) price in India"/>
    <x v="159"/>
    <n v="217"/>
    <n v="88"/>
    <x v="0"/>
    <d v="2023-09-01T00:00:00"/>
    <s v="AMD Quad-Core Ryzen 3 (7320U) 4.1 Ghz"/>
    <s v="Windows 11"/>
    <x v="2"/>
    <s v="14&quot; (35.56 cm), 1920 x 1200 px Display"/>
    <s v="Web Camera"/>
    <s v="Slim 18.9 mm"/>
    <s v="HDMI Port"/>
    <m/>
    <n v="75"/>
    <x v="2"/>
    <x v="17"/>
    <x v="0"/>
  </r>
  <r>
    <s v="HP Victus 15-fa1132TX (8U6Z8PA) Laptop (Core i5 12th Gen/8 GB/512 GB SSD/Windows 11/4 GB)"/>
    <s v="HP Victus 15-fa1132TX (8U6Z8PA) Laptop (Core i5 12th Gen/8 GB/512 GB SSD/Windows 11/4 GB) price in India"/>
    <x v="274"/>
    <n v="466"/>
    <n v="88"/>
    <x v="0"/>
    <d v="2023-09-01T00:00:00"/>
    <s v="AMD Quad-Core Ryzen 3 (7320U) 4.1 Ghz"/>
    <s v="Windows 11"/>
    <x v="5"/>
    <s v="15.6&quot; (39.62 cm), 1920 x 1080 px, IPS LCD Display"/>
    <s v="Web Camera"/>
    <m/>
    <s v="HDMI Port"/>
    <m/>
    <n v="78"/>
    <x v="7"/>
    <x v="17"/>
    <x v="2"/>
  </r>
  <r>
    <s v="Asus VivoBook 16 M1605YA-MB542WS Laptop (AMD Hexa Core Ryzen 5/16 GB/512 GB SSD/Windows 11)"/>
    <s v="Asus VivoBook 16 M1605YA-MB542WS Laptop (AMD Hexa Core Ryzen 5/16 GB/512 GB SSD/Windows 11) price in India"/>
    <x v="275"/>
    <n v="285"/>
    <n v="88"/>
    <x v="0"/>
    <d v="2023-09-01T00:00:00"/>
    <s v="AMD Quad-Core Ryzen 3 (7330U) 4.2 Ghz"/>
    <s v="Windows 11"/>
    <x v="2"/>
    <s v="16&quot; (40.64 cm), 1920 x 1200 px, IPS LCD Display"/>
    <s v="Web Camera"/>
    <s v="Slim 19.9 mm"/>
    <s v="HDMI Port"/>
    <m/>
    <m/>
    <x v="2"/>
    <x v="17"/>
    <x v="0"/>
  </r>
  <r>
    <s v="MSI Bravo 15 B5ED-035IN Laptop (AMD Octa Core Ryzen 7/16 GB/512 GB SSD/Windows 11/4 GB)"/>
    <s v="MSI Bravo 15 B5ED-035IN Laptop (AMD Octa Core Ryzen 7/16 GB/512 GB SSD/Windows 11/4 GB) price in India"/>
    <x v="30"/>
    <n v="1245"/>
    <n v="88"/>
    <x v="0"/>
    <d v="2023-09-01T00:00:00"/>
    <s v="AMD Quad-Core Ryzen 3 (7330U) 4.3 Ghz"/>
    <s v="Windows 11"/>
    <x v="2"/>
    <s v="15.6&quot; (39.62 cm), 1920 x 1080 px, IPS LCD Display"/>
    <s v="Web Camera"/>
    <m/>
    <s v="HDMI Port"/>
    <m/>
    <n v="83"/>
    <x v="3"/>
    <x v="17"/>
    <x v="0"/>
  </r>
  <r>
    <s v="Lenovo Ideapad Slim 3i (82H803HRIN) Laptop (Core i7 11th Gen/16 GB/512 GB SSD/Windows 11)"/>
    <s v="Lenovo Ideapad Slim 3i (82H803HRIN) Laptop (Core i7 11th Gen/16 GB/512 GB SSD/Windows 11) price in India"/>
    <x v="62"/>
    <n v="8"/>
    <n v="88"/>
    <x v="0"/>
    <d v="2023-09-01T00:00:00"/>
    <s v="AMD Quad-Core Ryzen 5 (3450U) 2.1 Ghz"/>
    <s v="Windows 11"/>
    <x v="2"/>
    <s v="15.6&quot; (39.62 cm), 1920 x 1080 px, IPS LCD Display"/>
    <s v="Web Camera"/>
    <m/>
    <s v="HDMI Port"/>
    <m/>
    <n v="77"/>
    <x v="5"/>
    <x v="18"/>
    <x v="0"/>
  </r>
  <r>
    <s v="Asus ROG Strix G17 G713RC-HX109WS Laptop (AMD Octa Core Ryzen 7/16 GB/512 GB SSD/Windows 11/4 GB)"/>
    <s v="Asus ROG Strix G17 G713RC-HX109WS Laptop (AMD Octa Core Ryzen 7/16 GB/512 GB SSD/Windows 11/4 GB) price in India"/>
    <x v="3"/>
    <n v="23"/>
    <n v="88"/>
    <x v="0"/>
    <d v="2023-09-01T00:00:00"/>
    <s v="AMD Quad-Core Ryzen 5 (3500U) 2.1 Ghz"/>
    <s v="Windows 11"/>
    <x v="6"/>
    <s v="17.3&quot; (43.94 cm), 1920 x 1080 px, IPS LCD Display"/>
    <m/>
    <m/>
    <s v="HDMI Port"/>
    <m/>
    <n v="81"/>
    <x v="2"/>
    <x v="18"/>
    <x v="0"/>
  </r>
  <r>
    <s v="HP 255 G8 (7J035AA) Laptop (AMD Hexa Core Ryzen 5/8 GB/256 GB SSD/Windows 11)"/>
    <s v="HP 255 G8 (7J035AA) Laptop (AMD Hexa Core Ryzen 5/8 GB/256 GB SSD/Windows 11) price in India"/>
    <x v="276"/>
    <n v="55"/>
    <n v="88"/>
    <x v="0"/>
    <d v="2023-09-01T00:00:00"/>
    <s v="AMD Quad-Core Ryzen 5 (3500U) 2.1 Ghz"/>
    <s v="Windows 11"/>
    <x v="38"/>
    <s v="15.6&quot; (39.62 cm), 1920 x 1080 px, IPS LCD Display"/>
    <s v="Web Camera"/>
    <s v="Slim 19.9 mm"/>
    <s v="HDMI Port"/>
    <m/>
    <n v="72"/>
    <x v="7"/>
    <x v="18"/>
    <x v="2"/>
  </r>
  <r>
    <s v="Lenovo Ideapad Gaming 3 15ARH7 (82SB00V2IN) Laptop (AMD Hexa Core Ryzen 5/8 GB/512 GB SSD/Windows 11/4 GB)"/>
    <s v="Lenovo Ideapad Gaming 3 15ARH7 (82SB00V2IN) Laptop (AMD Hexa Core Ryzen 5/8 GB/512 GB SSD/Windows 11/4 GB) price in India"/>
    <x v="256"/>
    <n v="212"/>
    <n v="88"/>
    <x v="0"/>
    <d v="2023-08-01T00:00:00"/>
    <s v="AMD Quad-Core Ryzen 5 (3500U) 2.1 Ghz"/>
    <s v="Windows 11"/>
    <x v="16"/>
    <s v="15.6&quot; (39.62 cm), 1920 x 1080 px, IPS LCD Display"/>
    <s v="Web Camera"/>
    <m/>
    <s v="HDMI Port"/>
    <s v="3 USB Ports"/>
    <n v="78"/>
    <x v="5"/>
    <x v="18"/>
    <x v="2"/>
  </r>
  <r>
    <s v="Lenovo Yoga Pro 7i (82Y700A3IN) Laptop (Core i7 13th Gen/16 GB/1 TB SSD/Windows 11/6 GB)"/>
    <s v="Lenovo Yoga Pro 7i (82Y700A3IN) Laptop (Core i7 13th Gen/16 GB/1 TB SSD/Windows 11/6 GB) price in India"/>
    <x v="199"/>
    <n v="8"/>
    <n v="88"/>
    <x v="0"/>
    <d v="2023-08-01T00:00:00"/>
    <s v="AMD Quad-Core Ryzen 5 (3500U) 2.1 Ghz"/>
    <s v="Windows 11"/>
    <x v="21"/>
    <s v="14.5&quot; (36.83 cm), 3072 x 1920 px, IPS LCD Display"/>
    <s v="Web Camera"/>
    <m/>
    <s v="HDMI Port"/>
    <m/>
    <m/>
    <x v="5"/>
    <x v="18"/>
    <x v="0"/>
  </r>
  <r>
    <s v="Lenovo Legion Slim 5 16APH8 (82Y90042IN) Laptop (AMD Octa Core Ryzen 7/16 GB/512 GB SSD/Windows 11/8 GB)"/>
    <s v="Lenovo Legion Slim 5 16APH8 (82Y90042IN) Laptop (AMD Octa Core Ryzen 7/16 GB/512 GB SSD/Windows 11/8 GB) price in India"/>
    <x v="277"/>
    <n v="9"/>
    <n v="88"/>
    <x v="0"/>
    <d v="2023-08-01T00:00:00"/>
    <s v="AMD Quad-Core Ryzen 5 (3500U) 2.1 Ghz"/>
    <s v="Windows 11"/>
    <x v="6"/>
    <s v="16&quot; (40.64 cm), 2560 x 1600 px, IPS LCD Display"/>
    <s v="Web Camera"/>
    <m/>
    <m/>
    <m/>
    <m/>
    <x v="5"/>
    <x v="18"/>
    <x v="0"/>
  </r>
  <r>
    <s v="Lenovo IdeaPad Flex 5 14IRU8 (82Y00051IN) Laptop (Core i5 13th Gen/16 GB/512 GB SSD/Windows 11)"/>
    <s v="Lenovo IdeaPad Flex 5 14IRU8 (82Y00051IN) Laptop (Core i5 13th Gen/16 GB/512 GB SSD/Windows 11) price in India"/>
    <x v="121"/>
    <n v="31"/>
    <n v="88"/>
    <x v="0"/>
    <d v="2023-08-01T00:00:00"/>
    <s v="AMD Quad-Core Ryzen 5 (3500U) 2.1 Ghz"/>
    <s v="Windows 11"/>
    <x v="2"/>
    <s v="14&quot; (35.56 cm), 1920 x 1200 px, IPS LCD Display"/>
    <s v="Web Camera"/>
    <m/>
    <s v="HDMI Port"/>
    <s v="3 USB Ports"/>
    <n v="77"/>
    <x v="5"/>
    <x v="18"/>
    <x v="0"/>
  </r>
  <r>
    <s v="MSI GF63 Thin 12VE-664IN Laptop (Core i7 12th Gen/16 GB/1 TB SSD/Windows 11/6 GB)"/>
    <s v="MSI GF63 Thin 12VE-664IN Laptop (Core i7 12th Gen/16 GB/1 TB SSD/Windows 11/6 GB) price in India"/>
    <x v="278"/>
    <n v="276"/>
    <n v="88"/>
    <x v="0"/>
    <d v="2023-08-01T00:00:00"/>
    <s v="AMD Quad-Core Ryzen 5 (3500U) 3.7 Ghz"/>
    <s v="Windows 11"/>
    <x v="23"/>
    <s v="15.6&quot; (39.62 cm), 1920 x 1080 px, IPS LCD Display"/>
    <s v="Web Camera"/>
    <s v="Slim 21.7 mm"/>
    <s v="HDMI Port"/>
    <m/>
    <n v="84"/>
    <x v="3"/>
    <x v="18"/>
    <x v="0"/>
  </r>
  <r>
    <s v="Lenovo LOQ 15IRH8 (82XV00F5IN) Laptop (Core i5 12th Gen/16 GB/512 GB SSD/Windows 11/6 GB)"/>
    <s v="Lenovo LOQ 15IRH8 (82XV00F5IN) Laptop (Core i5 12th Gen/16 GB/512 GB SSD/Windows 11/6 GB) price in India"/>
    <x v="210"/>
    <n v="573"/>
    <n v="88"/>
    <x v="0"/>
    <d v="2023-08-01T00:00:00"/>
    <s v="AMD Quad-Core Ryzen 5 (3550H) 2.1 Ghz"/>
    <s v="Windows 11"/>
    <x v="6"/>
    <s v="15.6&quot; (39.62 cm), 1920 x 1080 px, IPS LCD Display"/>
    <s v="Web Camera"/>
    <m/>
    <s v="HDMI Port"/>
    <m/>
    <n v="82"/>
    <x v="5"/>
    <x v="18"/>
    <x v="0"/>
  </r>
  <r>
    <s v="Lenovo LOQ 15IRH8 (82XV00BQIN) Laptop (Core i7 13th Gen/16 GB/512 GB SSD/Windows 11/6 GB)"/>
    <s v="Lenovo LOQ 15IRH8 (82XV00BQIN) Laptop (Core i7 13th Gen/16 GB/512 GB SSD/Windows 11/6 GB) price in India"/>
    <x v="279"/>
    <n v="164"/>
    <n v="88"/>
    <x v="0"/>
    <d v="2023-08-01T00:00:00"/>
    <s v="AMD Quad-Core Ryzen 5 (5500H) 3.4 Ghz"/>
    <s v="Windows 11"/>
    <x v="6"/>
    <s v="15.6&quot; (39.62 cm), 1920 x 1080 px, IPS LCD Display"/>
    <s v="Web Camera"/>
    <m/>
    <s v="HDMI Port"/>
    <m/>
    <n v="84"/>
    <x v="5"/>
    <x v="18"/>
    <x v="0"/>
  </r>
  <r>
    <s v="Asus TUF Gaming F15 FX506HE-HN382W Laptop (Core i7 11th Gen/16 GB/512 GB SSD/Windows 11/4 GB)"/>
    <s v="Asus TUF Gaming F15 FX506HE-HN382W Laptop (Core i7 11th Gen/16 GB/512 GB SSD/Windows 11/4 GB) price in India"/>
    <x v="3"/>
    <n v="242"/>
    <n v="88"/>
    <x v="0"/>
    <d v="2023-07-01T00:00:00"/>
    <s v="AMD Quad-Core Ryzen 5 (5500H) 3.4 Ghz"/>
    <s v="Windows 11"/>
    <x v="2"/>
    <s v="15.6&quot; (39.62 cm), 1920 x 1080 px Display"/>
    <s v="Web Camera"/>
    <s v="Slim 10.4 mm"/>
    <s v="HDMI Port"/>
    <s v="3 USB Ports"/>
    <n v="81"/>
    <x v="2"/>
    <x v="18"/>
    <x v="0"/>
  </r>
  <r>
    <s v="Acer Swift 3 SF314-71 (NX.KAWSI.002) Laptop (Core i5 12th Gen/16 GB/512 GB SSD/Windows 11)"/>
    <s v="Acer Swift 3 SF314-71 (NX.KAWSI.002) Laptop (Core i5 12th Gen/16 GB/512 GB SSD/Windows 11) price in India"/>
    <x v="280"/>
    <n v="823"/>
    <n v="88"/>
    <x v="0"/>
    <d v="2023-07-01T00:00:00"/>
    <s v="AMD Quad-Core Ryzen 5 (5500H) 4.2 Ghz"/>
    <s v="Windows 11"/>
    <x v="17"/>
    <s v="14&quot; (35.56 cm), 2880 x 1800 px, OLED Display"/>
    <s v="Web Camera"/>
    <s v="Slim 17.9 mm"/>
    <s v="HDMI Port"/>
    <m/>
    <n v="77"/>
    <x v="1"/>
    <x v="18"/>
    <x v="0"/>
  </r>
  <r>
    <s v="Asus VivoBook S15 OLED S5504VA-MA951WS Laptop (Core i9 13th Gen/16 GB/1 TB SSD/Windows 11)"/>
    <s v="Asus VivoBook S15 OLED S5504VA-MA951WS Laptop (Core i9 13th Gen/16 GB/1 TB SSD/Windows 11) price in India"/>
    <x v="104"/>
    <n v="75"/>
    <n v="88"/>
    <x v="0"/>
    <d v="2023-07-01T00:00:00"/>
    <s v="AMD Quad-Core Ryzen 5 (7235HS) 4.2 Ghz"/>
    <s v="Windows 11"/>
    <x v="21"/>
    <s v="15.6&quot; (39.62 cm), 2880 x 1620 px, OLED Display"/>
    <s v="Web Camera"/>
    <s v="Slim 17.9 mm"/>
    <s v="HDMI Port"/>
    <m/>
    <n v="85"/>
    <x v="2"/>
    <x v="18"/>
    <x v="0"/>
  </r>
  <r>
    <s v="Lenovo Yoga 7 14IRL8 (82YL0060IN) Laptop (Core i7 13th Gen/16 GB/512 GB SSD/Windows 11)"/>
    <s v="Lenovo Yoga 7 14IRL8 (82YL0060IN) Laptop (Core i7 13th Gen/16 GB/512 GB SSD/Windows 11) price in India"/>
    <x v="281"/>
    <n v="76"/>
    <n v="88"/>
    <x v="0"/>
    <d v="2023-07-01T00:00:00"/>
    <s v="AMD Quad-Core Ryzen 5 (7235HS) 4.2 Ghz"/>
    <s v="Windows 11"/>
    <x v="17"/>
    <s v="14&quot; (35.56 cm), 2880 x 1800 px, OLED Display"/>
    <s v="Web Camera"/>
    <m/>
    <s v="HDMI Port"/>
    <m/>
    <n v="84"/>
    <x v="5"/>
    <x v="18"/>
    <x v="0"/>
  </r>
  <r>
    <s v="Asus TUF Gaming F15 FX507ZC4-HN116W Laptop (Core i5 12th Gen/16 GB/512 GB SSD/Windows 11/4 GB)"/>
    <s v="Asus TUF Gaming F15 FX507ZC4-HN116W Laptop (Core i5 12th Gen/16 GB/512 GB SSD/Windows 11/4 GB) price in India"/>
    <x v="282"/>
    <n v="497"/>
    <n v="88"/>
    <x v="0"/>
    <d v="2023-06-01T00:00:00"/>
    <s v="AMD Quad-Core Ryzen 5 (7520U) 2.8 Ghz"/>
    <s v="Windows 11"/>
    <x v="2"/>
    <s v="15.6&quot; (39.62 cm), 1920 x 1080 px, IPS LCD Display"/>
    <s v="Web Camera"/>
    <m/>
    <s v="HDMI Port"/>
    <m/>
    <n v="81"/>
    <x v="2"/>
    <x v="18"/>
    <x v="0"/>
  </r>
  <r>
    <s v="MSI Modern 14 C7M-218IN Laptop (AMD Octa Core Ryzen 7/16 GB/512 GB SSD/Windows 11)"/>
    <s v="MSI Modern 14 C7M-218IN Laptop (AMD Octa Core Ryzen 7/16 GB/512 GB SSD/Windows 11) price in India"/>
    <x v="42"/>
    <n v="13"/>
    <n v="88"/>
    <x v="0"/>
    <d v="2023-06-01T00:00:00"/>
    <s v="AMD Quad-Core Ryzen 5 (7520U) 2.8 Ghz"/>
    <s v="Windows 11"/>
    <x v="2"/>
    <s v="14&quot; (35.56 cm), 1920 x 1080 px, IPS LCD Display"/>
    <s v="Web Camera"/>
    <s v="Slim 19.3 mm"/>
    <s v="HDMI Port"/>
    <m/>
    <m/>
    <x v="3"/>
    <x v="18"/>
    <x v="0"/>
  </r>
  <r>
    <s v="Lenovo Ideapad Gaming 3 15IHU6 (82K101LHIN) Laptop (Core i5 11th Gen/16 GB/512 GB SSD/Windows 11/4 GB)"/>
    <s v="Lenovo Ideapad Gaming 3 15IHU6 (82K101LHIN) Laptop (Core i5 11th Gen/16 GB/512 GB SSD/Windows 11/4 GB) price in India"/>
    <x v="283"/>
    <n v="311"/>
    <n v="88"/>
    <x v="0"/>
    <d v="2023-06-01T00:00:00"/>
    <s v="AMD Quad-Core Ryzen 5 (7520U) 2.8 Ghz"/>
    <s v="Windows 11"/>
    <x v="2"/>
    <s v="15.6&quot; (39.62 cm), 1920 x 1080 px, IPS LCD Display"/>
    <s v="Web Camera"/>
    <m/>
    <s v="HDMI Port"/>
    <m/>
    <n v="75"/>
    <x v="5"/>
    <x v="18"/>
    <x v="0"/>
  </r>
  <r>
    <s v="Dell Inspiron 15 3520 (IN3520KTMFJS01ORS1) Laptop (Core i3 11th Gen/8 GB/512 GB SSD/Windows 11)"/>
    <s v="Dell Inspiron 15 3520 (IN3520KTMFJS01ORS1) Laptop (Core i3 11th Gen/8 GB/512 GB SSD/Windows 11) price in India"/>
    <x v="114"/>
    <n v="233"/>
    <n v="88"/>
    <x v="0"/>
    <d v="2023-06-01T00:00:00"/>
    <s v="AMD Quad-Core Ryzen 5 (7520U) 2.8 Ghz"/>
    <s v="Windows 11"/>
    <x v="5"/>
    <s v="15.6&quot; (39.62 cm), 1920 x 1080 px, IPS LCD Display"/>
    <s v="Web Camera"/>
    <s v="Slim 21 mm"/>
    <s v="HDMI Port"/>
    <m/>
    <m/>
    <x v="6"/>
    <x v="18"/>
    <x v="2"/>
  </r>
  <r>
    <s v="Acer Nitro 5 AN515-58 (NH.QFSSI.001) Laptop (Core i7 12th Gen/16 GB/1 TB SSD/Windows 11/8 GB)"/>
    <s v="Acer Nitro 5 AN515-58 (NH.QFSSI.001) Laptop (Core i7 12th Gen/16 GB/1 TB SSD/Windows 11/8 GB) price in India"/>
    <x v="284"/>
    <n v="728"/>
    <n v="88"/>
    <x v="0"/>
    <d v="2023-06-01T00:00:00"/>
    <s v="AMD Quad-Core Ryzen 5 (7520U) 2.8 Ghz"/>
    <s v="Windows 11"/>
    <x v="23"/>
    <s v="15.6&quot; (39.62 cm), 2560 x 1440 px Display"/>
    <s v="Web Camera"/>
    <m/>
    <s v="HDMI Port"/>
    <m/>
    <n v="84"/>
    <x v="1"/>
    <x v="18"/>
    <x v="0"/>
  </r>
  <r>
    <s v="Dell Inspiron 14 7430 (IC7430PXXWC001ORS1) Laptop (Core i5 13th Gen/8 GB/512 GB SSD/Windows 11)"/>
    <s v="Dell Inspiron 14 7430 (IC7430PXXWC001ORS1) Laptop (Core i5 13th Gen/8 GB/512 GB SSD/Windows 11) price in India"/>
    <x v="106"/>
    <n v="7"/>
    <n v="88"/>
    <x v="0"/>
    <d v="2023-06-01T00:00:00"/>
    <s v="AMD Quad-Core Ryzen 5 (7520U) 2.8 Ghz"/>
    <s v="Windows 11"/>
    <x v="20"/>
    <s v="14&quot; (35.56 cm), 1920 x 1200 px, IPS LCD Display"/>
    <s v="Web Camera"/>
    <s v="Slim 18.5 mm"/>
    <m/>
    <m/>
    <n v="75"/>
    <x v="6"/>
    <x v="18"/>
    <x v="2"/>
  </r>
  <r>
    <s v="Asus VivoBook Pro 15 M6500QF-HN521WS Laptop (AMD Hexa Core Ryzen 5/8 GB/512 GB SSD/Windows 11/4 GB)"/>
    <s v="Asus VivoBook Pro 15 M6500QF-HN521WS Laptop (AMD Hexa Core Ryzen 5/8 GB/512 GB SSD/Windows 11/4 GB) price in India"/>
    <x v="285"/>
    <n v="1364"/>
    <n v="88"/>
    <x v="0"/>
    <d v="2023-06-01T00:00:00"/>
    <s v="AMD Quad-Core Ryzen 5 (7520U) 2.8 Ghz"/>
    <s v="Windows 11"/>
    <x v="5"/>
    <s v="15.6&quot; (39.62 cm), 1920 x 1080 px, IPS LCD Display"/>
    <s v="Web Camera"/>
    <s v="Slim 19.9 mm"/>
    <s v="HDMI Port"/>
    <m/>
    <n v="78"/>
    <x v="2"/>
    <x v="18"/>
    <x v="2"/>
  </r>
  <r>
    <s v="HP Victus 15-fa0555TX (805X2PA) Laptop (Core i5 12th Gen/16 GB/512 GB SSD/Windows 11/4 GB)"/>
    <s v="HP Victus 15-fa0555TX (805X2PA) Laptop (Core i5 12th Gen/16 GB/512 GB SSD/Windows 11/4 GB) price in India"/>
    <x v="286"/>
    <n v="214"/>
    <n v="88"/>
    <x v="0"/>
    <d v="2023-05-01T00:00:00"/>
    <s v="AMD Quad-Core Ryzen 5 (7520U) 2.8 Ghz"/>
    <s v="Windows 11"/>
    <x v="2"/>
    <s v="15.6&quot; (39.62 cm), 1920 x 1080 px, IPS LCD Display"/>
    <s v="Web Camera"/>
    <m/>
    <s v="HDMI Port"/>
    <m/>
    <n v="81"/>
    <x v="7"/>
    <x v="18"/>
    <x v="0"/>
  </r>
  <r>
    <s v="Asus Zenbook 14X OLED UM5401QA-KM541WS Laptop (AMD Hexa Core Ryzen 5/16 GB/512 GB SSD/Windows 11)"/>
    <s v="Asus Zenbook 14X OLED UM5401QA-KM541WS Laptop (AMD Hexa Core Ryzen 5/16 GB/512 GB SSD/Windows 11) price in India"/>
    <x v="159"/>
    <n v="1122"/>
    <n v="88"/>
    <x v="0"/>
    <d v="2023-05-01T00:00:00"/>
    <s v="AMD Quad-Core Ryzen 5 (7520U) 2.8 Ghz"/>
    <s v="Windows 11"/>
    <x v="30"/>
    <s v="14&quot; (35.56 cm), 2880 x 1800 px, OLED Display"/>
    <s v="Web Camera"/>
    <s v="Slim 15.9 mm"/>
    <s v="HDMI Port"/>
    <m/>
    <n v="71"/>
    <x v="2"/>
    <x v="18"/>
    <x v="0"/>
  </r>
  <r>
    <s v="Asus ROG Strix G16 G614JU-N3200WS Laptop (Core i7 13th Gen/16 GB/1 TB SSD/Windows 11/6 GB)"/>
    <s v="Asus ROG Strix G16 G614JU-N3200WS Laptop (Core i7 13th Gen/16 GB/1 TB SSD/Windows 11/6 GB) price in India"/>
    <x v="287"/>
    <n v="16"/>
    <n v="88"/>
    <x v="0"/>
    <d v="2023-05-01T00:00:00"/>
    <s v="AMD Quad-Core Ryzen 5 (7520U) 2.8 Ghz"/>
    <s v="Windows 11"/>
    <x v="10"/>
    <s v="16&quot; (40.64 cm), 1920 x 1200 px, IPS LCD Display"/>
    <s v="Web Camera"/>
    <m/>
    <m/>
    <m/>
    <n v="86"/>
    <x v="2"/>
    <x v="18"/>
    <x v="0"/>
  </r>
  <r>
    <s v="Asus TUF Gaming A15 FA577XU-LP041WS Laptop (AMD Octa Core Ryzen 9/16 GB/1 TB SSD/Windows 11/6 GB)"/>
    <s v="Asus TUF Gaming A15 FA577XU-LP041WS Laptop (AMD Octa Core Ryzen 9/16 GB/1 TB SSD/Windows 11/6 GB) price in India"/>
    <x v="4"/>
    <n v="5"/>
    <n v="88"/>
    <x v="0"/>
    <d v="2023-05-01T00:00:00"/>
    <s v="AMD Quad-Core Ryzen 5 (7520U) 2.8 Ghz"/>
    <s v="Windows 11"/>
    <x v="23"/>
    <s v="15.6&quot; (39.62 cm), 1920 x 1080 px, IPS LCD Display"/>
    <s v="Web Camera"/>
    <m/>
    <s v="HDMI Port"/>
    <m/>
    <n v="84"/>
    <x v="2"/>
    <x v="18"/>
    <x v="0"/>
  </r>
  <r>
    <s v="MSI Bravo 15 B5ED-034IN Laptop (AMD Octa Core Ryzen 7/8 GB/512 GB SSD/Windows 11/4 GB)"/>
    <s v="MSI Bravo 15 B5ED-034IN Laptop (AMD Octa Core Ryzen 7/8 GB/512 GB SSD/Windows 11/4 GB) price in India"/>
    <x v="288"/>
    <n v="1244"/>
    <n v="88"/>
    <x v="0"/>
    <d v="2023-05-01T00:00:00"/>
    <s v="AMD Quad-Core Ryzen 5 (7520U) 2.8 Ghz"/>
    <s v="Windows 11"/>
    <x v="5"/>
    <s v="15.6&quot; (39.62 cm), 1920 x 1080 px, IPS LCD Display"/>
    <s v="Web Camera"/>
    <m/>
    <s v="HDMI Port"/>
    <m/>
    <n v="77"/>
    <x v="3"/>
    <x v="18"/>
    <x v="2"/>
  </r>
  <r>
    <s v="MSI GF63 Thin 11SC-1400IN Laptop (Core i5 11th Gen/16 GB/512 GB SSD/Windows 11/4 GB)"/>
    <s v="MSI GF63 Thin 11SC-1400IN Laptop (Core i5 11th Gen/16 GB/512 GB SSD/Windows 11/4 GB) price in India"/>
    <x v="163"/>
    <n v="1158"/>
    <n v="88"/>
    <x v="0"/>
    <d v="2023-04-01T00:00:00"/>
    <s v="AMD Quad-Core Ryzen 5 (7520U) 4.2 Ghz"/>
    <s v="Windows 11"/>
    <x v="2"/>
    <s v="15.6&quot; (39.62 cm), 1920 x 1080 px, IPS LCD Display"/>
    <s v="Web Camera"/>
    <m/>
    <s v="HDMI Port"/>
    <m/>
    <n v="75"/>
    <x v="3"/>
    <x v="18"/>
    <x v="0"/>
  </r>
  <r>
    <s v="MSI Katana GF66 12UC-1004IN Laptop (Core i7 12th Gen/16 GB/512 GB SSD/Windows 11/4 GB)"/>
    <s v="MSI Katana GF66 12UC-1004IN Laptop (Core i7 12th Gen/16 GB/512 GB SSD/Windows 11/4 GB) price in India"/>
    <x v="207"/>
    <n v="31"/>
    <n v="88"/>
    <x v="0"/>
    <d v="2023-04-01T00:00:00"/>
    <s v="AMD Quad-Core Ryzen 5 (7520U) 4.2 Ghz"/>
    <s v="Windows 11"/>
    <x v="2"/>
    <s v="15.6&quot; (39.62 cm), 1920 x 1080 px, IPS LCD Display"/>
    <s v="Web Camera"/>
    <m/>
    <s v="HDMI Port"/>
    <m/>
    <n v="80"/>
    <x v="3"/>
    <x v="18"/>
    <x v="0"/>
  </r>
  <r>
    <s v="MSI Katana 15 B12UDXK-1004IN Laptop (Core i7 12th Gen/16 GB/512 GB SSD/Windows 11/6 GB)"/>
    <s v="MSI Katana 15 B12UDXK-1004IN Laptop (Core i7 12th Gen/16 GB/512 GB SSD/Windows 11/6 GB) price in India"/>
    <x v="207"/>
    <n v="13"/>
    <n v="88"/>
    <x v="0"/>
    <d v="2023-04-01T00:00:00"/>
    <s v="AMD Quad-Core Ryzen 5 (7520U) 4.2 Ghz"/>
    <s v="Windows 11"/>
    <x v="6"/>
    <s v="15.6&quot; (39.62 cm), 1920 x 1080 px, IPS LCD Display"/>
    <s v="Web Camera"/>
    <m/>
    <s v="HDMI Port"/>
    <m/>
    <n v="87"/>
    <x v="3"/>
    <x v="18"/>
    <x v="0"/>
  </r>
  <r>
    <s v="MSI Katana GF66 12UC-880IN Laptop (Core i7 12th Gen/8 GB/512 GB SSD/Windows 11/4 GB)"/>
    <s v="MSI Katana GF66 12UC-880IN Laptop (Core i7 12th Gen/8 GB/512 GB SSD/Windows 11/4 GB) price in India"/>
    <x v="198"/>
    <n v="31"/>
    <n v="88"/>
    <x v="0"/>
    <d v="2023-04-01T00:00:00"/>
    <s v="AMD Quad-Core Ryzen 5 (7520U) 4.2 Ghz"/>
    <s v="Windows 11"/>
    <x v="5"/>
    <s v="15.6&quot; (39.62 cm), 1920 x 1080 px, IPS LCD Display"/>
    <s v="Web Camera"/>
    <m/>
    <s v="HDMI Port"/>
    <m/>
    <n v="81"/>
    <x v="3"/>
    <x v="18"/>
    <x v="2"/>
  </r>
  <r>
    <s v="Asus VivoBook 16 X1605VAB-MB322WS Laptop (Core i3 13th Gen/8 GB/512 GB SSD/Windows 11)"/>
    <s v="Asus VivoBook 16 X1605VAB-MB322WS Laptop (Core i3 13th Gen/8 GB/512 GB SSD/Windows 11) price in India"/>
    <x v="180"/>
    <n v="216"/>
    <n v="88"/>
    <x v="0"/>
    <d v="2023-04-01T00:00:00"/>
    <s v="AMD Quad-Core Ryzen 5 (7520U) 4.2 Ghz"/>
    <s v="Windows 11"/>
    <x v="5"/>
    <s v="16&quot; (40.64 cm), 1920 x 1200 px, IPS LCD Display"/>
    <s v="Web Camera"/>
    <m/>
    <s v="HDMI Port"/>
    <m/>
    <m/>
    <x v="2"/>
    <x v="18"/>
    <x v="2"/>
  </r>
  <r>
    <s v="Asus ZenBook S13 OLED UX5304VA-NQ541WS Laptop (Core i5 13th Gen/16 GB/512 GB SSD/Windows 11)"/>
    <s v="Asus ZenBook S13 OLED UX5304VA-NQ541WS Laptop (Core i5 13th Gen/16 GB/512 GB SSD/Windows 11) price in India"/>
    <x v="289"/>
    <n v="10"/>
    <n v="88"/>
    <x v="0"/>
    <d v="2023-04-01T00:00:00"/>
    <s v="AMD Quad-Core Ryzen 5 (7520U) 4.2 Ghz"/>
    <s v="Windows 11"/>
    <x v="17"/>
    <s v="13.3&quot; (33.78 cm), 2880 x 1800 px, OLED Display"/>
    <s v="Web Camera"/>
    <s v="Slim 11.8 mm"/>
    <s v="HDMI Port"/>
    <m/>
    <n v="77"/>
    <x v="2"/>
    <x v="18"/>
    <x v="0"/>
  </r>
  <r>
    <s v="Asus Vivobook Go 15 OLED E1504FA-LK521WS Laptop (AMD Quad Core Ryzen 5/8 GB/512 GB SSD/Windows 11)"/>
    <s v="Asus Vivobook Go 15 OLED E1504FA-LK521WS Laptop (AMD Quad Core Ryzen 5/8 GB/512 GB SSD/Windows 11) price in India"/>
    <x v="169"/>
    <n v="1452"/>
    <n v="88"/>
    <x v="0"/>
    <d v="2023-03-01T00:00:00"/>
    <s v="AMD Quad-Core Ryzen 5 (7520U) 4.2 Ghz"/>
    <s v="Windows 11"/>
    <x v="20"/>
    <s v="15.6&quot; (39.62 cm), 1920 x 1080 px, OLED Display"/>
    <s v="Web Camera"/>
    <s v="Slim 17.9 mm"/>
    <m/>
    <m/>
    <n v="71"/>
    <x v="2"/>
    <x v="18"/>
    <x v="2"/>
  </r>
  <r>
    <s v="Asus Vivobook Go 15 OLED E1504FA-LK322WS Laptop (AMD Quad Core Ryzen 3/8 GB/512 GB SSD/Windows 11)"/>
    <s v="Asus Vivobook Go 15 OLED E1504FA-LK322WS Laptop (AMD Quad Core Ryzen 3/8 GB/512 GB SSD/Windows 11) price in India"/>
    <x v="47"/>
    <n v="1825"/>
    <n v="88"/>
    <x v="0"/>
    <d v="2023-03-01T00:00:00"/>
    <s v="AMD Quad-Core Ryzen 5 (7520U) 4.2 Ghz"/>
    <s v="Windows 11"/>
    <x v="20"/>
    <s v="15.6&quot; (39.62 cm), 1920 x 1080 px, OLED Display"/>
    <s v="Web Camera"/>
    <s v="Slim 17.9 mm"/>
    <m/>
    <m/>
    <m/>
    <x v="2"/>
    <x v="18"/>
    <x v="2"/>
  </r>
  <r>
    <s v="Asus ROG Strix Scar 16 G634JZ-NM057WS Laptop (Core i9 13th Gen/32 GB/1 TB SSD/Windows 11/12 GB)"/>
    <s v="Asus ROG Strix Scar 16 G634JZ-NM057WS Laptop (Core i9 13th Gen/32 GB/1 TB SSD/Windows 11/12 GB) price in India"/>
    <x v="5"/>
    <n v="8"/>
    <n v="88"/>
    <x v="0"/>
    <d v="2023-03-01T00:00:00"/>
    <s v="AMD Quad-Core Ryzen 5 (7520U) 4.3 Ghz"/>
    <s v="Windows 11"/>
    <x v="19"/>
    <s v="16&quot; (40.64 cm), 2560 x 1600 px, IPS LCD Display"/>
    <s v="Web Camera"/>
    <m/>
    <s v="HDMI Port"/>
    <m/>
    <m/>
    <x v="2"/>
    <x v="18"/>
    <x v="3"/>
  </r>
  <r>
    <s v="HP Chromebook x360 13b-ca0006MU (7E8Z7PA) Laptop (MediaTek Octa Core/8 GB/256 GB SSD/Google Chrome)"/>
    <s v="HP Chromebook x360 13b-ca0006MU (7E8Z7PA) Laptop (MediaTek Octa Core/8 GB/256 GB SSD/Google Chrome) price in India"/>
    <x v="290"/>
    <n v="39"/>
    <n v="88"/>
    <x v="0"/>
    <d v="2023-03-01T00:00:00"/>
    <s v="AMD Quad-Core Ryzen 5 (7520U) 4.3 Ghz"/>
    <s v="Google Chrome"/>
    <x v="57"/>
    <s v="13.3&quot; (33.78 cm), 1920 x 1080 px, IPS LCD Display"/>
    <s v="Web Camera"/>
    <s v="Slim 16.7 mm"/>
    <m/>
    <m/>
    <m/>
    <x v="7"/>
    <x v="18"/>
    <x v="2"/>
  </r>
  <r>
    <s v="Acer Nitro 5 AN515-47 (NH.QL3SI.001) Laptop (AMD Hexa Core Ryzen 5/8 GB/512 GB SSD/Windows 11/4)"/>
    <s v="Acer Nitro 5 AN515-47 (NH.QL3SI.001) Laptop (AMD Hexa Core Ryzen 5/8 GB/512 GB SSD/Windows 11/4) price in India"/>
    <x v="291"/>
    <n v="57"/>
    <n v="88"/>
    <x v="0"/>
    <d v="2023-03-01T00:00:00"/>
    <s v="AMD Quad-Core Ryzen 5 (7520U) 4.3 Ghz"/>
    <s v="Windows 11"/>
    <x v="16"/>
    <s v="15.6&quot; (39.62 cm), 1920 x 1080 px Display"/>
    <s v="Web Camera"/>
    <m/>
    <s v="HDMI Port"/>
    <m/>
    <n v="75"/>
    <x v="1"/>
    <x v="18"/>
    <x v="2"/>
  </r>
  <r>
    <s v="Asus VivoBook Go E1504FA-LK522WS Laptop (AMD Quad Core Ryzen 5/8 GB/512 GB SSD/Windows 11)"/>
    <s v="Asus VivoBook Go E1504FA-LK522WS Laptop (AMD Quad Core Ryzen 5/8 GB/512 GB SSD/Windows 11) price in India"/>
    <x v="169"/>
    <n v="1452"/>
    <n v="88"/>
    <x v="0"/>
    <d v="2023-03-01T00:00:00"/>
    <s v="AMD Quad-Core Ryzen 5 (7520U) 4.3 Ghz"/>
    <s v="Windows 11"/>
    <x v="20"/>
    <s v="15.6&quot; (39.62 cm), 1920 x 1080 px, OLED Display"/>
    <s v="Web Camera"/>
    <s v="Slim 17.9 mm"/>
    <m/>
    <m/>
    <n v="71"/>
    <x v="2"/>
    <x v="18"/>
    <x v="2"/>
  </r>
  <r>
    <s v="Asus Vivobook 16 M1605YA-MB541WS Laptop (AMD Hexa Core Ryzen 5/16 GB/512 GB SSD/Windows 11)"/>
    <s v="Asus Vivobook 16 M1605YA-MB541WS Laptop (AMD Hexa Core Ryzen 5/16 GB/512 GB SSD/Windows 11) price in India"/>
    <x v="121"/>
    <n v="285"/>
    <n v="88"/>
    <x v="0"/>
    <d v="2023-03-01T00:00:00"/>
    <s v="AMD Quad-Core Ryzen 5 (7520U) 4.3 Ghz"/>
    <s v="Windows 11"/>
    <x v="2"/>
    <s v="16&quot; (40.64 cm), 1920 x 1200 px, IPS LCD Display"/>
    <s v="Web Camera"/>
    <s v="Slim 19.9 mm"/>
    <s v="HDMI Port"/>
    <m/>
    <m/>
    <x v="2"/>
    <x v="18"/>
    <x v="0"/>
  </r>
  <r>
    <s v="Asus Zenbook 14 OLED UM3402YA-KM551WS Laptop (AMD Hexa Core Ryzen 5/16 GB/1 TB SSD/Windows 11)"/>
    <s v="Asus Zenbook 14 OLED UM3402YA-KM551WS Laptop (AMD Hexa Core Ryzen 5/16 GB/1 TB SSD/Windows 11) price in India"/>
    <x v="106"/>
    <n v="37"/>
    <n v="88"/>
    <x v="0"/>
    <d v="2023-03-01T00:00:00"/>
    <s v="AMD Quad-Core Ryzen 5 (7520U) 4.3 Ghz"/>
    <s v="Windows 11"/>
    <x v="36"/>
    <s v="14&quot; (35.56 cm), 2880 x 1800 px, OLED Display"/>
    <s v="Web Camera"/>
    <s v="Slim 16.9 mm"/>
    <m/>
    <m/>
    <n v="72"/>
    <x v="2"/>
    <x v="18"/>
    <x v="0"/>
  </r>
  <r>
    <s v="HP Pavilion Aero 13-be2047AU (7S450PA) Laptop (AMD Octa Core Ryzen 7/16 GB/1 TB SSD/Windows 11)"/>
    <s v="HP Pavilion Aero 13-be2047AU (7S450PA) Laptop (AMD Octa Core Ryzen 7/16 GB/1 TB SSD/Windows 11) price in India"/>
    <x v="212"/>
    <n v="143"/>
    <n v="88"/>
    <x v="0"/>
    <d v="2023-03-01T00:00:00"/>
    <s v="AMD Quad-Core Ryzen 5 (7520U) 4.3 Ghz"/>
    <s v="Windows 11"/>
    <x v="10"/>
    <s v="13.3&quot; (33.78 cm), 1920 x 1200 px, IPS LCD Display"/>
    <s v="Web Camera"/>
    <m/>
    <s v="HDMI Port"/>
    <m/>
    <n v="77"/>
    <x v="7"/>
    <x v="18"/>
    <x v="0"/>
  </r>
  <r>
    <s v="Asus Vivobook 16 M1605YA-MB531WS Laptop (AMD Hexa Core Ryzen 5/8 GB/1 TB SSD/Windows 11)"/>
    <s v="Asus Vivobook 16 M1605YA-MB531WS Laptop (AMD Hexa Core Ryzen 5/8 GB/1 TB SSD/Windows 11) price in India"/>
    <x v="124"/>
    <n v="88"/>
    <n v="88"/>
    <x v="0"/>
    <d v="2023-03-01T00:00:00"/>
    <s v="AMD Quad-Core Ryzen 5 (7520U) 4.3 Ghz"/>
    <s v="Windows 11"/>
    <x v="14"/>
    <s v="16&quot; (40.64 cm), 1920 x 1200 px, IPS LCD Display"/>
    <s v="Web Camera"/>
    <s v="Slim 19.9 mm"/>
    <m/>
    <m/>
    <m/>
    <x v="2"/>
    <x v="18"/>
    <x v="2"/>
  </r>
  <r>
    <s v="Samsung Galaxy Book 3 NP750XFG-KA3IN Laptop (Core i7 13th Gen/16 GB/512 GB SSD/Windows 11)"/>
    <s v="Samsung Galaxy Book 3 NP750XFG-KA3IN Laptop (Core i7 13th Gen/16 GB/512 GB SSD/Windows 11) price in India"/>
    <x v="62"/>
    <n v="602"/>
    <n v="88"/>
    <x v="0"/>
    <d v="2023-03-01T00:00:00"/>
    <s v="AMD Quad-Core Ryzen 5 (7520U) 4.3 Ghz"/>
    <s v="Windows 11"/>
    <x v="30"/>
    <s v="15.6&quot; (39.62 cm), 1920 x 1080 px, IPS LCD Display"/>
    <s v="Web Camera"/>
    <s v="Slim 15.4 mm"/>
    <s v="HDMI Port"/>
    <m/>
    <n v="76"/>
    <x v="8"/>
    <x v="18"/>
    <x v="0"/>
  </r>
  <r>
    <s v="Samsung Galaxy Book 3 NP750XFG-KA2IN Laptop (Core i5 13th Gen/16 GB/512 GB SSD/Windows 11)"/>
    <s v="Samsung Galaxy Book 3 NP750XFG-KA2IN Laptop (Core i5 13th Gen/16 GB/512 GB SSD/Windows 11) price in India"/>
    <x v="107"/>
    <n v="976"/>
    <n v="88"/>
    <x v="0"/>
    <d v="2023-03-01T00:00:00"/>
    <s v="AMD Quad-Core Ryzen 5 (7520U) 4.3 Ghz"/>
    <s v="Windows 11"/>
    <x v="30"/>
    <s v="15.6&quot; (39.62 cm), 1920 x 1080 px, IPS LCD Display"/>
    <s v="Web Camera"/>
    <s v="Slim 15.4 mm"/>
    <s v="HDMI Port"/>
    <m/>
    <n v="75"/>
    <x v="8"/>
    <x v="18"/>
    <x v="0"/>
  </r>
  <r>
    <s v="HP Victus 15-fb0888AX (7K0C4PA) Laptop (AMD Hexa Core Ryzen 5/8 GB/512 GB SSD/Windows 11/4 GB)"/>
    <s v="HP Victus 15-fb0888AX (7K0C4PA) Laptop (AMD Hexa Core Ryzen 5/8 GB/512 GB SSD/Windows 11/4 GB) price in India"/>
    <x v="292"/>
    <n v="136"/>
    <n v="88"/>
    <x v="0"/>
    <d v="2023-02-01T00:00:00"/>
    <s v="Apple M2 3.5 Ghz, Octa-Core"/>
    <s v="Windows 11"/>
    <x v="5"/>
    <s v="15.6&quot; (39.62 cm), 1920 x 1080 px, IPS LCD Display"/>
    <s v="Web Camera"/>
    <m/>
    <m/>
    <m/>
    <n v="76"/>
    <x v="7"/>
    <x v="19"/>
    <x v="2"/>
  </r>
  <r>
    <s v="MSI Katana 15 B12VFK-299IN Laptop (Core i7 12th Gen/16 GB/1 TB SSD/Windows 11/8 GB)"/>
    <s v="MSI Katana 15 B12VFK-299IN Laptop (Core i7 12th Gen/16 GB/1 TB SSD/Windows 11/8 GB) price in India"/>
    <x v="293"/>
    <n v="24"/>
    <n v="88"/>
    <x v="0"/>
    <d v="2023-02-01T00:00:00"/>
    <s v="Apple M2 3.5 Ghz, Octa-Core"/>
    <s v="Windows 11"/>
    <x v="10"/>
    <s v="15.6&quot; (39.62 cm), 1920 x 1080 px, IPS LCD Display"/>
    <s v="Web Camera"/>
    <m/>
    <s v="HDMI Port"/>
    <m/>
    <m/>
    <x v="3"/>
    <x v="19"/>
    <x v="0"/>
  </r>
  <r>
    <s v="Asus VivoBook Go 15 OLED E1504FA-LK321WS Laptop (AMD Quad Core Ryzen 3/8 GB/512 GB SSD/Windows 11)"/>
    <s v="Asus VivoBook Go 15 OLED E1504FA-LK321WS Laptop (AMD Quad Core Ryzen 3/8 GB/512 GB SSD/Windows 11) price in India"/>
    <x v="155"/>
    <n v="1826"/>
    <n v="88"/>
    <x v="0"/>
    <d v="2023-02-01T00:00:00"/>
    <s v="Apple M2 3.5 Ghz, Octa-Core"/>
    <s v="Windows 11"/>
    <x v="20"/>
    <s v="15.6&quot; (39.62 cm), 1920 x 1080 px, OLED Display"/>
    <s v="Web Camera"/>
    <s v="Slim 17.9 mm"/>
    <s v="HDMI Port"/>
    <m/>
    <n v="77"/>
    <x v="2"/>
    <x v="19"/>
    <x v="2"/>
  </r>
  <r>
    <s v="Asus VivoBook Go 15 OLED E1504FA-LK523WS Laptop (AMD Quad Core Ryzen 5/8 GB/512 GB SSD/Windows 11)"/>
    <s v="Asus VivoBook Go 15 OLED E1504FA-LK523WS Laptop (AMD Quad Core Ryzen 5/8 GB/512 GB SSD/Windows 11) price in India"/>
    <x v="169"/>
    <n v="1452"/>
    <n v="88"/>
    <x v="0"/>
    <d v="2023-02-01T00:00:00"/>
    <s v="Apple M2 3.5 Ghz, Octa-Core"/>
    <s v="Windows 11"/>
    <x v="20"/>
    <s v="15.6&quot; (39.62 cm), 1920 x 1080 px, OLED Display"/>
    <s v="Web Camera"/>
    <s v="Slim 17.9 mm"/>
    <s v="HDMI Port"/>
    <m/>
    <n v="77"/>
    <x v="2"/>
    <x v="19"/>
    <x v="2"/>
  </r>
  <r>
    <s v="MSI GF65 Thin 10UE-410IN Laptop (Core i7 10th Gen/16 GB/1 TB SSD/Windows 10/6 GB)"/>
    <s v="MSI GF65 Thin 10UE-410IN Laptop (Core i7 10th Gen/16 GB/1 TB SSD/Windows 10/6 GB) price in India"/>
    <x v="294"/>
    <n v="1012"/>
    <n v="88"/>
    <x v="0"/>
    <d v="2022-11-01T00:00:00"/>
    <s v="Apple M2 Max 3.7 Ghz"/>
    <s v="Windows 10"/>
    <x v="23"/>
    <s v="15.6&quot; (39.62 cm), 1920 x 1080 px, LED Display"/>
    <s v="Web Camera"/>
    <s v="Slim 21.7 mm"/>
    <s v="HDMI Port"/>
    <s v="1 USB Ports"/>
    <m/>
    <x v="3"/>
    <x v="19"/>
    <x v="0"/>
  </r>
  <r>
    <s v="Dell Inspiron 14 5406 (D560384WIN9S) Laptop (Core i3 11th Gen/8 GB/512 GB SSD/Windows 10)"/>
    <s v="Dell Inspiron 14 5406 (D560384WIN9S) Laptop (Core i3 11th Gen/8 GB/512 GB SSD/Windows 10) price in India"/>
    <x v="295"/>
    <n v="65"/>
    <n v="88"/>
    <x v="0"/>
    <d v="2022-11-01T00:00:00"/>
    <s v="Apple M2 Max 3.7 Ghz"/>
    <s v="Windows 10"/>
    <x v="5"/>
    <s v="14&quot; (35.56 cm), 1920 x 1080 px, LED Display"/>
    <s v="Web Camera"/>
    <s v="Slim 19 mm"/>
    <s v="HDMI Port"/>
    <s v="2 USB Ports"/>
    <m/>
    <x v="6"/>
    <x v="19"/>
    <x v="2"/>
  </r>
  <r>
    <s v="HP Pavilion x360 14-dy0053TU (3X8X2PA) Laptop (Core i5 11th Gen/16 GB/512 GB SSD/Windows 10)"/>
    <s v="HP Pavilion x360 14-dy0053TU (3X8X2PA) Laptop (Core i5 11th Gen/16 GB/512 GB SSD/Windows 10) price in India"/>
    <x v="296"/>
    <n v="518"/>
    <n v="88"/>
    <x v="0"/>
    <d v="2022-11-01T00:00:00"/>
    <s v="Apple M2 Pro 3.5 Ghz"/>
    <s v="Windows 10"/>
    <x v="2"/>
    <s v="14&quot; (35.56 cm), 1920 x 1080 px, LED Display"/>
    <s v="Web Camera"/>
    <s v="Slim 20.6 mm"/>
    <s v="HDMI Port"/>
    <m/>
    <n v="73"/>
    <x v="7"/>
    <x v="19"/>
    <x v="0"/>
  </r>
  <r>
    <s v="Acer Aspire 3 A315-23 (NX.HVUSI.00K) Laptop (AMD Quad Core Ryzen 5/8 GB/512 GB SSD/Windows 10)"/>
    <s v="Acer Aspire 3 A315-23 (NX.HVUSI.00K) Laptop (AMD Quad Core Ryzen 5/8 GB/512 GB SSD/Windows 10) price in India"/>
    <x v="155"/>
    <n v="382"/>
    <n v="88"/>
    <x v="0"/>
    <d v="2022-11-01T00:00:00"/>
    <s v="Apple M2 Pro 3.5 Ghz"/>
    <s v="Windows 10"/>
    <x v="5"/>
    <s v="15.6&quot; (39.62 cm), 1920 x 1080 px, LED Display"/>
    <s v="Web Camera"/>
    <s v="Slim 19.9 mm"/>
    <s v="HDMI Port"/>
    <m/>
    <m/>
    <x v="1"/>
    <x v="19"/>
    <x v="2"/>
  </r>
  <r>
    <s v="MSI GP76 Leopard 11UG-609IN Laptop (Core i7 11th Gen/16 GB/1 TB SSD/Windows 10/8 GB)"/>
    <s v="MSI GP76 Leopard 11UG-609IN Laptop (Core i7 11th Gen/16 GB/1 TB SSD/Windows 10/8 GB) price in India"/>
    <x v="105"/>
    <n v="29"/>
    <n v="88"/>
    <x v="0"/>
    <d v="2022-11-01T00:00:00"/>
    <s v="Apple M2 Pro 3.5 Ghz"/>
    <s v="Windows 10"/>
    <x v="23"/>
    <s v="17.3&quot; (43.94 cm), 1920 x 1080 px, LED Display"/>
    <s v="Web Camera"/>
    <m/>
    <s v="HDMI Port"/>
    <m/>
    <n v="82"/>
    <x v="3"/>
    <x v="19"/>
    <x v="0"/>
  </r>
  <r>
    <s v="MSI GS66 Stealth 11UG-418IN Laptop (Core i7 11th Gen/16 GB/1 TB SSD/Windows 10/16 GB)"/>
    <s v="MSI GS66 Stealth 11UG-418IN Laptop (Core i7 11th Gen/16 GB/1 TB SSD/Windows 10/16 GB) price in India"/>
    <x v="297"/>
    <n v="7"/>
    <n v="88"/>
    <x v="0"/>
    <d v="2022-11-01T00:00:00"/>
    <s v="Apple M2 Pro 3.5 Ghz"/>
    <s v="Windows 10"/>
    <x v="23"/>
    <s v="15.6&quot; (39.62 cm), 2560 x 1440 px, LED Display"/>
    <s v="Web Camera"/>
    <s v="Slim 19.8 mm"/>
    <s v="HDMI Port"/>
    <m/>
    <n v="86"/>
    <x v="3"/>
    <x v="19"/>
    <x v="0"/>
  </r>
  <r>
    <s v="Asus VivoBook 15 OLED X1505ZA-L1311WS Laptop (Core i3 12th Gen/8 GB/512 GB SSD/Windows 11)"/>
    <s v="Asus VivoBook 15 OLED X1505ZA-L1311WS Laptop (Core i3 12th Gen/8 GB/512 GB SSD/Windows 11) price in India"/>
    <x v="298"/>
    <n v="317"/>
    <n v="88"/>
    <x v="0"/>
    <d v="2022-10-01T00:00:00"/>
    <s v="Apple M2 Pro 3.5 Ghz"/>
    <s v="Windows 11"/>
    <x v="5"/>
    <s v="15.6&quot; (39.62 cm), 1920 x 1080 px, OLED Display"/>
    <s v="Web Camera"/>
    <s v="Slim 19.9 mm"/>
    <s v="HDMI Port"/>
    <m/>
    <n v="72"/>
    <x v="2"/>
    <x v="19"/>
    <x v="2"/>
  </r>
  <r>
    <s v="Dell Inspiron 14 7420 (D560918WIN9S) Laptop (Core i5 12th Gen/8 GB/512 GB SSD/Windows 11)"/>
    <s v="Dell Inspiron 14 7420 (D560918WIN9S) Laptop (Core i5 12th Gen/8 GB/512 GB SSD/Windows 11) price in India"/>
    <x v="299"/>
    <n v="43"/>
    <n v="88"/>
    <x v="0"/>
    <d v="2022-10-01T00:00:00"/>
    <s v="Apple M2 Pro 3.5 Ghz, Deca-Core"/>
    <s v="Windows 11"/>
    <x v="5"/>
    <s v="14&quot; (35.56 cm), 1920 x 1200 px, IPS LCD Display"/>
    <s v="Web Camera"/>
    <s v="Slim 18 mm"/>
    <s v="HDMI Port"/>
    <m/>
    <n v="75"/>
    <x v="6"/>
    <x v="19"/>
    <x v="2"/>
  </r>
  <r>
    <s v="Asus Vivobook 16X M1603QA-MB712WS Laptop (AMD Octa Core Ryzen 7/16 GB/512 GB SSD/Windows 11)"/>
    <s v="Asus Vivobook 16X M1603QA-MB712WS Laptop (AMD Octa Core Ryzen 7/16 GB/512 GB SSD/Windows 11) price in India"/>
    <x v="300"/>
    <n v="56"/>
    <n v="88"/>
    <x v="0"/>
    <d v="2022-10-01T00:00:00"/>
    <s v="Apple M2, Octa-Core"/>
    <s v="Windows 11"/>
    <x v="2"/>
    <s v="16&quot; (40.64 cm), 1920 x 1200 px, IPS LCD Display"/>
    <s v="Web Camera"/>
    <s v="Slim 19.9 mm"/>
    <s v="HDMI Port"/>
    <m/>
    <n v="71"/>
    <x v="2"/>
    <x v="19"/>
    <x v="0"/>
  </r>
  <r>
    <s v="Asus TUF Gaming A15 FA506QM-HN008W Laptop (AMD Octa Core Ryzen 7/16 GB/512 GB SSD/Windows 11/6 GB)"/>
    <s v="Asus TUF Gaming A15 FA506QM-HN008W Laptop (AMD Octa Core Ryzen 7/16 GB/512 GB SSD/Windows 11/6 GB) price in India"/>
    <x v="30"/>
    <n v="374"/>
    <n v="88"/>
    <x v="0"/>
    <d v="2022-09-01T00:00:00"/>
    <s v="Apple M2, Octa-Core"/>
    <s v="Windows 11"/>
    <x v="2"/>
    <s v="15.6&quot; (39.62 cm), 1920 x 1080 px, IPS LCD Display"/>
    <s v="Web Camera"/>
    <m/>
    <s v="HDMI Port"/>
    <m/>
    <n v="82"/>
    <x v="2"/>
    <x v="19"/>
    <x v="0"/>
  </r>
  <r>
    <s v="Asus VivoBook 14 X1402ZA-EK391WS Laptop (Core i3 12th Gen/8 GB/256 GB SSD/Windows 11)"/>
    <s v="Asus VivoBook 14 X1402ZA-EK391WS Laptop (Core i3 12th Gen/8 GB/256 GB SSD/Windows 11) price in India"/>
    <x v="21"/>
    <n v="70"/>
    <n v="88"/>
    <x v="0"/>
    <d v="2022-09-01T00:00:00"/>
    <s v="Apple M3 4.1 Ghz, Octa-Core"/>
    <s v="Windows 11"/>
    <x v="38"/>
    <s v="14&quot; (35.56 cm), 1920 x 1080 px, IPS LCD Display"/>
    <s v="Web Camera"/>
    <s v="Slim 19.9 mm"/>
    <s v="HDMI Port"/>
    <m/>
    <n v="72"/>
    <x v="2"/>
    <x v="20"/>
    <x v="2"/>
  </r>
  <r>
    <s v="MSI Crosshair 15 B12UGZ-1012IN Laptop (Core i7 12th Gen/16 GB/1 TB SSD/Windows 11/8 GB)"/>
    <s v="MSI Crosshair 15 B12UGZ-1012IN Laptop (Core i7 12th Gen/16 GB/1 TB SSD/Windows 11/8 GB) price in India"/>
    <x v="301"/>
    <n v="41"/>
    <n v="88"/>
    <x v="0"/>
    <d v="2022-09-01T00:00:00"/>
    <s v="Apple M3 4.1 Ghz, Octa-Core"/>
    <s v="Windows 11"/>
    <x v="23"/>
    <s v="15.6&quot; (39.62 cm), 2560 x 1440 px Display"/>
    <s v="Web Camera"/>
    <m/>
    <s v="HDMI Port"/>
    <m/>
    <n v="86"/>
    <x v="3"/>
    <x v="20"/>
    <x v="0"/>
  </r>
  <r>
    <s v="MSI GF63 Thin 11SC-1046IN Laptop (Core i5 11th Gen/8 GB/512 GB SSD/Windows 11/4 GB)"/>
    <s v="MSI GF63 Thin 11SC-1046IN Laptop (Core i5 11th Gen/8 GB/512 GB SSD/Windows 11/4 GB) price in India"/>
    <x v="275"/>
    <n v="1156"/>
    <n v="88"/>
    <x v="0"/>
    <d v="2022-09-01T00:00:00"/>
    <s v="Apple M3 4.1 Ghz, Octa-Core"/>
    <s v="Windows 11"/>
    <x v="5"/>
    <s v="15.6&quot; (39.62 cm), 1920 x 1080 px, IPS LCD Display"/>
    <s v="Web Camera"/>
    <s v="Slim 21.7 mm"/>
    <s v="HDMI Port"/>
    <m/>
    <n v="75"/>
    <x v="3"/>
    <x v="20"/>
    <x v="2"/>
  </r>
  <r>
    <s v="MSI Pulse GL66 12UEK-898IN Laptop (Intel Core i9 12th Gen/16 GB/1 TB SSD/Windows 11/6 GB)"/>
    <s v="MSI Pulse GL66 12UEK-898IN Laptop (Intel Core i9 12th Gen/16 GB/1 TB SSD/Windows 11/6 GB) price in India"/>
    <x v="302"/>
    <n v="94"/>
    <n v="88"/>
    <x v="0"/>
    <d v="2022-09-01T00:00:00"/>
    <s v="Apple M3 4.1 Ghz, Octa-Core"/>
    <s v="Windows 11"/>
    <x v="23"/>
    <s v="15.6&quot; (39.62 cm), 2560 x 1440 px Display"/>
    <s v="Web Camera"/>
    <m/>
    <s v="HDMI Port"/>
    <m/>
    <n v="85"/>
    <x v="3"/>
    <x v="20"/>
    <x v="0"/>
  </r>
  <r>
    <s v="Asus TUF Gaming F15 FX506LHB-HN358W Laptop (Core i5 10th Gen/8 GB/512 GB SSD/Windows 11/4 GB)"/>
    <s v="Asus TUF Gaming F15 FX506LHB-HN358W Laptop (Core i5 10th Gen/8 GB/512 GB SSD/Windows 11/4 GB) price in India"/>
    <x v="303"/>
    <n v="7028"/>
    <n v="88"/>
    <x v="0"/>
    <d v="2022-09-01T00:00:00"/>
    <s v="Apple M3 4.1 Ghz, Octa-Core"/>
    <s v="Windows 11"/>
    <x v="5"/>
    <s v="15.6&quot; (39.62 cm), 1920 x 1080 px, IPS LCD Display"/>
    <s v="Web Camera"/>
    <m/>
    <s v="HDMI Port"/>
    <m/>
    <n v="75"/>
    <x v="2"/>
    <x v="20"/>
    <x v="2"/>
  </r>
  <r>
    <s v="Asus VivoBook Pro 15 OLED K6500ZC-L502WS Laptop (Core i5 12th Gen/16 GB/512 GB SSD/Windows 11/4 GB)"/>
    <s v="Asus VivoBook Pro 15 OLED K6500ZC-L502WS Laptop (Core i5 12th Gen/16 GB/512 GB SSD/Windows 11/4 GB) price in India"/>
    <x v="66"/>
    <n v="191"/>
    <n v="88"/>
    <x v="0"/>
    <d v="2022-09-01T00:00:00"/>
    <s v="Apple M3 4.1 Ghz, Octa-Core"/>
    <s v="Windows 11"/>
    <x v="17"/>
    <s v="15.6&quot; (39.62 cm), 1920 x 1080 px, OLED Display"/>
    <s v="Web Camera"/>
    <s v="Slim 19.9 mm"/>
    <s v="HDMI Port"/>
    <m/>
    <n v="81"/>
    <x v="2"/>
    <x v="20"/>
    <x v="0"/>
  </r>
  <r>
    <s v="HP Omen 16-n0050AX (6H4N6PA) Laptop (AMD Octa Core Ryzen 7/16 GB/512 GB SSD/Windows 11/4 GB)"/>
    <s v="HP Omen 16-n0050AX (6H4N6PA) Laptop (AMD Octa Core Ryzen 7/16 GB/512 GB SSD/Windows 11/4 GB) price in India"/>
    <x v="304"/>
    <n v="14"/>
    <n v="88"/>
    <x v="0"/>
    <d v="2022-08-01T00:00:00"/>
    <s v="Apple M3 4.1 Ghz, Octa-Core"/>
    <s v="Windows 11"/>
    <x v="6"/>
    <s v="16.1&quot; (40.89 cm), 1920 x 1080 px, IPS LCD Display"/>
    <s v="Web Camera"/>
    <m/>
    <s v="HDMI Port"/>
    <m/>
    <n v="81"/>
    <x v="7"/>
    <x v="20"/>
    <x v="0"/>
  </r>
  <r>
    <s v="Asus ZenBook Pro 14 Duo OLED UX8402ZA-M501WS Laptop (Core i5 12th Gen/16 GB/512 GB SSD/Windows 11)"/>
    <s v="Asus ZenBook Pro 14 Duo OLED UX8402ZA-M501WS Laptop (Core i5 12th Gen/16 GB/512 GB SSD/Windows 11) price in India"/>
    <x v="305"/>
    <n v="11"/>
    <n v="88"/>
    <x v="0"/>
    <d v="2022-08-01T00:00:00"/>
    <s v="Apple M3 4.1 Ghz, Octa-Core"/>
    <s v="Windows 11"/>
    <x v="17"/>
    <s v="14.5&quot; (36.83 cm), 2880 x 1800 px, OLED Display"/>
    <s v="Web Camera"/>
    <s v="Slim 17.9 mm"/>
    <s v="HDMI Port"/>
    <m/>
    <n v="78"/>
    <x v="2"/>
    <x v="20"/>
    <x v="0"/>
  </r>
  <r>
    <s v="Lenovo Ideapad Slim 3 15IIL05 (81WE01QSIN) Laptop (Core i3 10th Gen/4 GB/256 GB SSD/Windows 11)"/>
    <s v="Lenovo Ideapad Slim 3 15IIL05 (81WE01QSIN) Laptop (Core i3 10th Gen/4 GB/256 GB SSD/Windows 11) price in India"/>
    <x v="306"/>
    <n v="147"/>
    <n v="88"/>
    <x v="0"/>
    <d v="2022-08-01T00:00:00"/>
    <s v="Apple M3 4.1 Ghz, Octa-Core"/>
    <s v="Windows 11"/>
    <x v="52"/>
    <s v="15.6&quot; (39.62 cm), 1920 x 1080 px, IPS LCD Display"/>
    <s v="Web Camera"/>
    <s v="Slim 19.9 mm"/>
    <s v="HDMI Port"/>
    <m/>
    <m/>
    <x v="5"/>
    <x v="20"/>
    <x v="7"/>
  </r>
  <r>
    <s v="MSI Modern 14 B5M-242IN Laptop (AMD Hexa Core Ryzen 5/8 GB/512 GB SSD/Windows 11)"/>
    <s v="MSI Modern 14 B5M-242IN Laptop (AMD Hexa Core Ryzen 5/8 GB/512 GB SSD/Windows 11) price in India"/>
    <x v="285"/>
    <n v="3494"/>
    <n v="88"/>
    <x v="0"/>
    <d v="2022-08-01T00:00:00"/>
    <s v="Apple M3 4.1 Ghz, Octa-Core"/>
    <s v="Windows 11"/>
    <x v="5"/>
    <s v="14&quot; (35.56 cm), 1920 x 1080 px, IPS LCD Display"/>
    <s v="Web Camera"/>
    <s v="Slim 18.1 mm"/>
    <s v="HDMI Port"/>
    <m/>
    <m/>
    <x v="3"/>
    <x v="20"/>
    <x v="2"/>
  </r>
  <r>
    <s v="Asus VivoBook Pro 15 OLED K6500ZC-L501WS Laptop (Core i5 12th Gen/16 GB/512 GB SSD/Windows 11/4 GB)"/>
    <s v="Asus VivoBook Pro 15 OLED K6500ZC-L501WS Laptop (Core i5 12th Gen/16 GB/512 GB SSD/Windows 11/4 GB) price in India"/>
    <x v="307"/>
    <n v="192"/>
    <n v="88"/>
    <x v="0"/>
    <d v="2022-08-01T00:00:00"/>
    <s v="Apple M3 4.1 Ghz, Octa-Core"/>
    <s v="Windows 11"/>
    <x v="17"/>
    <s v="15.6&quot; (39.62 cm), 1920 x 1080 px, OLED Display"/>
    <s v="Web Camera"/>
    <s v="Slim 19.9 mm"/>
    <s v="HDMI Port"/>
    <m/>
    <n v="81"/>
    <x v="2"/>
    <x v="20"/>
    <x v="0"/>
  </r>
  <r>
    <s v="Dell Vostro 5620 (D552268WIN9S) Laptop (Core i5 12th Gen/8 GB/512 GB SSD/Windows 11)"/>
    <s v="Dell Vostro 5620 (D552268WIN9S) Laptop (Core i5 12th Gen/8 GB/512 GB SSD/Windows 11) price in India"/>
    <x v="121"/>
    <n v="21"/>
    <n v="88"/>
    <x v="0"/>
    <d v="2022-08-01T00:00:00"/>
    <s v="Apple M3 4.1 Ghz, Octa-Core"/>
    <s v="Windows 11"/>
    <x v="5"/>
    <s v="16&quot; (40.64 cm), 1920 x 1080 px Display"/>
    <s v="Web Camera"/>
    <s v="Slim 18.2 mm"/>
    <s v="HDMI Port"/>
    <m/>
    <n v="74"/>
    <x v="6"/>
    <x v="20"/>
    <x v="2"/>
  </r>
  <r>
    <s v="MSI Katana GF66 12UC-636IN Laptop (Core i5 12th Gen/8 GB/512 GB SSD/Windows 11/4 GB)"/>
    <s v="MSI Katana GF66 12UC-636IN Laptop (Core i5 12th Gen/8 GB/512 GB SSD/Windows 11/4 GB) price in India"/>
    <x v="308"/>
    <n v="46"/>
    <n v="88"/>
    <x v="0"/>
    <d v="2022-08-01T00:00:00"/>
    <s v="Apple M3 4.1 Ghz, Octa-Core"/>
    <s v="Windows 11"/>
    <x v="5"/>
    <s v="15.6&quot; (39.62 cm), 1920 x 1080 px, IPS LCD Display"/>
    <s v="Web Camera"/>
    <m/>
    <s v="HDMI Port"/>
    <m/>
    <n v="79"/>
    <x v="3"/>
    <x v="20"/>
    <x v="2"/>
  </r>
  <r>
    <s v="Asus VivoBook 15 X712EA-AU511WS Laptop (Core i5 11th Gen/16 GB/1 TB 256 GB SSD/Windows 11)"/>
    <s v="Asus VivoBook 15 X712EA-AU511WS Laptop (Core i5 11th Gen/16 GB/1 TB 256 GB SSD/Windows 11) price in India"/>
    <x v="163"/>
    <n v="197"/>
    <n v="88"/>
    <x v="0"/>
    <d v="2022-08-01T00:00:00"/>
    <s v="Apple M3 4.1 Ghz, Octa-Core"/>
    <s v="Windows 11"/>
    <x v="34"/>
    <s v="17.3&quot; (43.94 cm), 1920 x 1080 px, IPS LCD Display"/>
    <s v="Web Camera"/>
    <s v="Slim 21.4 mm"/>
    <s v="HDMI Port"/>
    <m/>
    <n v="71"/>
    <x v="2"/>
    <x v="20"/>
    <x v="0"/>
  </r>
  <r>
    <s v="Asus Vivobook K15 OLED KM513UA-L511WS Laptop (AMD Hexa Core Ryzen 5/16 GB/512 GB SSD/Windows 11)"/>
    <s v="Asus Vivobook K15 OLED KM513UA-L511WS Laptop (AMD Hexa Core Ryzen 5/16 GB/512 GB SSD/Windows 11) price in India"/>
    <x v="247"/>
    <n v="1871"/>
    <n v="88"/>
    <x v="0"/>
    <d v="2022-08-01T00:00:00"/>
    <s v="Apple M3 4.1 Ghz, Octa-Core"/>
    <s v="Windows 11"/>
    <x v="2"/>
    <s v="15.6&quot; (39.62 cm), 1920 x 1080 px, OLED Display"/>
    <s v="Web Camera"/>
    <s v="Slim 18.6 mm"/>
    <s v="HDMI Port"/>
    <m/>
    <m/>
    <x v="2"/>
    <x v="20"/>
    <x v="0"/>
  </r>
  <r>
    <s v="Asus ROG Flow X13 GV301RA-LJ031WS Laptop (AMD Octa Core Ryzen 7/16 GB/1 TB SSD/Windows 11)"/>
    <s v="Asus ROG Flow X13 GV301RA-LJ031WS Laptop (AMD Octa Core Ryzen 7/16 GB/1 TB SSD/Windows 11) price in India"/>
    <x v="25"/>
    <n v="17"/>
    <n v="88"/>
    <x v="0"/>
    <d v="2022-07-01T00:00:00"/>
    <s v="Apple M3 4.1 Ghz, Octa-Core"/>
    <s v="Windows 11"/>
    <x v="21"/>
    <s v="13.4&quot; (34.04 cm), 1920 x 1200 px, IPS LCD Display"/>
    <s v="Web Camera"/>
    <s v="Slim 16.9 mm"/>
    <s v="HDMI Port"/>
    <m/>
    <n v="78"/>
    <x v="2"/>
    <x v="20"/>
    <x v="0"/>
  </r>
  <r>
    <s v="Asus ROG Zephyrus G15 GA503RM-HQ142WS Laptop (AMD Octa Core Ryzen 7/16 GB/1 TB SSD/Windows 11/6 GB)"/>
    <s v="Asus ROG Zephyrus G15 GA503RM-HQ142WS Laptop (AMD Octa Core Ryzen 7/16 GB/1 TB SSD/Windows 11/6 GB) price in India"/>
    <x v="309"/>
    <n v="10"/>
    <n v="88"/>
    <x v="0"/>
    <d v="2022-07-01T00:00:00"/>
    <s v="Apple M3 4.1 Ghz, Octa-Core"/>
    <s v="Windows 11"/>
    <x v="10"/>
    <s v="15.6&quot; (39.62 cm), 2560 x 1440 px Display"/>
    <s v="Web Camera"/>
    <s v="Slim 20 mm"/>
    <s v="HDMI Port"/>
    <m/>
    <n v="85"/>
    <x v="2"/>
    <x v="20"/>
    <x v="0"/>
  </r>
  <r>
    <s v="HP Pavilion 14-dv2054TU (6K9C7PA) Laptop (Core i5 12th Gen/16 GB/512 GB SSD/Windows 11)"/>
    <s v="HP Pavilion 14-dv2054TU (6K9C7PA) Laptop (Core i5 12th Gen/16 GB/512 GB SSD/Windows 11) price in India"/>
    <x v="108"/>
    <n v="32"/>
    <n v="88"/>
    <x v="0"/>
    <d v="2022-07-01T00:00:00"/>
    <s v="Apple M3 4.1 Ghz, Octa-Core"/>
    <s v="Windows 11"/>
    <x v="2"/>
    <s v="14&quot; (35.56 cm), 1920 x 1080 px Display"/>
    <s v="Web Camera"/>
    <s v="Slim 17 mm"/>
    <s v="HDMI Port"/>
    <s v="2 USB Ports"/>
    <n v="76"/>
    <x v="7"/>
    <x v="20"/>
    <x v="0"/>
  </r>
  <r>
    <s v="Asus VivoBook Flip 14 TP470EA-EC511WS Laptop (Core i5 11th Gen/8 GB/512 GB SSD/Windows 11)"/>
    <s v="Asus VivoBook Flip 14 TP470EA-EC511WS Laptop (Core i5 11th Gen/8 GB/512 GB SSD/Windows 11) price in India"/>
    <x v="21"/>
    <n v="148"/>
    <n v="88"/>
    <x v="0"/>
    <d v="2022-07-01T00:00:00"/>
    <s v="Apple M3 4.1 Ghz, Octa-Core"/>
    <s v="Windows 11"/>
    <x v="5"/>
    <s v="14&quot; (35.56 cm), 1920 x 1080 px, LED Display"/>
    <s v="Web Camera"/>
    <s v="Slim 18 mm"/>
    <s v="HDMI Port"/>
    <s v="2 USB Ports"/>
    <m/>
    <x v="2"/>
    <x v="20"/>
    <x v="2"/>
  </r>
  <r>
    <s v="Asus TUF Gaming F15 FX506LHB-HN355WS Laptop (Core i5 10th Gen/8 GB/512 GB SSD/Windows 11/4 GB)"/>
    <s v="Asus TUF Gaming F15 FX506LHB-HN355WS Laptop (Core i5 10th Gen/8 GB/512 GB SSD/Windows 11/4 GB) price in India"/>
    <x v="310"/>
    <n v="6392"/>
    <n v="88"/>
    <x v="0"/>
    <d v="2022-07-01T00:00:00"/>
    <s v="Apple M3 4.1 Ghz, Octa-Core"/>
    <s v="Windows 11"/>
    <x v="5"/>
    <s v="15.6&quot; (39.62 cm), 1920 x 1080 px, IPS LCD Display"/>
    <s v="Web Camera"/>
    <m/>
    <s v="HDMI Port"/>
    <m/>
    <n v="75"/>
    <x v="2"/>
    <x v="20"/>
    <x v="2"/>
  </r>
  <r>
    <s v="Dell Inspiron 15 3511 (D560783WIN9BD) Laptop (Core i3 11th Gen/8 GB/512 GB SSD/Windows 11)"/>
    <s v="Dell Inspiron 15 3511 (D560783WIN9BD) Laptop (Core i3 11th Gen/8 GB/512 GB SSD/Windows 11) price in India"/>
    <x v="311"/>
    <n v="5"/>
    <n v="88"/>
    <x v="0"/>
    <d v="2022-07-01T00:00:00"/>
    <s v="Apple M3 4.1 Ghz, Octa-Core"/>
    <s v="Windows 11"/>
    <x v="5"/>
    <s v="15.6&quot; (39.62 cm), 1920 x 1080 px, IPS LCD Display"/>
    <s v="Web Camera"/>
    <s v="Slim 17.5 mm"/>
    <s v="HDMI Port"/>
    <m/>
    <m/>
    <x v="6"/>
    <x v="20"/>
    <x v="2"/>
  </r>
  <r>
    <s v="Asus ROG Strix G15 G513IE-HN040WS Laptop (AMD Octa Core Ryzen 7/16 GB/1 TB SSD/Windows 11/4 GB)"/>
    <s v="Asus ROG Strix G15 G513IE-HN040WS Laptop (AMD Octa Core Ryzen 7/16 GB/1 TB SSD/Windows 11/4 GB) price in India"/>
    <x v="27"/>
    <n v="425"/>
    <n v="88"/>
    <x v="0"/>
    <d v="2022-06-01T00:00:00"/>
    <s v="Apple M3 4.1 Ghz, Octa-Core"/>
    <s v="Windows 11"/>
    <x v="23"/>
    <s v="15.6&quot; (39.62 cm), 1920 x 1080 px, IPS LCD Display"/>
    <m/>
    <s v="Slim 20.6 mm"/>
    <s v="HDMI Port"/>
    <m/>
    <n v="80"/>
    <x v="2"/>
    <x v="20"/>
    <x v="0"/>
  </r>
  <r>
    <s v="Asus TUF Gaming F17 FX777ZE-HX052WS Laptop (Core i7 12th Gen/16 GB/1 TB SSD/Windows 11/4 GB)"/>
    <s v="Asus TUF Gaming F17 FX777ZE-HX052WS Laptop (Core i7 12th Gen/16 GB/1 TB SSD/Windows 11/4 GB) price in India"/>
    <x v="201"/>
    <n v="193"/>
    <n v="88"/>
    <x v="0"/>
    <d v="2022-06-01T00:00:00"/>
    <s v="Apple M3 4.1 Ghz, Octa-Core"/>
    <s v="Windows 11"/>
    <x v="10"/>
    <s v="17.3&quot; (43.94 cm), 1920 x 1080 px, IPS LCD Display"/>
    <s v="Web Camera"/>
    <m/>
    <s v="HDMI Port"/>
    <m/>
    <n v="83"/>
    <x v="2"/>
    <x v="20"/>
    <x v="0"/>
  </r>
  <r>
    <s v="Asus ROG Flow Z13 GZ301ZC-LD123WS Laptop (Core i7 12th Gen/16 GB/512 GB SSD/Windows 11/4 GB)"/>
    <s v="Asus ROG Flow Z13 GZ301ZC-LD123WS Laptop (Core i7 12th Gen/16 GB/512 GB SSD/Windows 11/4 GB) price in India"/>
    <x v="99"/>
    <n v="23"/>
    <n v="88"/>
    <x v="0"/>
    <d v="2022-06-01T00:00:00"/>
    <s v="Apple M3 4.1 Ghz, Octa-Core"/>
    <s v="Windows 11"/>
    <x v="17"/>
    <s v="13.4&quot; (34.04 cm), 1920 x 1200 px, IPS LCD Display"/>
    <s v="Web Camera"/>
    <s v="Slim 5.6 mm"/>
    <m/>
    <m/>
    <m/>
    <x v="2"/>
    <x v="20"/>
    <x v="0"/>
  </r>
  <r>
    <s v="Asus ROG Strix G15 G513QY-HQ032WS Laptop (AMD Octa Core Ryzen 9/16 GB/1 TB SSD/Windows 11/12 GB)"/>
    <s v="Asus ROG Strix G15 G513QY-HQ032WS Laptop (AMD Octa Core Ryzen 9/16 GB/1 TB SSD/Windows 11/12 GB) price in India"/>
    <x v="312"/>
    <n v="117"/>
    <n v="88"/>
    <x v="0"/>
    <d v="2022-06-01T00:00:00"/>
    <s v="Apple M3 4.1 Ghz, Octa-Core"/>
    <s v="Windows 11"/>
    <x v="23"/>
    <s v="15.6&quot; (39.62 cm), 2560 x 1440 px, IPS LCD Display"/>
    <m/>
    <m/>
    <s v="HDMI Port"/>
    <m/>
    <n v="80"/>
    <x v="2"/>
    <x v="20"/>
    <x v="0"/>
  </r>
  <r>
    <s v="Lenovo LOQ 15ARP9 (83JC00CLIN) Laptop (AMD Quad Core Ryzen 5/12 GB/512 GB SSD/Windows 11/6 GB)"/>
    <s v="Lenovo LOQ 15ARP9 (83JC00CLIN) Laptop (AMD Quad Core Ryzen 5/12 GB/512 GB SSD/Windows 11/6 GB) price in India"/>
    <x v="194"/>
    <n v="369"/>
    <n v="86"/>
    <x v="0"/>
    <d v="2025-05-01T00:00:00"/>
    <s v="Apple M3 4.1 Ghz, Octa-Core"/>
    <s v="Windows 11"/>
    <x v="55"/>
    <s v="15.6&quot; (39.62 cm), 1920 x 1080 px, IPS LCD Display"/>
    <s v="Web Camera"/>
    <m/>
    <s v="HDMI Port"/>
    <m/>
    <n v="81"/>
    <x v="5"/>
    <x v="20"/>
    <x v="8"/>
  </r>
  <r>
    <s v="Asus ExpertBook P1 P1503CVA-S70611WS Laptop (Core i5 13th Gen/16 GB/512 GB SSD/Windows 11)"/>
    <s v="Asus ExpertBook P1 P1503CVA-S70611WS Laptop (Core i5 13th Gen/16 GB/512 GB SSD/Windows 11) price in India"/>
    <x v="15"/>
    <n v="256"/>
    <n v="86"/>
    <x v="0"/>
    <d v="2025-04-01T00:00:00"/>
    <s v="Apple M3 Pro 4.1 Ghz"/>
    <s v="Windows 11"/>
    <x v="6"/>
    <s v="15.6&quot; (39.62 cm), 1920 x 1080 px Display"/>
    <s v="Web Camera"/>
    <s v="Slim 19.9 mm"/>
    <s v="HDMI Port"/>
    <m/>
    <n v="79"/>
    <x v="2"/>
    <x v="20"/>
    <x v="0"/>
  </r>
  <r>
    <s v="Asus ExpertBook P1 P1403CVA-S60939WS Laptop (Core i5 13th Gen/32 GB/512 GB SSD/Windows 11)"/>
    <s v="Asus ExpertBook P1 P1403CVA-S60939WS Laptop (Core i5 13th Gen/32 GB/512 GB SSD/Windows 11) price in India"/>
    <x v="62"/>
    <n v="256"/>
    <n v="86"/>
    <x v="0"/>
    <d v="2025-04-01T00:00:00"/>
    <s v="Apple M3 Pro 4.1 Ghz"/>
    <s v="Windows 11"/>
    <x v="58"/>
    <s v="14&quot; (35.56 cm), 1920 x 1080 px Display"/>
    <s v="Web Camera"/>
    <s v="Slim 19.7 mm"/>
    <s v="HDMI Port"/>
    <m/>
    <n v="80"/>
    <x v="2"/>
    <x v="20"/>
    <x v="3"/>
  </r>
  <r>
    <s v="Asus VivoBook 15 X1504VA-NJ2217WS Laptop (Core i5 13th Gen/16 GB/512 GB SSD/Windows 11)"/>
    <s v="Asus VivoBook 15 X1504VA-NJ2217WS Laptop (Core i5 13th Gen/16 GB/512 GB SSD/Windows 11) price in India"/>
    <x v="15"/>
    <n v="134"/>
    <n v="86"/>
    <x v="0"/>
    <d v="2025-02-01T00:00:00"/>
    <s v="Apple M3 Pro 4.1 Ghz"/>
    <s v="Windows 11"/>
    <x v="2"/>
    <s v="15.6&quot; (39.62 cm), 1920 x 1080 px Display"/>
    <s v="Web Camera"/>
    <s v="Slim 17.9 mm"/>
    <s v="HDMI Port"/>
    <m/>
    <n v="78"/>
    <x v="2"/>
    <x v="20"/>
    <x v="0"/>
  </r>
  <r>
    <s v="Asus VivoBook 15 X1504VA-NJ1765WS Laptop (Core i5 13th Gen/8 GB/512 GB SSD/Windows 11)"/>
    <s v="Asus VivoBook 15 X1504VA-NJ1765WS Laptop (Core i5 13th Gen/8 GB/512 GB SSD/Windows 11) price in India"/>
    <x v="169"/>
    <n v="134"/>
    <n v="86"/>
    <x v="0"/>
    <d v="2025-02-01T00:00:00"/>
    <s v="Apple M3 Pro 4.1 Ghz"/>
    <s v="Windows 11"/>
    <x v="5"/>
    <s v="15.6&quot; (39.62 cm), 1920 x 1080 px Display"/>
    <s v="Web Camera"/>
    <s v="Slim 17.9 mm"/>
    <s v="HDMI Port"/>
    <m/>
    <n v="78"/>
    <x v="2"/>
    <x v="20"/>
    <x v="2"/>
  </r>
  <r>
    <s v="Asus VivoBook 15 X515JA-BQ322WS Laptop (Core i3 10th Gen/8 GB/512 GB SSD/Windows 11)"/>
    <s v="Asus VivoBook 15 X515JA-BQ322WS Laptop (Core i3 10th Gen/8 GB/512 GB SSD/Windows 11) price in India"/>
    <x v="313"/>
    <n v="12705"/>
    <n v="86"/>
    <x v="0"/>
    <d v="2022-07-01T00:00:00"/>
    <s v="Apple M3 Pro 4.1 Ghz"/>
    <s v="Windows 11"/>
    <x v="5"/>
    <s v="15.6&quot; (39.62 cm), 1920 x 1080 px, LED Display"/>
    <s v="Web Camera"/>
    <s v="Slim 19.9 mm"/>
    <s v="HDMI Port"/>
    <m/>
    <m/>
    <x v="2"/>
    <x v="20"/>
    <x v="2"/>
  </r>
  <r>
    <s v="Acer Aspire 3 A324-53 (UN.34RSI.007) Laptop (Core i5 13th Gen/16 GB/1 TB SSD/Windows 11)"/>
    <s v="Acer Aspire 3 A324-53 (UN.34RSI.007) Laptop (Core i5 13th Gen/16 GB/1 TB SSD/Windows 11) price in India"/>
    <x v="42"/>
    <n v="252"/>
    <n v="86"/>
    <x v="0"/>
    <d v="2025-01-01T00:00:00"/>
    <s v="Apple M3 Pro 4.1 Ghz"/>
    <s v="Windows 11"/>
    <x v="23"/>
    <s v="14&quot; (35.56 cm), 1920 x 1080 px, TFT LCD Display"/>
    <s v="Web Camera"/>
    <s v="Slim 19.4 mm"/>
    <s v="HDMI Port"/>
    <m/>
    <n v="79"/>
    <x v="1"/>
    <x v="20"/>
    <x v="0"/>
  </r>
  <r>
    <s v="Acer Aspire 3 A324-53 (UN.34RSI.004) Laptop (Core i5 13th Gen/16 GB/512 GB SSD/Windows 11)"/>
    <s v="Acer Aspire 3 A324-53 (UN.34RSI.004) Laptop (Core i5 13th Gen/16 GB/512 GB SSD/Windows 11) price in India"/>
    <x v="314"/>
    <n v="252"/>
    <n v="86"/>
    <x v="0"/>
    <d v="2024-12-01T00:00:00"/>
    <s v="Apple M3, Octa-Core"/>
    <s v="Windows 11"/>
    <x v="2"/>
    <s v="14&quot; (35.56 cm), 1920 x 1080 px, TFT LCD Display"/>
    <s v="Web Camera"/>
    <s v="Slim 19.4 mm"/>
    <s v="HDMI Port"/>
    <m/>
    <n v="78"/>
    <x v="1"/>
    <x v="20"/>
    <x v="0"/>
  </r>
  <r>
    <s v="Acer Aspire 3 A324-53 (UN.34RSI.006) Laptop (Core i5 13th Gen/8 GB/512 GB SSD/Windows 11)"/>
    <s v="Acer Aspire 3 A324-53 (UN.34RSI.006) Laptop (Core i5 13th Gen/8 GB/512 GB SSD/Windows 11) price in India"/>
    <x v="315"/>
    <n v="252"/>
    <n v="86"/>
    <x v="0"/>
    <d v="2024-12-01T00:00:00"/>
    <s v="Apple M3, Octa-Core"/>
    <s v="Windows 11"/>
    <x v="5"/>
    <s v="14&quot; (35.56 cm), 1920 x 1080 px, TFT LCD Display"/>
    <s v="Web Camera"/>
    <s v="Slim 19.4 mm"/>
    <s v="HDMI Port"/>
    <m/>
    <n v="78"/>
    <x v="1"/>
    <x v="20"/>
    <x v="2"/>
  </r>
  <r>
    <s v="Acer Aspire 7 A715-79G (UN.34NSI.001) Laptop (Core i5 13th Gen/8 GB/512 GB SSD/Windows 11/4 GB)"/>
    <s v="Acer Aspire 7 A715-79G (UN.34NSI.001) Laptop (Core i5 13th Gen/8 GB/512 GB SSD/Windows 11/4 GB) price in India"/>
    <x v="266"/>
    <n v="2125"/>
    <n v="86"/>
    <x v="0"/>
    <d v="2024-08-01T00:00:00"/>
    <s v="Apple M3, Octa-Core"/>
    <s v="Windows 11"/>
    <x v="5"/>
    <s v="15.6&quot; (39.62 cm), 1920 x 1080 px, IPS LCD Display"/>
    <s v="Web Camera"/>
    <m/>
    <s v="HDMI Port"/>
    <m/>
    <n v="84"/>
    <x v="1"/>
    <x v="20"/>
    <x v="2"/>
  </r>
  <r>
    <s v="HP Victus 15-fa1351TX (A18QBPA) Laptop (Core i5 12th Gen/16 GB/512 GB SSD/Windows 11/4 GB)"/>
    <s v="HP Victus 15-fa1351TX (A18QBPA) Laptop (Core i5 12th Gen/16 GB/512 GB SSD/Windows 11/4 GB) price in India"/>
    <x v="189"/>
    <n v="2939"/>
    <n v="86"/>
    <x v="0"/>
    <d v="2024-12-01T00:00:00"/>
    <s v="Apple M3, Octa-Core"/>
    <s v="Windows 11"/>
    <x v="2"/>
    <s v="15.6&quot; (39.62 cm), 1920 x 1080 px, IPS LCD Display"/>
    <s v="Web Camera"/>
    <m/>
    <s v="HDMI Port"/>
    <m/>
    <n v="77"/>
    <x v="7"/>
    <x v="20"/>
    <x v="0"/>
  </r>
  <r>
    <s v="Lenovo V15 Gen 3 (82TTA07QIH) Laptop (Core i5 12th Gen/8 GB/512 GB SSD/Windows 11)"/>
    <s v="Lenovo V15 Gen 3 (82TTA07QIH) Laptop (Core i5 12th Gen/8 GB/512 GB SSD/Windows 11) price in India"/>
    <x v="155"/>
    <n v="57"/>
    <n v="86"/>
    <x v="0"/>
    <d v="2024-08-01T00:00:00"/>
    <s v="Apple M3, Octa-Core"/>
    <s v="Windows 11"/>
    <x v="5"/>
    <s v="15.6&quot; (39.62 cm), 1920 x 1080 px Display"/>
    <s v="Web Camera"/>
    <s v="Slim 19.9 mm"/>
    <s v="HDMI Port"/>
    <m/>
    <n v="75"/>
    <x v="5"/>
    <x v="20"/>
    <x v="2"/>
  </r>
  <r>
    <s v="Dell Vostro 3520 (VN3520VMN67002ORG1) Laptop (Core i3 12th Gen/8 GB/512 GB SSD/Windows 11)"/>
    <s v="Dell Vostro 3520 (VN3520VMN67002ORG1) Laptop (Core i3 12th Gen/8 GB/512 GB SSD/Windows 11) price in India"/>
    <x v="147"/>
    <n v="245"/>
    <n v="86"/>
    <x v="0"/>
    <d v="2025-02-01T00:00:00"/>
    <s v="Apple M4 4.4 Ghz, Deca-Core"/>
    <s v="Windows 11"/>
    <x v="5"/>
    <s v="15.6&quot; (39.62 cm), 1920 x 1080 px Display"/>
    <s v="Web Camera"/>
    <m/>
    <s v="HDMI Port"/>
    <m/>
    <m/>
    <x v="6"/>
    <x v="21"/>
    <x v="2"/>
  </r>
  <r>
    <s v="Lenovo LOQ 15IAX9 (83GS00CJIN) Laptop (Core i5 12th Gen/24 GB/512 GB SSD/Windows 11/6 GB)"/>
    <s v="Lenovo LOQ 15IAX9 (83GS00CJIN) Laptop (Core i5 12th Gen/24 GB/512 GB SSD/Windows 11/6 GB) price in India"/>
    <x v="316"/>
    <n v="779"/>
    <n v="86"/>
    <x v="0"/>
    <d v="2024-08-01T00:00:00"/>
    <s v="Apple M4 4.4 Ghz, Deca-Core"/>
    <s v="Windows 11"/>
    <x v="44"/>
    <s v="15.6&quot; (39.62 cm), 1920 x 1080 px, IPS LCD Display"/>
    <s v="Web Camera"/>
    <m/>
    <s v="HDMI Port"/>
    <m/>
    <n v="86"/>
    <x v="5"/>
    <x v="21"/>
    <x v="1"/>
  </r>
  <r>
    <s v="Asus ExpertBook P1 P1403CVA-S60940WS Laptop (Core i7 13th Gen/32 GB/512 GB SSD/Windows 11)"/>
    <s v="Asus ExpertBook P1 P1403CVA-S60940WS Laptop (Core i7 13th Gen/32 GB/512 GB SSD/Windows 11) price in India"/>
    <x v="30"/>
    <n v="69"/>
    <n v="86"/>
    <x v="0"/>
    <d v="2025-04-01T00:00:00"/>
    <s v="Apple M4 4.4 Ghz, Deca-Core"/>
    <s v="Windows 11"/>
    <x v="58"/>
    <s v="14&quot; (35.56 cm), 1920 x 1080 px Display"/>
    <s v="Web Camera"/>
    <s v="Slim 19.7 mm"/>
    <s v="HDMI Port"/>
    <m/>
    <n v="81"/>
    <x v="2"/>
    <x v="21"/>
    <x v="3"/>
  </r>
  <r>
    <s v="Asus ExpertBook P1 P1503CVA-S71042WS Laptop (Core i7 13th Gen/16 GB/512 GB SSD/Windows 11)"/>
    <s v="Asus ExpertBook P1 P1503CVA-S71042WS Laptop (Core i7 13th Gen/16 GB/512 GB SSD/Windows 11) price in India"/>
    <x v="158"/>
    <n v="69"/>
    <n v="86"/>
    <x v="0"/>
    <d v="2025-04-01T00:00:00"/>
    <s v="Apple M4 4.4 Ghz, Deca-Core"/>
    <s v="Windows 11"/>
    <x v="6"/>
    <s v="15.6&quot; (39.62 cm), 1920 x 1080 px Display"/>
    <s v="Web Camera"/>
    <s v="Slim 19.9 mm"/>
    <s v="HDMI Port"/>
    <m/>
    <n v="80"/>
    <x v="2"/>
    <x v="21"/>
    <x v="0"/>
  </r>
  <r>
    <s v="Asus VivoBook 15 X1504VA-NJ2324WS Laptop (Core i3 13th Gen/16 GB/512 GB SSD/Windows 11)"/>
    <s v="Asus VivoBook 15 X1504VA-NJ2324WS Laptop (Core i3 13th Gen/16 GB/512 GB SSD/Windows 11) price in India"/>
    <x v="155"/>
    <n v="290"/>
    <n v="86"/>
    <x v="0"/>
    <d v="2025-02-01T00:00:00"/>
    <s v="Apple M4 4.4 Ghz, Deca-Core"/>
    <s v="Windows 11"/>
    <x v="2"/>
    <s v="15.6&quot; (39.62 cm), 1920 x 1080 px, IPS LCD Display"/>
    <s v="Web Camera"/>
    <s v="Slim 17.9 mm"/>
    <s v="HDMI Port"/>
    <m/>
    <n v="78"/>
    <x v="2"/>
    <x v="21"/>
    <x v="0"/>
  </r>
  <r>
    <s v="Infinix INBook Y3 Max YL613 (71008301495) Laptop (Core i5 12th Gen/16 GB/512 GB SSD/Windows 11)"/>
    <s v="Infinix INBook Y3 Max YL613 (71008301495) Laptop (Core i5 12th Gen/16 GB/512 GB SSD/Windows 11) price in India"/>
    <x v="317"/>
    <n v="362"/>
    <n v="86"/>
    <x v="0"/>
    <d v="2024-08-01T00:00:00"/>
    <s v="Apple M4 4.4 Ghz, Deca-Core"/>
    <s v="Windows 11"/>
    <x v="30"/>
    <s v="16&quot; (40.64 cm), 1920 x 1200 px, IPS LCD Display"/>
    <s v="Web Camera"/>
    <s v="Slim 17.9 mm"/>
    <s v="HDMI Port"/>
    <s v="2 USB Ports"/>
    <n v="76"/>
    <x v="10"/>
    <x v="21"/>
    <x v="0"/>
  </r>
  <r>
    <s v="Dell Vostro 15 3568 (A553502HIN9) Laptop (Core i3 6th Gen/4 GB/1 TB/Windows 10)"/>
    <s v="Dell Vostro 15 3568 (A553502HIN9) Laptop (Core i3 6th Gen/4 GB/1 TB/Windows 10) price in India"/>
    <x v="318"/>
    <n v="1783"/>
    <n v="86"/>
    <x v="0"/>
    <m/>
    <s v="Apple M4 4.4 Ghz, Deca-Core"/>
    <s v="Windows 10"/>
    <x v="49"/>
    <s v="15.6&quot; (39.62 cm), 1366 x 768 px, LED Display"/>
    <s v="Web Camera"/>
    <m/>
    <s v="HDMI Port"/>
    <s v="3 USB Ports"/>
    <m/>
    <x v="6"/>
    <x v="21"/>
    <x v="7"/>
  </r>
  <r>
    <s v="Acer Swift Go 14 SFG14-41 (NX.KG3SI.008) Laptop (AMD Octa Core Ryzen 7/16 GB/1 TB SSD/Windows 11)"/>
    <s v="Acer Swift Go 14 SFG14-41 (NX.KG3SI.008) Laptop (AMD Octa Core Ryzen 7/16 GB/1 TB SSD/Windows 11) price in India"/>
    <x v="319"/>
    <n v="588"/>
    <n v="86"/>
    <x v="0"/>
    <d v="2024-09-01T00:00:00"/>
    <s v="Apple M4 4.4 Ghz, Deca-Core"/>
    <s v="Windows 11"/>
    <x v="33"/>
    <s v="14&quot; (35.56 cm), 1920 x 1080 px, IPS LCD Display"/>
    <s v="Web Camera"/>
    <s v="Slim 15.9 mm"/>
    <s v="HDMI Port"/>
    <m/>
    <n v="73"/>
    <x v="1"/>
    <x v="21"/>
    <x v="0"/>
  </r>
  <r>
    <s v="Asus TUF Gaming A15 FA566NFR-HN259W Laptop (AMD Octa Core Ryzen 7/16 GB/512 GB SSD/Windows 11/4 GB)"/>
    <s v="Asus TUF Gaming A15 FA566NFR-HN259W Laptop (AMD Octa Core Ryzen 7/16 GB/512 GB SSD/Windows 11/4 GB) price in India"/>
    <x v="320"/>
    <n v="921"/>
    <n v="86"/>
    <x v="0"/>
    <d v="2024-07-01T00:00:00"/>
    <s v="Apple M4 4.4 Ghz, Deca-Core"/>
    <s v="Windows 11"/>
    <x v="6"/>
    <s v="15.6&quot; (39.62 cm), 1920 x 1080 px, IPS LCD Display"/>
    <s v="Web Camera"/>
    <m/>
    <s v="HDMI Port"/>
    <m/>
    <n v="85"/>
    <x v="2"/>
    <x v="21"/>
    <x v="0"/>
  </r>
  <r>
    <s v="Infinix INBook Y3 Max YL613 (71008301492) Laptop (Core i3 12th Gen/8 GB/256 GB SSD/Windows 11)"/>
    <s v="Infinix INBook Y3 Max YL613 (71008301492) Laptop (Core i3 12th Gen/8 GB/256 GB SSD/Windows 11) price in India"/>
    <x v="271"/>
    <n v="514"/>
    <n v="86"/>
    <x v="0"/>
    <d v="2024-08-01T00:00:00"/>
    <s v="Apple M4 4.4 Ghz, Deca-Core"/>
    <s v="Windows 11"/>
    <x v="57"/>
    <s v="16&quot; (40.64 cm), 1920 x 1200 px, IPS LCD Display"/>
    <s v="Web Camera"/>
    <s v="Slim 17.9 mm"/>
    <s v="HDMI Port"/>
    <s v="2 USB Ports"/>
    <n v="72"/>
    <x v="10"/>
    <x v="21"/>
    <x v="2"/>
  </r>
  <r>
    <s v="Asus TUF Gaming A15 FA566NCR-HN075W Laptop (AMD Octa Core Ryzen 7/16 GB/512 GB SSD/Windows 11/4 GB)"/>
    <s v="Asus TUF Gaming A15 FA566NCR-HN075W Laptop (AMD Octa Core Ryzen 7/16 GB/512 GB SSD/Windows 11/4 GB) price in India"/>
    <x v="321"/>
    <n v="918"/>
    <n v="86"/>
    <x v="0"/>
    <d v="2024-07-01T00:00:00"/>
    <s v="Apple M4 4.4 Ghz, Deca-Core"/>
    <s v="Windows 11"/>
    <x v="6"/>
    <s v="15.6&quot; (39.62 cm), 1920 x 1080 px, IPS LCD Display"/>
    <s v="Web Camera"/>
    <m/>
    <s v="HDMI Port"/>
    <m/>
    <n v="86"/>
    <x v="2"/>
    <x v="21"/>
    <x v="0"/>
  </r>
  <r>
    <s v="HP 15-be015tx (1HQ28PA) Laptop (Core i5 6th Gen/4 GB/1 TB/DOS/2 GB)"/>
    <s v="HP 15-be015tx (1HQ28PA) Laptop (Core i5 6th Gen/4 GB/1 TB/DOS/2 GB) price in India"/>
    <x v="322"/>
    <n v="299"/>
    <n v="86"/>
    <x v="0"/>
    <m/>
    <s v="Apple M4 4.4 Ghz, Deca-Core"/>
    <s v="DOS"/>
    <x v="49"/>
    <s v="15.6&quot; (39.62 cm), 1366 x 768 px, LED Display"/>
    <s v="Web Camera"/>
    <m/>
    <s v="HDMI Port"/>
    <s v="3 USB Ports"/>
    <m/>
    <x v="7"/>
    <x v="21"/>
    <x v="7"/>
  </r>
  <r>
    <s v="MSI Modern 14 C12MO-1021IN Laptop (Core i5 12th Gen/8 GB/512 GB SSD/Windows 11)"/>
    <s v="MSI Modern 14 C12MO-1021IN Laptop (Core i5 12th Gen/8 GB/512 GB SSD/Windows 11) price in India"/>
    <x v="47"/>
    <n v="1851"/>
    <n v="86"/>
    <x v="0"/>
    <d v="2024-09-01T00:00:00"/>
    <s v="Apple M4 4.4 Ghz, Deca-Core"/>
    <s v="Windows 11"/>
    <x v="5"/>
    <s v="14&quot; (35.56 cm), 1920 x 1080 px, IPS LCD Display"/>
    <s v="Web Camera"/>
    <s v="Slim 19.3 mm"/>
    <s v="HDMI Port"/>
    <m/>
    <n v="75"/>
    <x v="3"/>
    <x v="21"/>
    <x v="2"/>
  </r>
  <r>
    <s v="MSI Modern 14 C12M-439IN Laptop (Core i5 12th Gen/16 GB/512 GB SSD/Windows 11)"/>
    <s v="MSI Modern 14 C12M-439IN Laptop (Core i5 12th Gen/16 GB/512 GB SSD/Windows 11) price in India"/>
    <x v="323"/>
    <n v="1852"/>
    <n v="86"/>
    <x v="0"/>
    <d v="2023-03-01T00:00:00"/>
    <s v="Apple M4 4.4 Ghz, Deca-Core"/>
    <s v="Windows 11"/>
    <x v="2"/>
    <s v="14&quot; (35.56 cm), 1920 x 1080 px, IPS LCD Display"/>
    <s v="Web Camera"/>
    <s v="Slim 19.3 mm"/>
    <s v="HDMI Port"/>
    <m/>
    <n v="75"/>
    <x v="3"/>
    <x v="21"/>
    <x v="0"/>
  </r>
  <r>
    <s v="Acer Nitro V ANV15-41 (NH.QPFSI.004) Laptop (AMD Hexa Core Ryzen 5/16 GB/512 GB SSD/Windows 11/6 GB)"/>
    <s v="Acer Nitro V ANV15-41 (NH.QPFSI.004) Laptop (AMD Hexa Core Ryzen 5/16 GB/512 GB SSD/Windows 11/6 GB) price in India"/>
    <x v="324"/>
    <n v="524"/>
    <n v="86"/>
    <x v="0"/>
    <d v="2024-08-01T00:00:00"/>
    <s v="Apple M4 4.4 Ghz, Deca-Core"/>
    <s v="Windows 11"/>
    <x v="6"/>
    <s v="15.6&quot; (39.62 cm), 1920 x 1080 px, IPS LCD Display"/>
    <s v="Web Camera"/>
    <m/>
    <s v="HDMI Port"/>
    <m/>
    <n v="85"/>
    <x v="1"/>
    <x v="21"/>
    <x v="0"/>
  </r>
  <r>
    <s v="HP Victus 15-fb0180AX (B20DDPA) Laptop (AMD Hexa Core Ryzen 5/8 GB/512 GB SSD/Windows 11/4 GB)"/>
    <s v="HP Victus 15-fb0180AX (B20DDPA) Laptop (AMD Hexa Core Ryzen 5/8 GB/512 GB SSD/Windows 11/4 GB) price in India"/>
    <x v="325"/>
    <n v="779"/>
    <n v="86"/>
    <x v="0"/>
    <d v="2024-12-01T00:00:00"/>
    <s v="Apple M4 4.4 Ghz, Deca-Core"/>
    <s v="Windows 11"/>
    <x v="5"/>
    <s v="15.6&quot; (39.62 cm), 1920 x 1080 px, IPS LCD Display"/>
    <s v="Web Camera"/>
    <m/>
    <s v="HDMI Port"/>
    <m/>
    <n v="82"/>
    <x v="7"/>
    <x v="21"/>
    <x v="2"/>
  </r>
  <r>
    <s v="Acer Swift Go OLED SFG14-71 (NX.KF1SI.007) Laptop (Core i7 13th Gen/16 GB/1 TB SSD/Windows 11)"/>
    <s v="Acer Swift Go OLED SFG14-71 (NX.KF1SI.007) Laptop (Core i7 13th Gen/16 GB/1 TB SSD/Windows 11) price in India"/>
    <x v="107"/>
    <n v="770"/>
    <n v="86"/>
    <x v="0"/>
    <d v="2024-07-01T00:00:00"/>
    <s v="Apple M4 4.4 Ghz, Deca-Core"/>
    <s v="Windows 11"/>
    <x v="21"/>
    <s v="14&quot; (35.56 cm), 2880 x 1800 px, OLED Display"/>
    <s v="Web Camera"/>
    <s v="Slim 14.9 mm"/>
    <s v="HDMI Port"/>
    <m/>
    <n v="85"/>
    <x v="1"/>
    <x v="21"/>
    <x v="0"/>
  </r>
  <r>
    <s v="Lenovo IdeaPad Slim 3 15IAH8 (83ER00H3IN) Laptop (Core i5 12th Gen/8 GB/512 GB SSD/Windows 11)"/>
    <s v="Lenovo IdeaPad Slim 3 15IAH8 (83ER00H3IN) Laptop (Core i5 12th Gen/8 GB/512 GB SSD/Windows 11) price in India"/>
    <x v="326"/>
    <n v="502"/>
    <n v="86"/>
    <x v="0"/>
    <d v="2024-12-01T00:00:00"/>
    <s v="Apple M4 4.4 Ghz, Deca-Core"/>
    <s v="Windows 11"/>
    <x v="20"/>
    <s v="15.6&quot; (39.62 cm), 1920 x 1080 px, IPS LCD Display"/>
    <s v="Web Camera"/>
    <s v="Slim 17.9 mm"/>
    <m/>
    <m/>
    <m/>
    <x v="5"/>
    <x v="21"/>
    <x v="2"/>
  </r>
  <r>
    <s v="Dell Inspiron 15 3535 (IN3535HF8X1003ORB1) Laptop (AMD Quad Core Ryzen 3/8 GB/512 GB SSD/Windows 11)"/>
    <s v="Dell Inspiron 15 3535 (IN3535HF8X1003ORB1) Laptop (AMD Quad Core Ryzen 3/8 GB/512 GB SSD/Windows 11) price in India"/>
    <x v="327"/>
    <n v="1658"/>
    <n v="86"/>
    <x v="0"/>
    <d v="2024-10-01T00:00:00"/>
    <s v="Apple M4 4.4 Ghz, Deca-Core"/>
    <s v="Windows 11"/>
    <x v="20"/>
    <s v="15.6&quot; (39.62 cm), 1920 x 1080 px, IPS LCD Display"/>
    <s v="Web Camera"/>
    <s v="Slim 18.9 mm"/>
    <s v="HDMI Port"/>
    <m/>
    <n v="75"/>
    <x v="6"/>
    <x v="21"/>
    <x v="2"/>
  </r>
  <r>
    <s v="Lenovo IdeaPad 3 15IAU7 (82RK018RIN) Laptop (Core i3 12th Gen/8 GB/512 GB SSD/Windows 11)"/>
    <s v="Lenovo IdeaPad 3 15IAU7 (82RK018RIN) Laptop (Core i3 12th Gen/8 GB/512 GB SSD/Windows 11) price in India"/>
    <x v="328"/>
    <n v="539"/>
    <n v="86"/>
    <x v="0"/>
    <d v="2024-09-01T00:00:00"/>
    <s v="Apple M4 4.5 Ghz"/>
    <s v="Windows 11"/>
    <x v="5"/>
    <s v="15.6&quot; (39.62 cm), 1920 x 1080 px, TN LCD Display"/>
    <s v="Web Camera"/>
    <s v="Slim 19.9 mm"/>
    <s v="HDMI Port"/>
    <m/>
    <n v="73"/>
    <x v="5"/>
    <x v="21"/>
    <x v="2"/>
  </r>
  <r>
    <s v="Acer Swift Go 14 SFG14-41 (NX.KG3SI.006) Laptop (AMD Hexa Core Ryzen 5/16 GB/512 GB SSD/Windows 11)"/>
    <s v="Acer Swift Go 14 SFG14-41 (NX.KG3SI.006) Laptop (AMD Hexa Core Ryzen 5/16 GB/512 GB SSD/Windows 11) price in India"/>
    <x v="329"/>
    <n v="904"/>
    <n v="86"/>
    <x v="0"/>
    <d v="2024-07-01T00:00:00"/>
    <s v="Apple M4 Max 4.5 Ghz"/>
    <s v="Windows 11"/>
    <x v="28"/>
    <s v="14&quot; (35.56 cm), 1920 x 1080 px, TFT LCD Display"/>
    <s v="Web Camera"/>
    <s v="Slim 15.9 mm"/>
    <s v="HDMI Port"/>
    <m/>
    <m/>
    <x v="1"/>
    <x v="21"/>
    <x v="0"/>
  </r>
  <r>
    <s v="Asus TUF Gaming A15 FA566NFR-HN260W Laptop (AMD Octa Core Ryzen 7/8 GB/512 GB SSD/Windows 11/4 GB)"/>
    <s v="Asus TUF Gaming A15 FA566NFR-HN260W Laptop (AMD Octa Core Ryzen 7/8 GB/512 GB SSD/Windows 11/4 GB) price in India"/>
    <x v="21"/>
    <n v="905"/>
    <n v="86"/>
    <x v="0"/>
    <d v="2024-07-01T00:00:00"/>
    <s v="Apple M4 Pro 4.5 Ghz"/>
    <s v="Windows 11"/>
    <x v="16"/>
    <s v="15.6&quot; (39.62 cm), 1920 x 1080 px, IPS LCD Display"/>
    <s v="Web Camera"/>
    <m/>
    <s v="HDMI Port"/>
    <m/>
    <n v="85"/>
    <x v="2"/>
    <x v="21"/>
    <x v="2"/>
  </r>
  <r>
    <s v="HP Victus 15-fa0333TX (A03GZPA) Laptop (Core i5 12th Gen/16 GB/512 GB SSD/Windows 11/4 GB)"/>
    <s v="HP Victus 15-fa0333TX (A03GZPA) Laptop (Core i5 12th Gen/16 GB/512 GB SSD/Windows 11/4 GB) price in India"/>
    <x v="330"/>
    <n v="617"/>
    <n v="86"/>
    <x v="0"/>
    <d v="2024-09-01T00:00:00"/>
    <s v="Apple M4 Pro 4.5 Ghz"/>
    <s v="Windows 11"/>
    <x v="2"/>
    <s v="15.6&quot; (39.62 cm), 1920 x 1080 px, IPS LCD Display"/>
    <s v="Web Camera"/>
    <m/>
    <s v="HDMI Port"/>
    <m/>
    <n v="86"/>
    <x v="7"/>
    <x v="21"/>
    <x v="0"/>
  </r>
  <r>
    <s v="Acer Swift Go 14 SFG14-41 (NX.KG3SI.007) Laptop (AMD Octa Core Ryzen 7/16 GB/512 GB SSD/Windows 11)"/>
    <s v="Acer Swift Go 14 SFG14-41 (NX.KG3SI.007) Laptop (AMD Octa Core Ryzen 7/16 GB/512 GB SSD/Windows 11) price in India"/>
    <x v="247"/>
    <n v="565"/>
    <n v="86"/>
    <x v="0"/>
    <d v="2024-07-01T00:00:00"/>
    <s v="Apple M4 Pro 4.5 Ghz"/>
    <s v="Windows 11"/>
    <x v="28"/>
    <s v="14&quot; (35.56 cm), 1920 x 1080 px, TFT LCD Display"/>
    <s v="Web Camera"/>
    <s v="Slim 15.9 mm"/>
    <s v="HDMI Port"/>
    <m/>
    <n v="72"/>
    <x v="1"/>
    <x v="21"/>
    <x v="0"/>
  </r>
  <r>
    <s v="Lenovo LOQ 15ARP9 Gen 9 (83JC00EHIN) Laptop (AMD Octa Core Ryzen 7/24 GB/512 GB SSD/Windows 11/8 GB)"/>
    <s v="Lenovo LOQ 15ARP9 Gen 9 (83JC00EHIN) Laptop (AMD Octa Core Ryzen 7/24 GB/512 GB SSD/Windows 11/8 GB) price in India"/>
    <x v="331"/>
    <n v="62"/>
    <n v="86"/>
    <x v="0"/>
    <d v="2025-01-01T00:00:00"/>
    <s v="Apple M4 Pro 4.5 Ghz"/>
    <s v="Windows 11"/>
    <x v="44"/>
    <s v="15.6&quot; (39.62 cm), 1920 x 1080 px, IPS LCD Display"/>
    <s v="Web Camera"/>
    <m/>
    <s v="HDMI Port"/>
    <m/>
    <m/>
    <x v="5"/>
    <x v="21"/>
    <x v="1"/>
  </r>
  <r>
    <s v="Lenovo LOQ 15ARP9 (83JC00EGIN) Laptop (AMD Octa Core Ryzen 7/24 GB/512 GB SSD/Windows 11/6 GB)"/>
    <s v="Lenovo LOQ 15ARP9 (83JC00EGIN) Laptop (AMD Octa Core Ryzen 7/24 GB/512 GB SSD/Windows 11/6 GB) price in India"/>
    <x v="299"/>
    <n v="62"/>
    <n v="86"/>
    <x v="0"/>
    <d v="2024-12-01T00:00:00"/>
    <s v="Apple M4 Pro 4.5 Ghz"/>
    <s v="Windows 11"/>
    <x v="44"/>
    <s v="15.6&quot; (39.62 cm), 1920 x 1080 px, IPS LCD Display"/>
    <s v="Web Camera"/>
    <m/>
    <s v="HDMI Port"/>
    <m/>
    <m/>
    <x v="5"/>
    <x v="21"/>
    <x v="1"/>
  </r>
  <r>
    <s v="HP 14s-ef1000tu (511C6PA) Laptop (Core i3 11th Gen/8 GB/512 GB SSD/Windows 11)"/>
    <s v="HP 14s-ef1000tu (511C6PA) Laptop (Core i3 11th Gen/8 GB/512 GB SSD/Windows 11) price in India"/>
    <x v="332"/>
    <n v="131"/>
    <n v="86"/>
    <x v="0"/>
    <d v="2022-04-01T00:00:00"/>
    <s v="Apple M4 Pro 4.5 Ghz"/>
    <s v="Windows 11"/>
    <x v="5"/>
    <s v="14&quot; (35.56 cm), 1920 x 1080 px, LED Display"/>
    <s v="Web Camera"/>
    <s v="Slim 19.9 mm"/>
    <m/>
    <m/>
    <m/>
    <x v="7"/>
    <x v="21"/>
    <x v="2"/>
  </r>
  <r>
    <s v="Asus VivoBook 15 X1504ZA-NJ520WS Laptop (Core i5 12th Gen/8 GB/512 GB SSD/Windows 11)"/>
    <s v="Asus VivoBook 15 X1504ZA-NJ520WS Laptop (Core i5 12th Gen/8 GB/512 GB SSD/Windows 11) price in India"/>
    <x v="333"/>
    <n v="51"/>
    <n v="86"/>
    <x v="0"/>
    <d v="2024-09-01T00:00:00"/>
    <s v="Apple M4, Deca-Core"/>
    <s v="Windows 11"/>
    <x v="5"/>
    <s v="15.6&quot; (39.62 cm), 1920 x 1080 px, IPS LCD Display"/>
    <s v="Web Camera"/>
    <s v="Slim 17.9 mm"/>
    <s v="HDMI Port"/>
    <m/>
    <n v="74"/>
    <x v="2"/>
    <x v="21"/>
    <x v="2"/>
  </r>
  <r>
    <s v="MSI Modern 14 C12M-671IN Laptop (Core i7 12th Gen/16 GB/512 GB SSD/Windows 11)"/>
    <s v="MSI Modern 14 C12M-671IN Laptop (Core i7 12th Gen/16 GB/512 GB SSD/Windows 11) price in India"/>
    <x v="124"/>
    <n v="185"/>
    <n v="86"/>
    <x v="0"/>
    <d v="2023-06-01T00:00:00"/>
    <s v="Apple M4, Deca-Core"/>
    <s v="Windows 11"/>
    <x v="2"/>
    <s v="14&quot; (35.56 cm), 1920 x 1080 px, IPS LCD Display"/>
    <s v="Web Camera"/>
    <s v="Slim 19.3 mm"/>
    <s v="HDMI Port"/>
    <s v="2 USB Ports"/>
    <n v="76"/>
    <x v="3"/>
    <x v="21"/>
    <x v="0"/>
  </r>
  <r>
    <s v="Dell Inspiron 15 3505 (D560392WIN9BE) Laptop (AMD Dual Core Ryzen 3/8 GB/256 GB SSD/Windows 10)"/>
    <s v="Dell Inspiron 15 3505 (D560392WIN9BE) Laptop (AMD Dual Core Ryzen 3/8 GB/256 GB SSD/Windows 10) price in India"/>
    <x v="334"/>
    <n v="1303"/>
    <n v="86"/>
    <x v="0"/>
    <d v="2021-01-01T00:00:00"/>
    <s v="Apple M4, Deca-Core"/>
    <s v="Windows 10"/>
    <x v="38"/>
    <s v="15.6&quot; (39.62 cm), 1920 x 1080 px, LED Display"/>
    <s v="Web Camera"/>
    <s v="Slim 20 mm"/>
    <s v="HDMI Port"/>
    <m/>
    <m/>
    <x v="6"/>
    <x v="21"/>
    <x v="2"/>
  </r>
  <r>
    <s v="Asus Vivobook S15 K5504VAB-BN416WS Laptop (Core i5 13th Gen/16 GB/512 GB SSD/Windows 11)"/>
    <s v="Asus Vivobook S15 K5504VAB-BN416WS Laptop (Core i5 13th Gen/16 GB/512 GB SSD/Windows 11) price in India"/>
    <x v="107"/>
    <n v="6"/>
    <n v="86"/>
    <x v="0"/>
    <d v="2024-11-01T00:00:00"/>
    <s v="Apple M4, Deca-Core"/>
    <s v="Windows 11"/>
    <x v="17"/>
    <s v="15.6&quot; (39.62 cm), 1920 x 1080 px Display"/>
    <s v="Web Camera"/>
    <s v="Slim 17.9 mm"/>
    <s v="HDMI Port"/>
    <m/>
    <n v="82"/>
    <x v="2"/>
    <x v="21"/>
    <x v="0"/>
  </r>
  <r>
    <s v="Apple MacBook Pro M4 MX2E3HN/A Ultrabook (Apple M4 Pro/24 GB/512 GB SSD/macOS Sequoia)"/>
    <s v="Apple MacBook Pro M4 MX2E3HN/A Ultrabook (Apple M4 Pro/24 GB/512 GB SSD/macOS Sequoia) price in India"/>
    <x v="1"/>
    <n v="9"/>
    <n v="86"/>
    <x v="0"/>
    <d v="2024-11-01T00:00:00"/>
    <s v="Apple M4, Deca-Core"/>
    <s v="macOS Sequoia"/>
    <x v="1"/>
    <s v="14.2&quot; (36.07 cm), 3024 x 1964 px, Liquid Retina XDR Display"/>
    <s v="Web Camera"/>
    <s v="Slim 15.5 mm"/>
    <s v="HDMI Port"/>
    <m/>
    <n v="87"/>
    <x v="0"/>
    <x v="21"/>
    <x v="1"/>
  </r>
  <r>
    <s v="HP Omen 16-wd0011TX (A1NW1PA) Laptop (Core i7 13th Gen/16 GB/1 TB SSD/Windows 11/6 GB)"/>
    <s v="HP Omen 16-wd0011TX (A1NW1PA) Laptop (Core i7 13th Gen/16 GB/1 TB SSD/Windows 11/6 GB) price in India"/>
    <x v="335"/>
    <n v="46"/>
    <n v="86"/>
    <x v="0"/>
    <d v="2024-07-01T00:00:00"/>
    <s v="Apple M4, Deca-Core"/>
    <s v="Windows 11"/>
    <x v="10"/>
    <s v="16.1&quot; (40.89 cm), 1920 x 1080 px, IPS LCD Display"/>
    <s v="Web Camera"/>
    <m/>
    <s v="HDMI Port"/>
    <m/>
    <m/>
    <x v="7"/>
    <x v="21"/>
    <x v="0"/>
  </r>
  <r>
    <s v="Infinix Zero Book Ultra AI PC ZL514 (71008301677) Laptop (Core Ultra 7/16 GB/512 GB SSD/Windows 11)"/>
    <s v="Infinix Zero Book Ultra AI PC ZL514 (71008301677) Laptop (Core Ultra 7/16 GB/512 GB SSD/Windows 11) price in India"/>
    <x v="159"/>
    <n v="22"/>
    <n v="86"/>
    <x v="0"/>
    <d v="2024-07-01T00:00:00"/>
    <s v="Apple M4, Deca-Core"/>
    <s v="Windows 11"/>
    <x v="8"/>
    <s v="15.6&quot; (39.62 cm), 1920 x 1080 px, IPS LCD Display"/>
    <s v="Web Camera"/>
    <s v="Slim 16.9 mm"/>
    <s v="HDMI Port"/>
    <m/>
    <n v="84"/>
    <x v="10"/>
    <x v="21"/>
    <x v="0"/>
  </r>
  <r>
    <s v="HP Pavilion x360 14-dy1049TU (67G62PA) Laptop (Intel Core i5 11th Gen/16 GB/512 GB SSD/Windows 11)"/>
    <s v="HP Pavilion x360 14-dy1049TU (67G62PA) Laptop (Intel Core i5 11th Gen/16 GB/512 GB SSD/Windows 11) price in India"/>
    <x v="251"/>
    <n v="148"/>
    <n v="86"/>
    <x v="0"/>
    <d v="2022-04-01T00:00:00"/>
    <s v="Apple M4, Deca-Core"/>
    <s v="Windows 11"/>
    <x v="2"/>
    <s v="14&quot; (35.56 cm), 1920 x 1080 px, IPS LCD Display"/>
    <s v="Web Camera"/>
    <s v="Slim 20 mm"/>
    <s v="HDMI Port"/>
    <m/>
    <n v="72"/>
    <x v="7"/>
    <x v="21"/>
    <x v="0"/>
  </r>
  <r>
    <s v="HP Pavilion x360 14-dy0003TU (3W2A5PA) Laptop (Core i5 11th Gen/8 GB/512 GB SSD/Windows 10)"/>
    <s v="HP Pavilion x360 14-dy0003TU (3W2A5PA) Laptop (Core i5 11th Gen/8 GB/512 GB SSD/Windows 10) price in India"/>
    <x v="336"/>
    <n v="53"/>
    <n v="86"/>
    <x v="0"/>
    <d v="2021-10-01T00:00:00"/>
    <s v="Intel Celeron Dual-Core 1.0 Ghz, Dual-Core"/>
    <s v="Windows 10"/>
    <x v="5"/>
    <s v="14&quot; (35.56 cm), 1920 x 1080 px, LED Display"/>
    <s v="Web Camera"/>
    <s v="Slim 20.6 mm"/>
    <s v="HDMI Port"/>
    <m/>
    <n v="73"/>
    <x v="7"/>
    <x v="22"/>
    <x v="2"/>
  </r>
  <r>
    <s v="HP 250 G8 (3D4T7PA) Laptop (Core i3 10th Gen/4 GB/512 GB SSD/Windows 10)"/>
    <s v="HP 250 G8 (3D4T7PA) Laptop (Core i3 10th Gen/4 GB/512 GB SSD/Windows 10) price in India"/>
    <x v="337"/>
    <n v="248"/>
    <n v="86"/>
    <x v="0"/>
    <d v="2021-05-01T00:00:00"/>
    <s v="Intel Celeron Dual-Core 1.1 Ghz"/>
    <s v="Windows 10"/>
    <x v="51"/>
    <s v="15.6&quot; (39.62 cm), 1920 x 1080 px, LED Display"/>
    <s v="Web Camera"/>
    <s v="Slim 19.9 mm"/>
    <s v="HDMI Port"/>
    <s v="2 USB Ports"/>
    <m/>
    <x v="7"/>
    <x v="22"/>
    <x v="7"/>
  </r>
  <r>
    <s v="Asus VivoBook 15 X515EA-EJ312TS Laptop (Core i3 11th Gen/8 GB/256 GB SSD/Windows 10)"/>
    <s v="Asus VivoBook 15 X515EA-EJ312TS Laptop (Core i3 11th Gen/8 GB/256 GB SSD/Windows 10) price in India"/>
    <x v="42"/>
    <n v="338"/>
    <n v="86"/>
    <x v="0"/>
    <d v="2021-04-01T00:00:00"/>
    <s v="Intel Celeron Dual-Core 1.1 Ghz, Dual-Core"/>
    <s v="Windows 10"/>
    <x v="38"/>
    <s v="15.6&quot; (39.62 cm), 1920 x 1080 px, LED Display"/>
    <s v="Web Camera"/>
    <s v="Slim 19.9 mm"/>
    <s v="HDMI Port"/>
    <m/>
    <m/>
    <x v="2"/>
    <x v="22"/>
    <x v="2"/>
  </r>
  <r>
    <s v="Asus VivoBook S14 S433EA-AM701TS Laptop (Core i7 11th Gen/8 GB/512 GB SSD/Windows 10)"/>
    <s v="Asus VivoBook S14 S433EA-AM701TS Laptop (Core i7 11th Gen/8 GB/512 GB SSD/Windows 10) price in India"/>
    <x v="338"/>
    <n v="315"/>
    <n v="86"/>
    <x v="0"/>
    <d v="2021-02-01T00:00:00"/>
    <s v="Intel Celeron Dual-Core 1.1 Ghz, Dual-Core"/>
    <s v="Windows 10"/>
    <x v="5"/>
    <s v="14&quot; (35.56 cm), 1920 x 1080 px, LED Display"/>
    <s v="Web Camera"/>
    <s v="Slim 15.9 mm"/>
    <s v="HDMI Port"/>
    <m/>
    <n v="77"/>
    <x v="2"/>
    <x v="22"/>
    <x v="2"/>
  </r>
  <r>
    <s v="Asus Vivobook S410UA-EB267T Laptop (Core i5 8th Gen/8 GB/1 TB 128 GB SSD/Windows 10)"/>
    <s v="Asus Vivobook S410UA-EB267T Laptop (Core i5 8th Gen/8 GB/1 TB 128 GB SSD/Windows 10) price in India"/>
    <x v="339"/>
    <n v="191"/>
    <n v="86"/>
    <x v="0"/>
    <m/>
    <s v="Intel Celeron Dual-Core 1.1 Ghz, Dual-Core"/>
    <s v="Windows 10"/>
    <x v="37"/>
    <s v="14&quot; (35.56 cm), 1920 x 1080 px, LED Display"/>
    <s v="Web Camera"/>
    <s v="Slim 18.8 mm"/>
    <s v="HDMI Port"/>
    <s v="3 USB Ports"/>
    <m/>
    <x v="2"/>
    <x v="22"/>
    <x v="2"/>
  </r>
  <r>
    <s v="Dell Vostro 3520 (VN35200F59D001OSG1) Laptop (Core i5 11th Gen/8 GB/512 GB SSD/Windows 11)"/>
    <s v="Dell Vostro 3520 (VN35200F59D001OSG1) Laptop (Core i5 11th Gen/8 GB/512 GB SSD/Windows 11) price in India"/>
    <x v="247"/>
    <n v="131"/>
    <n v="86"/>
    <x v="0"/>
    <d v="2024-12-01T00:00:00"/>
    <s v="Intel Celeron Dual-Core 1.1 Ghz, Dual-Core"/>
    <s v="Windows 11"/>
    <x v="5"/>
    <s v="15.6&quot; (39.62 cm), 1920 x 1080 px, IPS LCD Display"/>
    <s v="Web Camera"/>
    <s v="Slim 16.9 mm"/>
    <s v="HDMI Port"/>
    <m/>
    <n v="75"/>
    <x v="6"/>
    <x v="22"/>
    <x v="2"/>
  </r>
  <r>
    <s v="Samsung Galaxy Book 4 Pro 360 NP960QGK-LG2IN Laptop (Core Ultra 7/16 GB/1 TB SSD/Windows 11)"/>
    <s v="Samsung Galaxy Book 4 Pro 360 NP960QGK-LG2IN Laptop (Core Ultra 7/16 GB/1 TB SSD/Windows 11) price in India"/>
    <x v="105"/>
    <n v="21"/>
    <n v="86"/>
    <x v="0"/>
    <d v="2024-09-01T00:00:00"/>
    <s v="Intel Celeron Dual-Core 1.1 Ghz, Dual-Core"/>
    <s v="Windows 11"/>
    <x v="3"/>
    <s v="16&quot; (40.64 cm), 2880 x 1800 px, AMOLED Display"/>
    <s v="Web Camera"/>
    <s v="Slim 12.8 mm"/>
    <s v="HDMI Port"/>
    <m/>
    <n v="86"/>
    <x v="8"/>
    <x v="22"/>
    <x v="0"/>
  </r>
  <r>
    <s v="Asus Vivobook Go 15 OLED E1504FAB-LK549WS Laptop (AMD Quad Core Ryzen 5/16 GB/512 GB SSD/Windows 11)"/>
    <s v="Asus Vivobook Go 15 OLED E1504FAB-LK549WS Laptop (AMD Quad Core Ryzen 5/16 GB/512 GB SSD/Windows 11) price in India"/>
    <x v="340"/>
    <n v="20"/>
    <n v="86"/>
    <x v="0"/>
    <d v="2024-08-01T00:00:00"/>
    <s v="Intel Celeron Dual-Core 1.1 Ghz, Dual-Core"/>
    <s v="Windows 11"/>
    <x v="17"/>
    <s v="15.6&quot; (39.62 cm), 1920 x 1080 px, OLED Display"/>
    <s v="Web Camera"/>
    <s v="Slim 17.9 mm"/>
    <s v="HDMI Port"/>
    <m/>
    <n v="76"/>
    <x v="2"/>
    <x v="22"/>
    <x v="0"/>
  </r>
  <r>
    <s v="Samsung Galaxy Book 4 Pro 360 NP960QGK-KG2IN Laptop (Intel Core Ultra 7/16 GB/1 TB SSD/Windows 11)"/>
    <s v="Samsung Galaxy Book 4 Pro 360 NP960QGK-KG2IN Laptop (Intel Core Ultra 7/16 GB/1 TB SSD/Windows 11) price in India"/>
    <x v="341"/>
    <n v="22"/>
    <n v="86"/>
    <x v="0"/>
    <d v="2024-02-01T00:00:00"/>
    <s v="Intel Celeron Dual-Core 1.1 Ghz, Dual-Core"/>
    <s v="Windows 11"/>
    <x v="3"/>
    <s v="16&quot; (40.64 cm), 2880 x 1800 px, AMOLED Display"/>
    <s v="Web Camera"/>
    <s v="Slim 12.8 mm"/>
    <s v="HDMI Port"/>
    <m/>
    <n v="86"/>
    <x v="8"/>
    <x v="22"/>
    <x v="0"/>
  </r>
  <r>
    <s v="Asus ROG Strix G15 G513QM-HF318TS Laptop (AMD Octa Core Ryzen 9/16 GB/1 TB SSD/Windows 10/6 GB)"/>
    <s v="Asus ROG Strix G15 G513QM-HF318TS Laptop (AMD Octa Core Ryzen 9/16 GB/1 TB SSD/Windows 10/6 GB) price in India"/>
    <x v="342"/>
    <n v="63"/>
    <n v="86"/>
    <x v="0"/>
    <d v="2021-06-01T00:00:00"/>
    <s v="Intel Celeron Dual-Core 1.1 Ghz, Dual-Core"/>
    <s v="Windows 10"/>
    <x v="23"/>
    <s v="15.6&quot; (39.62 cm), 1920 x 1080 px, IPS LCD Display"/>
    <s v="Web Camera"/>
    <m/>
    <s v="HDMI Port"/>
    <s v="1 USB Ports"/>
    <n v="83"/>
    <x v="2"/>
    <x v="22"/>
    <x v="0"/>
  </r>
  <r>
    <s v="Asus VivoBook Gaming F571LI-AL146T Laptop (Core i7 10th Gen/8 GB/1 TB 256 GB SSD/Windows 10/4 GB)"/>
    <s v="Asus VivoBook Gaming F571LI-AL146T Laptop (Core i7 10th Gen/8 GB/1 TB 256 GB SSD/Windows 10/4 GB) price in India"/>
    <x v="343"/>
    <n v="280"/>
    <n v="86"/>
    <x v="0"/>
    <d v="2020-11-01T00:00:00"/>
    <s v="Intel Celeron Dual-Core 1.1 Ghz, Dual-Core"/>
    <s v="Windows 10"/>
    <x v="37"/>
    <s v="15.6&quot; (39.62 cm), 1920 x 1080 px, LED Display"/>
    <s v="Web Camera"/>
    <s v="Slim 21.9 mm"/>
    <s v="HDMI Port"/>
    <m/>
    <n v="75"/>
    <x v="2"/>
    <x v="22"/>
    <x v="2"/>
  </r>
  <r>
    <s v="HP 14s-DR1010TU (227U3PA) Laptop (Core i7 10th Gen/8 GB/512 GB SSD/Windows 10)"/>
    <s v="HP 14s-DR1010TU (227U3PA) Laptop (Core i7 10th Gen/8 GB/512 GB SSD/Windows 10) price in India"/>
    <x v="30"/>
    <n v="83"/>
    <n v="86"/>
    <x v="0"/>
    <d v="2020-09-01T00:00:00"/>
    <s v="Intel Celeron Dual-Core 1.1 Ghz, Dual-Core"/>
    <s v="Windows 10"/>
    <x v="5"/>
    <s v="14&quot; (35.56 cm), 1920 x 1080 px, LED Display"/>
    <s v="Web Camera"/>
    <s v="Slim 17.9 mm"/>
    <s v="HDMI Port"/>
    <m/>
    <n v="71"/>
    <x v="7"/>
    <x v="22"/>
    <x v="2"/>
  </r>
  <r>
    <s v="Infinix Zero Book Ultra AI PC ZL514 (71008301614) Laptop (Core Ultra 9/32 GB/1 TB SSD/Windows 11)"/>
    <s v="Infinix Zero Book Ultra AI PC ZL514 (71008301614) Laptop (Core Ultra 9/32 GB/1 TB SSD/Windows 11) price in India"/>
    <x v="123"/>
    <n v="28"/>
    <n v="86"/>
    <x v="0"/>
    <d v="2024-07-01T00:00:00"/>
    <s v="Intel Celeron Dual-Core 1.1 Ghz, Dual-Core"/>
    <s v="Windows 11"/>
    <x v="7"/>
    <s v="15.6&quot; (39.62 cm), 1920 x 1080 px, IPS LCD Display"/>
    <s v="Web Camera"/>
    <s v="Slim 16.9 mm"/>
    <s v="HDMI Port"/>
    <m/>
    <n v="86"/>
    <x v="10"/>
    <x v="22"/>
    <x v="3"/>
  </r>
  <r>
    <s v="Asus VivoBook S15 OLED S5506MA-MA951WS Laptop (Core Ultra 9/16 GB/1 TB SSD/Windows 11)"/>
    <s v="Asus VivoBook S15 OLED S5506MA-MA951WS Laptop (Core Ultra 9/16 GB/1 TB SSD/Windows 11) price in India"/>
    <x v="4"/>
    <n v="7"/>
    <n v="86"/>
    <x v="0"/>
    <d v="2024-07-01T00:00:00"/>
    <s v="Intel Celeron Dual-Core 1.1 Ghz, Dual-Core"/>
    <s v="Windows 11"/>
    <x v="3"/>
    <s v="15.6&quot; (39.62 cm), 2880 x 1620 px, OLED Display"/>
    <s v="Web Camera"/>
    <s v="Slim 15.9 mm"/>
    <s v="HDMI Port"/>
    <m/>
    <n v="85"/>
    <x v="2"/>
    <x v="22"/>
    <x v="0"/>
  </r>
  <r>
    <s v="MSI Thin A15 B7UCX-216IN Laptop (AMD Hexa Core Ryzen 5/8 GB/512 GB SSD/Windows 11/4 GB)"/>
    <s v="MSI Thin A15 B7UCX-216IN Laptop (AMD Hexa Core Ryzen 5/8 GB/512 GB SSD/Windows 11/4 GB) price in India"/>
    <x v="42"/>
    <n v="204"/>
    <n v="86"/>
    <x v="0"/>
    <d v="2024-07-01T00:00:00"/>
    <s v="Intel Celeron Dual-Core 1.1 Ghz, Dual-Core"/>
    <s v="Windows 11"/>
    <x v="16"/>
    <s v="15.6&quot; (39.62 cm), 1920 x 1080 px, IPS LCD Display"/>
    <s v="Web Camera"/>
    <s v="Slim 21.7 mm"/>
    <s v="HDMI Port"/>
    <m/>
    <n v="85"/>
    <x v="3"/>
    <x v="22"/>
    <x v="2"/>
  </r>
  <r>
    <s v="Samsung Galaxy Book 4 360 NP750QGK-LG1IN Laptop (Core 5 Series 1 /16 GB/512 GB SSD/Windows 11)"/>
    <s v="Samsung Galaxy Book 4 360 NP750QGK-LG1IN Laptop (Core 5 Series 1 /16 GB/512 GB SSD/Windows 11) price in India"/>
    <x v="199"/>
    <n v="41"/>
    <n v="86"/>
    <x v="0"/>
    <d v="2024-06-01T00:00:00"/>
    <s v="Intel Celeron Dual-Core 1.1 Ghz, Dual-Core"/>
    <s v="Windows 11"/>
    <x v="17"/>
    <s v="15.6&quot; (39.62 cm), 1920 x 1080 px, AMOLED Display"/>
    <s v="Web Camera"/>
    <s v="Slim 13.7 mm"/>
    <s v="HDMI Port"/>
    <m/>
    <n v="83"/>
    <x v="8"/>
    <x v="22"/>
    <x v="0"/>
  </r>
  <r>
    <s v="HP Victus 15-fb2114AX (A85SGPA) Laptop (AMD Octa Core Ryzen 7/16 GB/512 GB SSD/Windows 11/6 GB)"/>
    <s v="HP Victus 15-fb2114AX (A85SGPA) Laptop (AMD Octa Core Ryzen 7/16 GB/512 GB SSD/Windows 11/6 GB) price in India"/>
    <x v="191"/>
    <n v="10"/>
    <n v="86"/>
    <x v="0"/>
    <d v="2024-06-01T00:00:00"/>
    <s v="Intel Celeron Dual-Core 1.1 Ghz, Dual-Core"/>
    <s v="Windows 11"/>
    <x v="6"/>
    <s v="15.6&quot; (39.62 cm), 1920 x 1080 px, IPS LCD Display"/>
    <s v="Web Camera"/>
    <m/>
    <s v="HDMI Port"/>
    <m/>
    <m/>
    <x v="7"/>
    <x v="22"/>
    <x v="0"/>
  </r>
  <r>
    <s v="Dell Inspiron 15 3530 (OIN353034011RINB1M) Laptop (Core i5 13th Gen/8 GB/512 GB SSD/Windows 11)"/>
    <s v="Dell Inspiron 15 3530 (OIN353034011RINB1M) Laptop (Core i5 13th Gen/8 GB/512 GB SSD/Windows 11) price in India"/>
    <x v="344"/>
    <n v="181"/>
    <n v="86"/>
    <x v="0"/>
    <d v="2024-06-01T00:00:00"/>
    <s v="Intel Celeron Dual-Core 1.1 Ghz, Dual-Core"/>
    <s v="Windows 11"/>
    <x v="5"/>
    <s v="15.6&quot; (39.62 cm), 1920 x 1080 px, IPS LCD Display"/>
    <s v="Web Camera"/>
    <s v="Slim 18.9 mm"/>
    <s v="HDMI Port"/>
    <m/>
    <n v="79"/>
    <x v="6"/>
    <x v="22"/>
    <x v="2"/>
  </r>
  <r>
    <s v="Dell Inspiron 15 3530 (OIN353010031RINS1M) Laptop (Core i7 13th Gen/16 GB/512 GB SSD/Windows 11)"/>
    <s v="Dell Inspiron 15 3530 (OIN353010031RINS1M) Laptop (Core i7 13th Gen/16 GB/512 GB SSD/Windows 11) price in India"/>
    <x v="345"/>
    <n v="127"/>
    <n v="86"/>
    <x v="0"/>
    <d v="2024-06-01T00:00:00"/>
    <s v="Intel Celeron Dual-Core 1.1 Ghz, Dual-Core"/>
    <s v="Windows 11"/>
    <x v="2"/>
    <s v="15.6&quot; (39.62 cm), 1920 x 1080 px, IPS LCD Display"/>
    <s v="Web Camera"/>
    <s v="Slim 18.9 mm"/>
    <s v="HDMI Port"/>
    <m/>
    <n v="81"/>
    <x v="6"/>
    <x v="22"/>
    <x v="0"/>
  </r>
  <r>
    <s v="Acer Aspire 3 A324-51 (UN.343SI.001) Laptop (Core i3 12th Gen/8 GB/512 GB SSD/Windows 11)"/>
    <s v="Acer Aspire 3 A324-51 (UN.343SI.001) Laptop (Core i3 12th Gen/8 GB/512 GB SSD/Windows 11) price in India"/>
    <x v="346"/>
    <n v="79"/>
    <n v="86"/>
    <x v="0"/>
    <d v="2024-06-01T00:00:00"/>
    <s v="Intel Celeron Dual-Core 1.1 Ghz, Dual-Core"/>
    <s v="Windows 11"/>
    <x v="5"/>
    <s v="14&quot; (35.56 cm), 1920 x 1080 px, TFT LCD Display"/>
    <s v="Web Camera"/>
    <s v="Slim 19.4 mm"/>
    <s v="HDMI Port"/>
    <m/>
    <n v="76"/>
    <x v="1"/>
    <x v="22"/>
    <x v="2"/>
  </r>
  <r>
    <s v="Acer Aspire 3 A324-51 (UN.343SI.006) Laptop (Core i3 12th Gen/8 GB/256 GB SSD/Windows 11)"/>
    <s v="Acer Aspire 3 A324-51 (UN.343SI.006) Laptop (Core i3 12th Gen/8 GB/256 GB SSD/Windows 11) price in India"/>
    <x v="347"/>
    <n v="79"/>
    <n v="86"/>
    <x v="0"/>
    <d v="2024-06-01T00:00:00"/>
    <s v="Intel Celeron Dual-Core 1.1 Ghz, Dual-Core"/>
    <s v="Windows 11"/>
    <x v="38"/>
    <s v="14&quot; (35.56 cm), 1920 x 1080 px, TFT LCD Display"/>
    <s v="Web Camera"/>
    <s v="Slim 19.4 mm"/>
    <s v="HDMI Port"/>
    <m/>
    <n v="75"/>
    <x v="1"/>
    <x v="22"/>
    <x v="2"/>
  </r>
  <r>
    <s v="MSI Modern 15 B12MO-612IN Laptop (Core i3 12th Gen/16 GB/512 GB SSD/Windows 11)"/>
    <s v="MSI Modern 15 B12MO-612IN Laptop (Core i3 12th Gen/16 GB/512 GB SSD/Windows 11) price in India"/>
    <x v="348"/>
    <n v="434"/>
    <n v="86"/>
    <x v="0"/>
    <d v="2024-05-01T00:00:00"/>
    <s v="Intel Celeron Dual-Core 1.1 Ghz, Dual-Core"/>
    <s v="Windows 11"/>
    <x v="2"/>
    <s v="15.6&quot; (39.62 cm), 1920 x 1080 px, IPS LCD Display"/>
    <s v="Web Camera"/>
    <s v="Slim 19.9 mm"/>
    <s v="HDMI Port"/>
    <m/>
    <n v="76"/>
    <x v="3"/>
    <x v="22"/>
    <x v="0"/>
  </r>
  <r>
    <s v="MSI Thin 15 B12UCX-1695IN Laptop (Core i5 12th Gen/16 GB/512 GB SSD/Windows 11/4 GB)"/>
    <s v="MSI Thin 15 B12UCX-1695IN Laptop (Core i5 12th Gen/16 GB/512 GB SSD/Windows 11/4 GB) price in India"/>
    <x v="349"/>
    <n v="1052"/>
    <n v="86"/>
    <x v="0"/>
    <d v="2024-02-01T00:00:00"/>
    <s v="Intel Celeron Dual-Core 1.1 Ghz, Dual-Core"/>
    <s v="Windows 11"/>
    <x v="2"/>
    <s v="15.6&quot; (39.62 cm), 1920 x 1080 px, IPS LCD Display"/>
    <s v="Web Camera"/>
    <s v="Slim 21.7 mm"/>
    <s v="HDMI Port"/>
    <m/>
    <n v="85"/>
    <x v="3"/>
    <x v="22"/>
    <x v="0"/>
  </r>
  <r>
    <s v="HP Omen 16-wf0179TX (9Q9M6PA) Laptop (Core i7 13th Gen/16 GB/512 GB SSD/Windows 11/6 GB)"/>
    <s v="HP Omen 16-wf0179TX (9Q9M6PA) Laptop (Core i7 13th Gen/16 GB/512 GB SSD/Windows 11/6 GB) price in India"/>
    <x v="350"/>
    <n v="152"/>
    <n v="86"/>
    <x v="0"/>
    <d v="2024-01-01T00:00:00"/>
    <s v="Intel Celeron Dual-Core 1.1 Ghz, Dual-Core"/>
    <s v="Windows 11"/>
    <x v="6"/>
    <s v="16.1&quot; (40.89 cm), 1920 x 1080 px, IPS LCD Display"/>
    <s v="Web Camera"/>
    <m/>
    <s v="HDMI Port"/>
    <m/>
    <m/>
    <x v="7"/>
    <x v="22"/>
    <x v="0"/>
  </r>
  <r>
    <s v="Infinix INBook Y4 Max YL613 Laptop (Core i5 13th Gen/16 GB/512 GB SSD/Windows 11)"/>
    <s v="Infinix INBook Y4 Max YL613 Laptop (Core i5 13th Gen/16 GB/512 GB SSD/Windows 11) price in India"/>
    <x v="6"/>
    <n v="146"/>
    <n v="86"/>
    <x v="0"/>
    <d v="2024-01-01T00:00:00"/>
    <s v="Intel Celeron Dual-Core 1.1 Ghz, Dual-Core"/>
    <s v="Windows 11"/>
    <x v="30"/>
    <s v="16&quot; (40.64 cm), 1920 x 1200 px, IPS LCD Display"/>
    <s v="Web Camera"/>
    <s v="Slim 17.9 mm"/>
    <s v="HDMI Port"/>
    <s v="2 USB Ports"/>
    <n v="81"/>
    <x v="10"/>
    <x v="22"/>
    <x v="0"/>
  </r>
  <r>
    <s v="Lenovo Ideapad Slim 5 16IMH9 (83DC0042IN) Laptop (Intel Core Ultra 5/16 GB/1 TB SSD/Windows 11)"/>
    <s v="Lenovo Ideapad Slim 5 16IMH9 (83DC0042IN) Laptop (Intel Core Ultra 5/16 GB/1 TB SSD/Windows 11) price in India"/>
    <x v="27"/>
    <n v="93"/>
    <n v="86"/>
    <x v="0"/>
    <d v="2024-01-01T00:00:00"/>
    <s v="Intel Celeron Dual-Core 1.1 Ghz, Dual-Core"/>
    <s v="Windows 11"/>
    <x v="3"/>
    <s v="16&quot; (40.64 cm), 1920 x 1200 px, IPS LCD Display"/>
    <s v="Web Camera"/>
    <s v="Slim 17.9 mm"/>
    <s v="HDMI Port"/>
    <m/>
    <n v="84"/>
    <x v="5"/>
    <x v="22"/>
    <x v="0"/>
  </r>
  <r>
    <s v="HP Victus 15-fb0136AX (87B82PA) Laptop (AMD Hexa Core Ryzen 5/16 GB/512 GB SSD/Windows 11/4 GB)"/>
    <s v="HP Victus 15-fb0136AX (87B82PA) Laptop (AMD Hexa Core Ryzen 5/16 GB/512 GB SSD/Windows 11/4 GB) price in India"/>
    <x v="325"/>
    <n v="988"/>
    <n v="86"/>
    <x v="0"/>
    <d v="2023-12-01T00:00:00"/>
    <s v="Intel Celeron Dual-Core 1.1 Ghz, Dual-Core"/>
    <s v="Windows 11"/>
    <x v="2"/>
    <s v="15.6&quot; (39.62 cm), 1920 x 1080 px, IPS LCD Display"/>
    <s v="Web Camera"/>
    <m/>
    <s v="HDMI Port"/>
    <m/>
    <n v="82"/>
    <x v="7"/>
    <x v="22"/>
    <x v="0"/>
  </r>
  <r>
    <s v="HP 15S-EQ2084AU (91R01PA) Laptop (AMD Octa Core Ryzen 7/16 GB/512 GB SSD/Windows 11)"/>
    <s v="HP 15S-EQ2084AU (91R01PA) Laptop (AMD Octa Core Ryzen 7/16 GB/512 GB SSD/Windows 11) price in India"/>
    <x v="351"/>
    <n v="467"/>
    <n v="86"/>
    <x v="0"/>
    <d v="2023-12-01T00:00:00"/>
    <s v="Intel Celeron Dual-Core 2.1 Ghz, Dual-Core"/>
    <s v="Windows 11"/>
    <x v="2"/>
    <s v="15.6&quot; (39.62 cm), 1920 x 1080 px, IPS LCD Display"/>
    <s v="Web Camera"/>
    <s v="Slim 17.9 mm"/>
    <s v="HDMI Port"/>
    <m/>
    <n v="71"/>
    <x v="7"/>
    <x v="22"/>
    <x v="0"/>
  </r>
  <r>
    <s v="Asus VivoBook 14 X1400EA-EK543WS Laptop (Core i5 11th Gen/16 GB/512 GB SSD/Windows 11)"/>
    <s v="Asus VivoBook 14 X1400EA-EK543WS Laptop (Core i5 11th Gen/16 GB/512 GB SSD/Windows 11) price in India"/>
    <x v="352"/>
    <n v="8266"/>
    <n v="86"/>
    <x v="0"/>
    <d v="2023-11-01T00:00:00"/>
    <s v="Intel Celeron Dual-Core 2.8 Ghz, Dual-Core"/>
    <s v="Windows 11"/>
    <x v="2"/>
    <s v="14&quot; (35.56 cm), 1920 x 1080 px, IPS LCD Display"/>
    <s v="Web Camera"/>
    <s v="Slim 19.9 mm"/>
    <s v="HDMI Port"/>
    <m/>
    <n v="77"/>
    <x v="2"/>
    <x v="22"/>
    <x v="0"/>
  </r>
  <r>
    <s v="Asus ROG Strix G15 G513RC-HN061W Laptop (AMD Octa Core Ryzen 7/16 GB/512 GB SSD/Windows 11/4 GB)"/>
    <s v="Asus ROG Strix G15 G513RC-HN061W Laptop (AMD Octa Core Ryzen 7/16 GB/512 GB SSD/Windows 11/4 GB) price in India"/>
    <x v="343"/>
    <n v="625"/>
    <n v="86"/>
    <x v="0"/>
    <d v="2023-11-01T00:00:00"/>
    <s v="Intel Celeron Dual-Core 2.8 Ghz, Dual-Core"/>
    <s v="Windows 11"/>
    <x v="6"/>
    <s v="15.6&quot; (39.62 cm), 1920 x 1080 px, IPS LCD Display"/>
    <m/>
    <m/>
    <s v="HDMI Port"/>
    <m/>
    <n v="86"/>
    <x v="2"/>
    <x v="22"/>
    <x v="0"/>
  </r>
  <r>
    <s v="HP Pavilion 15-eg3036TU (7S4P3PA) Laptop (Core i7 13th Gen/16 GB/1 TB SSD/Windows 11)"/>
    <s v="HP Pavilion 15-eg3036TU (7S4P3PA) Laptop (Core i7 13th Gen/16 GB/1 TB SSD/Windows 11) price in India"/>
    <x v="353"/>
    <n v="200"/>
    <n v="86"/>
    <x v="0"/>
    <d v="2023-11-01T00:00:00"/>
    <s v="Intel Celeron Dual-Core 2.8 Ghz, Dual-Core"/>
    <s v="Windows 11"/>
    <x v="23"/>
    <s v="15.6&quot; (39.62 cm), 1920 x 1080 px, IPS LCD Display"/>
    <s v="Web Camera"/>
    <s v="Slim 17.9 mm"/>
    <s v="HDMI Port"/>
    <m/>
    <n v="83"/>
    <x v="7"/>
    <x v="22"/>
    <x v="0"/>
  </r>
  <r>
    <s v="Asus VivoBook 15 X515EA-EJ342WS Laptop (Core i3 11th Gen/16 GB/512 GB SSD/Windows 11)"/>
    <s v="Asus VivoBook 15 X515EA-EJ342WS Laptop (Core i3 11th Gen/16 GB/512 GB SSD/Windows 11) price in India"/>
    <x v="348"/>
    <n v="8605"/>
    <n v="86"/>
    <x v="0"/>
    <d v="2023-10-01T00:00:00"/>
    <s v="Intel Celeron Dual-Core 2.8 Ghz, Dual-Core"/>
    <s v="Windows 11"/>
    <x v="2"/>
    <s v="15.6&quot; (39.62 cm), 1920 x 1080 px, IPS LCD Display"/>
    <s v="Web Camera"/>
    <s v="Slim 19.9 mm"/>
    <s v="HDMI Port"/>
    <m/>
    <n v="73"/>
    <x v="2"/>
    <x v="22"/>
    <x v="0"/>
  </r>
  <r>
    <s v="Asus VivoBook S14 S3402ZA-LY542WS Laptop (Core i5 12th Gen/16 GB/512 GB SSD/Windows 11)"/>
    <s v="Asus VivoBook S14 S3402ZA-LY542WS Laptop (Core i5 12th Gen/16 GB/512 GB SSD/Windows 11) price in India"/>
    <x v="210"/>
    <n v="1819"/>
    <n v="86"/>
    <x v="0"/>
    <d v="2023-10-01T00:00:00"/>
    <s v="Intel Celeron Dual-Core 2.8 Ghz, Dual-Core"/>
    <s v="Windows 11"/>
    <x v="2"/>
    <s v="14&quot; (35.56 cm), 1920 x 1200 px, IPS LCD Display"/>
    <s v="Web Camera"/>
    <s v="Slim 18.9 mm"/>
    <s v="HDMI Port"/>
    <m/>
    <n v="81"/>
    <x v="2"/>
    <x v="22"/>
    <x v="0"/>
  </r>
  <r>
    <s v="MSI GF63 Thin 12UC-846IN Laptop (Core i5 12th Gen/16 GB/512 GB SSD/Windows 11/4 GB)"/>
    <s v="MSI GF63 Thin 12UC-846IN Laptop (Core i5 12th Gen/16 GB/512 GB SSD/Windows 11/4 GB) price in India"/>
    <x v="237"/>
    <n v="203"/>
    <n v="86"/>
    <x v="0"/>
    <d v="2023-10-01T00:00:00"/>
    <s v="Intel Celeron Dual-Core 2.8 Ghz, Dual-Core"/>
    <s v="Windows 11"/>
    <x v="2"/>
    <s v="15.6&quot; (39.62 cm), 1920 x 1080 px, IPS LCD Display"/>
    <s v="Web Camera"/>
    <s v="Slim 21.7 mm"/>
    <m/>
    <m/>
    <n v="80"/>
    <x v="3"/>
    <x v="22"/>
    <x v="0"/>
  </r>
  <r>
    <s v="Acer Aspire Lite AL15-51 (UN.431SI.253) Laptop (Core i3 11th Gen/8 GB/512 GB SSD/Windows 11)"/>
    <s v="Acer Aspire Lite AL15-51 (UN.431SI.253) Laptop (Core i3 11th Gen/8 GB/512 GB SSD/Windows 11) price in India"/>
    <x v="354"/>
    <n v="184"/>
    <n v="86"/>
    <x v="0"/>
    <d v="2023-09-01T00:00:00"/>
    <s v="Intel Celeron Dual-Core 2.8 Ghz, Dual-Core"/>
    <s v="Windows 11"/>
    <x v="59"/>
    <s v="15.6&quot; (39.62 cm), 1920 x 1080 px Display"/>
    <s v="Web Camera"/>
    <s v="Slim 19.7 mm"/>
    <s v="HDMI Port"/>
    <m/>
    <n v="72"/>
    <x v="1"/>
    <x v="22"/>
    <x v="2"/>
  </r>
  <r>
    <s v="Lenovo ThinkBook 15 (21JF0026MJ) Laptop (AMD Octa Core Ryzen 7/16 GB/512 GB SSD/Windows 11)"/>
    <s v="Lenovo ThinkBook 15 (21JF0026MJ) Laptop (AMD Octa Core Ryzen 7/16 GB/512 GB SSD/Windows 11) price in India"/>
    <x v="355"/>
    <n v="54"/>
    <n v="86"/>
    <x v="0"/>
    <d v="2023-09-01T00:00:00"/>
    <s v="Intel Celeron Dual-Core 2.8 Ghz, Dual-Core"/>
    <s v="Windows 11"/>
    <x v="2"/>
    <s v="15.6&quot; (39.62 cm), 1920 x 1080 px, IPS LCD Display"/>
    <s v="Web Camera"/>
    <m/>
    <s v="HDMI Port"/>
    <m/>
    <m/>
    <x v="5"/>
    <x v="22"/>
    <x v="0"/>
  </r>
  <r>
    <s v="Asus VivoBook 15 X1502ZA-EJ993WS Laptop (Core i3 12th Gen/16 GB/512 GB SSD/Windows 11)"/>
    <s v="Asus VivoBook 15 X1502ZA-EJ993WS Laptop (Core i3 12th Gen/16 GB/512 GB SSD/Windows 11) price in India"/>
    <x v="356"/>
    <n v="3285"/>
    <n v="86"/>
    <x v="0"/>
    <d v="2023-09-01T00:00:00"/>
    <s v="Intel Celeron Dual-Core 2.8 Ghz, Dual-Core"/>
    <s v="Windows 11"/>
    <x v="2"/>
    <s v="15.6&quot; (39.62 cm), 1920 x 1080 px, IPS LCD Display"/>
    <s v="Web Camera"/>
    <s v="Slim 19.9 mm"/>
    <s v="HDMI Port"/>
    <m/>
    <n v="77"/>
    <x v="2"/>
    <x v="22"/>
    <x v="0"/>
  </r>
  <r>
    <s v="HP Pavilion 15-eg3018TU (87B57PA) Laptop (Core i5 13th Gen/16 GB/1 TB SSD/Windows 11)"/>
    <s v="HP Pavilion 15-eg3018TU (87B57PA) Laptop (Core i5 13th Gen/16 GB/1 TB SSD/Windows 11) price in India"/>
    <x v="357"/>
    <n v="411"/>
    <n v="86"/>
    <x v="0"/>
    <d v="2023-09-01T00:00:00"/>
    <s v="Intel Celeron Dual-Core 2.8 Ghz, Dual-Core"/>
    <s v="Windows 11"/>
    <x v="23"/>
    <s v="15.6&quot; (39.62 cm), 1920 x 1080 px, IPS LCD Display"/>
    <s v="Web Camera"/>
    <s v="Slim 17.9 mm"/>
    <s v="HDMI Port"/>
    <m/>
    <n v="77"/>
    <x v="7"/>
    <x v="22"/>
    <x v="0"/>
  </r>
  <r>
    <s v="HP Pavilion 14-dv2153TU (8Y2S3PA) Laptop (Core i5 12th Gen/16 GB/1 TB SSD/Windows 11)"/>
    <s v="HP Pavilion 14-dv2153TU (8Y2S3PA) Laptop (Core i5 12th Gen/16 GB/1 TB SSD/Windows 11) price in India"/>
    <x v="358"/>
    <n v="2072"/>
    <n v="86"/>
    <x v="0"/>
    <d v="2023-08-01T00:00:00"/>
    <s v="Intel Celeron Dual-Core 2.8 Ghz, Dual-Core"/>
    <s v="Windows 11"/>
    <x v="23"/>
    <s v="14&quot; (35.56 cm), 1920 x 1080 px, IPS LCD Display"/>
    <s v="Web Camera"/>
    <s v="Slim 17 mm"/>
    <s v="HDMI Port"/>
    <m/>
    <n v="81"/>
    <x v="7"/>
    <x v="22"/>
    <x v="0"/>
  </r>
  <r>
    <s v="Lenovo Ideapad Gaming 3 15ARH7 (82SB00V5IN) Laptop (AMD Octa Core Ryzen 7/8 GB/512 GB SSD/Windows 11/4 GB)"/>
    <s v="Lenovo Ideapad Gaming 3 15ARH7 (82SB00V5IN) Laptop (AMD Octa Core Ryzen 7/8 GB/512 GB SSD/Windows 11/4 GB) price in India"/>
    <x v="159"/>
    <n v="384"/>
    <n v="86"/>
    <x v="0"/>
    <d v="2023-08-01T00:00:00"/>
    <s v="Intel Celeron Dual-Core 2.8 Ghz, Dual-Core"/>
    <s v="Windows 11"/>
    <x v="16"/>
    <s v="15.6&quot; (39.62 cm), 1920 x 1080 px, IPS LCD Display"/>
    <s v="Web Camera"/>
    <s v="Slim 21.8 mm"/>
    <s v="HDMI Port"/>
    <m/>
    <n v="86"/>
    <x v="5"/>
    <x v="22"/>
    <x v="2"/>
  </r>
  <r>
    <s v="Lenovo IdeaPad Gaming 3 15ARH7 (82SB00Y8IN) Laptop (AMD Octa Core Ryzen 7/16 GB/512 GB SSD/Windows 11/4 GB)"/>
    <s v="Lenovo IdeaPad Gaming 3 15ARH7 (82SB00Y8IN) Laptop (AMD Octa Core Ryzen 7/16 GB/512 GB SSD/Windows 11/4 GB) price in India"/>
    <x v="359"/>
    <n v="384"/>
    <n v="86"/>
    <x v="0"/>
    <d v="2023-08-01T00:00:00"/>
    <s v="Intel Celeron Dual-Core 2.8 Ghz, Dual-Core"/>
    <s v="Windows 11"/>
    <x v="6"/>
    <s v="15.6&quot; (39.62 cm), 1920 x 1080 px, IPS LCD Display"/>
    <s v="Web Camera"/>
    <s v="Slim 21.8 mm"/>
    <s v="HDMI Port"/>
    <m/>
    <n v="87"/>
    <x v="5"/>
    <x v="22"/>
    <x v="0"/>
  </r>
  <r>
    <s v="HP Victus 15-fb1015AX (8R0L0PA) Laptop (AMD Hexa Core Ryzen 5/8 GB/512 GB SSD/Windows 11/4 GB)"/>
    <s v="HP Victus 15-fb1015AX (8R0L0PA) Laptop (AMD Hexa Core Ryzen 5/8 GB/512 GB SSD/Windows 11/4 GB) price in India"/>
    <x v="360"/>
    <n v="304"/>
    <n v="86"/>
    <x v="0"/>
    <d v="2023-08-01T00:00:00"/>
    <s v="Intel Celeron Dual-Core 2.8 Ghz, Dual-Core"/>
    <s v="Windows 11"/>
    <x v="16"/>
    <s v="15.6&quot; (39.62 cm), 1920 x 1080 px, IPS LCD Display"/>
    <s v="Web Camera"/>
    <m/>
    <s v="HDMI Port"/>
    <m/>
    <n v="79"/>
    <x v="7"/>
    <x v="22"/>
    <x v="2"/>
  </r>
  <r>
    <s v="Lenovo Yoga Slim 6 14IRH8 (83E00006IN) Laptop (Core i5 13th Gen/16 GB/512 GB SSD/Windows 11)"/>
    <s v="Lenovo Yoga Slim 6 14IRH8 (83E00006IN) Laptop (Core i5 13th Gen/16 GB/512 GB SSD/Windows 11) price in India"/>
    <x v="109"/>
    <n v="18"/>
    <n v="86"/>
    <x v="0"/>
    <d v="2023-08-01T00:00:00"/>
    <s v="Intel Celeron Dual-Core 2.8 Ghz, Dual-Core"/>
    <s v="Windows 11"/>
    <x v="8"/>
    <s v="14&quot; (35.56 cm), 1920 x 1200 px, OLED Display"/>
    <s v="Web Camera"/>
    <s v="Slim 14.9 mm"/>
    <s v="HDMI Port"/>
    <m/>
    <n v="83"/>
    <x v="5"/>
    <x v="22"/>
    <x v="0"/>
  </r>
  <r>
    <s v="Lenovo Yoga Slim 6 14IRH8 (83E00007IN) Laptop (Core i7 13th Gen/16 GB/512 GB SSD/Windows 11)"/>
    <s v="Lenovo Yoga Slim 6 14IRH8 (83E00007IN) Laptop (Core i7 13th Gen/16 GB/512 GB SSD/Windows 11) price in India"/>
    <x v="66"/>
    <n v="24"/>
    <n v="86"/>
    <x v="0"/>
    <d v="2023-08-01T00:00:00"/>
    <s v="Intel Celeron Dual-Core 2.8 Ghz, Dual-Core"/>
    <s v="Windows 11"/>
    <x v="8"/>
    <s v="14&quot; (35.56 cm), 1920 x 1200 px, OLED Display"/>
    <s v="Web Camera"/>
    <m/>
    <s v="HDMI Port"/>
    <m/>
    <n v="83"/>
    <x v="5"/>
    <x v="22"/>
    <x v="0"/>
  </r>
  <r>
    <s v="Asus TUF Gaming F15 FX506HF-HN075W Laptop (Core i5 11th Gen/8 GB/512 GB SSD/Windows 11/4 GB)"/>
    <s v="Asus TUF Gaming F15 FX506HF-HN075W Laptop (Core i5 11th Gen/8 GB/512 GB SSD/Windows 11/4 GB) price in India"/>
    <x v="361"/>
    <n v="4742"/>
    <n v="86"/>
    <x v="0"/>
    <d v="2023-08-01T00:00:00"/>
    <s v="Intel Celeron Dual-Core 2.8 Ghz, Dual-Core"/>
    <s v="Windows 11"/>
    <x v="5"/>
    <s v="15.6&quot; (39.62 cm), 1920 x 1080 px, IPS LCD Display"/>
    <s v="Web Camera"/>
    <m/>
    <s v="HDMI Port"/>
    <m/>
    <n v="77"/>
    <x v="2"/>
    <x v="22"/>
    <x v="2"/>
  </r>
  <r>
    <s v="Asus TUF Gaming F15 FX506HF-HN076W Laptop (Core i5 11th Gen/16 GB/512 GB SSD/Windows 11/4 GB)"/>
    <s v="Asus TUF Gaming F15 FX506HF-HN076W Laptop (Core i5 11th Gen/16 GB/512 GB SSD/Windows 11/4 GB) price in India"/>
    <x v="319"/>
    <n v="4499"/>
    <n v="86"/>
    <x v="0"/>
    <d v="2023-08-01T00:00:00"/>
    <s v="Intel Celeron Dual-Core 2.8 Ghz, Dual-Core"/>
    <s v="Windows 11"/>
    <x v="2"/>
    <s v="15.6&quot; (39.62 cm), 1920 x 1080 px, IPS LCD Display"/>
    <s v="Web Camera"/>
    <m/>
    <s v="HDMI Port"/>
    <m/>
    <n v="77"/>
    <x v="2"/>
    <x v="22"/>
    <x v="0"/>
  </r>
  <r>
    <s v="Infinix INBook X3 Slim XL422 Laptop (Core i7 12th Gen/16 GB/512 GB SSD/Windows 11)"/>
    <s v="Infinix INBook X3 Slim XL422 Laptop (Core i7 12th Gen/16 GB/512 GB SSD/Windows 11) price in India"/>
    <x v="362"/>
    <n v="115"/>
    <n v="86"/>
    <x v="0"/>
    <d v="2023-08-01T00:00:00"/>
    <s v="Intel Celeron Dual-Core 2.8 Ghz, Dual-Core"/>
    <s v="Windows 11"/>
    <x v="30"/>
    <s v="14&quot; (35.56 cm), 1920 x 1080 px, IPS LCD Display"/>
    <s v="Web Camera"/>
    <s v="Slim 14.8 mm"/>
    <s v="HDMI Port"/>
    <s v="2 USB Ports"/>
    <n v="80"/>
    <x v="10"/>
    <x v="22"/>
    <x v="0"/>
  </r>
  <r>
    <s v="HP Victus 15-fb0150AX (8F506PA) Laptop (AMD Hexa Core Ryzen 5/16 GB/512 GB SSD/Windows 11/4 GB)"/>
    <s v="HP Victus 15-fb0150AX (8F506PA) Laptop (AMD Hexa Core Ryzen 5/16 GB/512 GB SSD/Windows 11/4 GB) price in India"/>
    <x v="125"/>
    <n v="13"/>
    <n v="86"/>
    <x v="0"/>
    <d v="2023-08-01T00:00:00"/>
    <s v="Intel Celeron Dual-Core 2.8 Ghz, Dual-Core"/>
    <s v="Windows 11"/>
    <x v="2"/>
    <s v="15.6&quot; (39.62 cm), 1920 x 1080 px, IPS LCD Display"/>
    <s v="Web Camera"/>
    <m/>
    <s v="HDMI Port"/>
    <m/>
    <n v="83"/>
    <x v="7"/>
    <x v="22"/>
    <x v="0"/>
  </r>
  <r>
    <s v="MSI GF63 Thin 11UCX-1492IN Laptop (Core i5 11th Gen/16 GB/1 TB 256 GB SSD/Windows 11/4 GB)"/>
    <s v="MSI GF63 Thin 11UCX-1492IN Laptop (Core i5 11th Gen/16 GB/1 TB 256 GB SSD/Windows 11/4 GB) price in India"/>
    <x v="189"/>
    <n v="40"/>
    <n v="86"/>
    <x v="0"/>
    <d v="2023-08-01T00:00:00"/>
    <s v="Intel Celeron Dual-Core 2.8 Ghz, Dual-Core"/>
    <s v="Windows 11"/>
    <x v="34"/>
    <s v="15.6&quot; (39.62 cm), 1920 x 1080 px, IPS LCD Display"/>
    <s v="Web Camera"/>
    <s v="Slim 21.7 mm"/>
    <s v="HDMI Port"/>
    <m/>
    <n v="77"/>
    <x v="3"/>
    <x v="22"/>
    <x v="0"/>
  </r>
  <r>
    <s v="Lenovo Ideapad Slim 5 16IAH8 (83BG000PIN) Laptop (Core i5 12th Gen/16 GB/512 GB SSD/Windows 11)"/>
    <s v="Lenovo Ideapad Slim 5 16IAH8 (83BG000PIN) Laptop (Core i5 12th Gen/16 GB/512 GB SSD/Windows 11) price in India"/>
    <x v="256"/>
    <n v="212"/>
    <n v="86"/>
    <x v="0"/>
    <d v="2023-08-01T00:00:00"/>
    <s v="Intel Celeron Dual-Core 2.8 Ghz, Dual-Core"/>
    <s v="Windows 11"/>
    <x v="17"/>
    <s v="16&quot; (40.64 cm), 1920 x 1200 px, IPS LCD Display"/>
    <s v="Web Camera"/>
    <s v="Slim 17.9 mm"/>
    <s v="HDMI Port"/>
    <m/>
    <n v="81"/>
    <x v="5"/>
    <x v="22"/>
    <x v="0"/>
  </r>
  <r>
    <s v="Asus VivoBook Flip 14 OLED UP5401ZA-KU741WS Laptop (Core i7 12th Gen/16 GB/512 GB SSD/Windows 11)"/>
    <s v="Asus VivoBook Flip 14 OLED UP5401ZA-KU741WS Laptop (Core i7 12th Gen/16 GB/512 GB SSD/Windows 11) price in India"/>
    <x v="363"/>
    <n v="92"/>
    <n v="86"/>
    <x v="0"/>
    <d v="2023-08-01T00:00:00"/>
    <s v="Intel Celeron Quad-Core 1.1 Ghz, Quad-Core"/>
    <s v="Windows 11"/>
    <x v="17"/>
    <s v="14&quot; (35.56 cm), 3840 x 2400 px, OLED Display"/>
    <s v="Web Camera"/>
    <s v="Slim 15.9 mm"/>
    <s v="HDMI Port"/>
    <m/>
    <n v="80"/>
    <x v="2"/>
    <x v="23"/>
    <x v="0"/>
  </r>
  <r>
    <s v="Lenovo LOQ 15APH8 (82XT004HIN) Laptop (AMD Octa Core Ryzen 7/16 GB/512 GB SSD/Windows 11/6 GB)"/>
    <s v="Lenovo LOQ 15APH8 (82XT004HIN) Laptop (AMD Octa Core Ryzen 7/16 GB/512 GB SSD/Windows 11/6 GB) price in India"/>
    <x v="109"/>
    <n v="57"/>
    <n v="86"/>
    <x v="0"/>
    <d v="2023-08-01T00:00:00"/>
    <s v="Intel Celeron Quad-Core 2.8 Ghz, Quad-Core"/>
    <s v="Windows 11"/>
    <x v="6"/>
    <s v="15.6&quot; (39.62 cm), 1920 x 1080 px, IPS LCD Display"/>
    <s v="Web Camera"/>
    <m/>
    <s v="HDMI Port"/>
    <m/>
    <n v="83"/>
    <x v="5"/>
    <x v="23"/>
    <x v="0"/>
  </r>
  <r>
    <s v="HP Victus 15-fb1016AX (8R0L2PA) Laptop (AMD Hexa Core Ryzen 5/8 GB/512 GB SSD/Windows 11/4 GB)"/>
    <s v="HP Victus 15-fb1016AX (8R0L2PA) Laptop (AMD Hexa Core Ryzen 5/8 GB/512 GB SSD/Windows 11/4 GB) price in India"/>
    <x v="364"/>
    <n v="304"/>
    <n v="86"/>
    <x v="0"/>
    <d v="2023-08-01T00:00:00"/>
    <s v="Intel Core 3 (Series 1) 4.7 Ghz, Hexa-Core"/>
    <s v="Windows 11"/>
    <x v="16"/>
    <s v="15.6&quot; (39.62 cm), 1920 x 1080 px, IPS LCD Display"/>
    <s v="Web Camera"/>
    <m/>
    <s v="HDMI Port"/>
    <m/>
    <n v="84"/>
    <x v="7"/>
    <x v="24"/>
    <x v="2"/>
  </r>
  <r>
    <s v="Asus VivoBook 16 X1605VAB-MB544WS Laptop (Core i5 13th Gen/16 GB/512 GB SSD/Windows 11)"/>
    <s v="Asus VivoBook 16 X1605VAB-MB544WS Laptop (Core i5 13th Gen/16 GB/512 GB SSD/Windows 11) price in India"/>
    <x v="365"/>
    <n v="123"/>
    <n v="86"/>
    <x v="0"/>
    <d v="2023-07-01T00:00:00"/>
    <s v="Intel Core 5 (Series 1) 5 Ghz, Deca-Core"/>
    <s v="Windows 11"/>
    <x v="2"/>
    <s v="16&quot; (40.64 cm), 1920 x 1200 px, IPS LCD Display"/>
    <s v="Web Camera"/>
    <s v="Slim 19.9 mm"/>
    <s v="HDMI Port"/>
    <m/>
    <n v="74"/>
    <x v="2"/>
    <x v="25"/>
    <x v="0"/>
  </r>
  <r>
    <s v="HP Victus 15-fb0134AX (87B80PA) Laptop (AMD Hexa Core Ryzen 5/16 GB/512 GB SSD/Windows 11/4 GB)"/>
    <s v="HP Victus 15-fb0134AX (87B80PA) Laptop (AMD Hexa Core Ryzen 5/16 GB/512 GB SSD/Windows 11/4 GB) price in India"/>
    <x v="266"/>
    <n v="462"/>
    <n v="86"/>
    <x v="0"/>
    <d v="2023-07-01T00:00:00"/>
    <s v="Intel Core 5 (Series 1) 5 Ghz, Deca-Core"/>
    <s v="Windows 11"/>
    <x v="2"/>
    <s v="15.6&quot; (39.62 cm), 1920 x 1080 px, IPS LCD Display"/>
    <s v="Web Camera"/>
    <m/>
    <s v="HDMI Port"/>
    <m/>
    <n v="83"/>
    <x v="7"/>
    <x v="25"/>
    <x v="0"/>
  </r>
  <r>
    <s v="HP Omen 16-wd0880TX (88Y65PA) Laptop (Core i5 13th Gen/16 GB/512 GB SSD/Windows 11/6 GB)"/>
    <s v="HP Omen 16-wd0880TX (88Y65PA) Laptop (Core i5 13th Gen/16 GB/512 GB SSD/Windows 11/6 GB) price in India"/>
    <x v="366"/>
    <n v="122"/>
    <n v="86"/>
    <x v="0"/>
    <d v="2023-07-01T00:00:00"/>
    <s v="Intel Core 5 (Series 1) 5 Ghz, Deca-Core"/>
    <s v="Windows 11"/>
    <x v="6"/>
    <s v="16.1&quot; (40.89 cm), 2560 x 1440 px, IPS LCD Display"/>
    <s v="Web Camera"/>
    <m/>
    <s v="HDMI Port"/>
    <m/>
    <n v="83"/>
    <x v="7"/>
    <x v="25"/>
    <x v="0"/>
  </r>
  <r>
    <s v="Lenovo Ideapad Gaming 3 15ACH6 (82K2022YIN) Laptop (AMD Hexa Core Ryzen 5/8 GB/512 GB SSD/Windows 11/4 GB)"/>
    <s v="Lenovo Ideapad Gaming 3 15ACH6 (82K2022YIN) Laptop (AMD Hexa Core Ryzen 5/8 GB/512 GB SSD/Windows 11/4 GB) price in India"/>
    <x v="367"/>
    <n v="273"/>
    <n v="86"/>
    <x v="0"/>
    <d v="2023-07-01T00:00:00"/>
    <s v="Intel Core 5 (Series 1) 5 Ghz, Deca-Core"/>
    <s v="Windows 11"/>
    <x v="5"/>
    <s v="15.6&quot; (39.62 cm), 1920 x 1080 px, IPS LCD Display"/>
    <s v="Web Camera"/>
    <m/>
    <s v="HDMI Port"/>
    <m/>
    <n v="78"/>
    <x v="5"/>
    <x v="25"/>
    <x v="2"/>
  </r>
  <r>
    <s v="HP Envy x360 15-fe0027TU (8C527PA) Laptop (Core i5 13th Gen/16 GB/512 GB SSD/Windows 11)"/>
    <s v="HP Envy x360 15-fe0027TU (8C527PA) Laptop (Core i5 13th Gen/16 GB/512 GB SSD/Windows 11) price in India"/>
    <x v="213"/>
    <n v="7"/>
    <n v="86"/>
    <x v="0"/>
    <d v="2023-07-01T00:00:00"/>
    <s v="Intel Core 5 (Series 1) 5 Ghz, Deca-Core"/>
    <s v="Windows 11"/>
    <x v="17"/>
    <s v="15.6&quot; (39.62 cm), 1920 x 1080 px, IPS LCD Display"/>
    <s v="Web Camera"/>
    <s v="Slim 18.3 mm"/>
    <s v="HDMI Port"/>
    <m/>
    <n v="76"/>
    <x v="7"/>
    <x v="25"/>
    <x v="0"/>
  </r>
  <r>
    <s v="Lenovo Ideapad Gaming 3 15ACH6 (82K2025LIN) Laptop (AMD Hexa Core Ryzen 5/16 GB/512 GB SSD/Windows 11/4 GB)"/>
    <s v="Lenovo Ideapad Gaming 3 15ACH6 (82K2025LIN) Laptop (AMD Hexa Core Ryzen 5/16 GB/512 GB SSD/Windows 11/4 GB) price in India"/>
    <x v="30"/>
    <n v="842"/>
    <n v="86"/>
    <x v="0"/>
    <d v="2023-07-01T00:00:00"/>
    <s v="Intel Core 5 (Series 1) 5.0 Ghz, Deca-Core"/>
    <s v="Windows 11"/>
    <x v="2"/>
    <s v="15.6&quot; (39.62 cm), 1920 x 1080 px, IPS LCD Display"/>
    <s v="Web Camera"/>
    <m/>
    <s v="HDMI Port"/>
    <m/>
    <n v="77"/>
    <x v="5"/>
    <x v="25"/>
    <x v="0"/>
  </r>
  <r>
    <s v="HP Omen Transcend 16-u0005TX (834T6PA) Laptop (Core i7 13th Gen/16 GB/1 TB SSD/Windows 11/8 GB)"/>
    <s v="HP Omen Transcend 16-u0005TX (834T6PA) Laptop (Core i7 13th Gen/16 GB/1 TB SSD/Windows 11/8 GB) price in India"/>
    <x v="368"/>
    <n v="9"/>
    <n v="86"/>
    <x v="0"/>
    <d v="2023-06-01T00:00:00"/>
    <s v="Intel Core 5 (Series 2) 4.8 Ghz, Octa-Core"/>
    <s v="Windows 11"/>
    <x v="10"/>
    <s v="16&quot; (40.64 cm), 2560 x 1600 px, IPS LCD Display"/>
    <s v="Web Camera"/>
    <s v="Slim 19.9 mm"/>
    <s v="HDMI Port"/>
    <m/>
    <m/>
    <x v="7"/>
    <x v="26"/>
    <x v="0"/>
  </r>
  <r>
    <s v="MSI Modern 14 C12M-444IN Laptop (Core i3 12th Gen/16 GB/512 GB SSD/Windows 11)"/>
    <s v="MSI Modern 14 C12M-444IN Laptop (Core i3 12th Gen/16 GB/512 GB SSD/Windows 11) price in India"/>
    <x v="348"/>
    <n v="438"/>
    <n v="86"/>
    <x v="0"/>
    <d v="2023-06-01T00:00:00"/>
    <s v="Intel Core 5 (Series 2) 4.8 Ghz, Octa-Core"/>
    <s v="Windows 11"/>
    <x v="2"/>
    <s v="14&quot; (35.56 cm), 1920 x 1080 px, IPS LCD Display"/>
    <s v="Web Camera"/>
    <s v="Slim 19.3 mm"/>
    <s v="HDMI Port"/>
    <m/>
    <n v="73"/>
    <x v="3"/>
    <x v="26"/>
    <x v="0"/>
  </r>
  <r>
    <s v="Lenovo Ideapad Gaming 3 15IHU6 (82K101LGIN) Laptop (Core i5 11th Gen/8 GB/512 GB SSD/Windows 11/4 GB)"/>
    <s v="Lenovo Ideapad Gaming 3 15IHU6 (82K101LGIN) Laptop (Core i5 11th Gen/8 GB/512 GB SSD/Windows 11/4 GB) price in India"/>
    <x v="314"/>
    <n v="5215"/>
    <n v="86"/>
    <x v="0"/>
    <d v="2023-06-01T00:00:00"/>
    <s v="Intel Core 5 (Series 2) 4.8 Ghz, Octa-Core"/>
    <s v="Windows 11"/>
    <x v="5"/>
    <s v="15.6&quot; (39.62 cm), 1920 x 1080 px, IPS LCD Display"/>
    <s v="Web Camera"/>
    <m/>
    <s v="HDMI Port"/>
    <m/>
    <n v="78"/>
    <x v="5"/>
    <x v="26"/>
    <x v="2"/>
  </r>
  <r>
    <s v="MSI GF63 Thin 12VF-268IN Laptop (Core i5 12th Gen/16 GB/1 TB 256 GB SSD/Windows 11/8 GB)"/>
    <s v="MSI GF63 Thin 12VF-268IN Laptop (Core i5 12th Gen/16 GB/1 TB 256 GB SSD/Windows 11/8 GB) price in India"/>
    <x v="151"/>
    <n v="124"/>
    <n v="86"/>
    <x v="0"/>
    <d v="2023-06-01T00:00:00"/>
    <s v="Intel Core 5 (Series 2) 4.8 Ghz, Octa-Core"/>
    <s v="Windows 11"/>
    <x v="34"/>
    <s v="15.6&quot; (39.62 cm), 1920 x 1080 px, IPS LCD Display"/>
    <s v="Web Camera"/>
    <m/>
    <s v="HDMI Port"/>
    <m/>
    <n v="81"/>
    <x v="3"/>
    <x v="26"/>
    <x v="0"/>
  </r>
  <r>
    <s v="Infinix INBook X2 Slim XL23 Laptop (Core i7 11th Gen/16 GB/512 GB SSD/Windows 11)"/>
    <s v="Infinix INBook X2 Slim XL23 Laptop (Core i7 11th Gen/16 GB/512 GB SSD/Windows 11) price in India"/>
    <x v="369"/>
    <n v="100"/>
    <n v="86"/>
    <x v="0"/>
    <d v="2023-06-01T00:00:00"/>
    <s v="Intel Core 5 (Series 2) 4.8 Ghz, Octa-Core"/>
    <s v="Windows 11"/>
    <x v="30"/>
    <s v="14&quot; (35.56 cm), 1920 x 1080 px, IPS LCD Display"/>
    <s v="Web Camera"/>
    <s v="Slim 14.8 mm"/>
    <s v="HDMI Port"/>
    <s v="2 USB Ports"/>
    <n v="74"/>
    <x v="10"/>
    <x v="26"/>
    <x v="0"/>
  </r>
  <r>
    <s v="Asus VivoBook 15 X515EA-EJ542WS Laptop (Core i5 11th Gen/16 GB/512 GB SSD/Windows 11)"/>
    <s v="Asus VivoBook 15 X515EA-EJ542WS Laptop (Core i5 11th Gen/16 GB/512 GB SSD/Windows 11) price in India"/>
    <x v="180"/>
    <n v="1505"/>
    <n v="86"/>
    <x v="0"/>
    <d v="2023-06-01T00:00:00"/>
    <s v="Intel Core 7 (Series 1) 5.4 Ghz, Deca-Core"/>
    <s v="Windows 11"/>
    <x v="2"/>
    <s v="15.6&quot; (39.62 cm), 1920 x 1080 px, IPS LCD Display"/>
    <s v="Web Camera"/>
    <s v="Slim 19.9 mm"/>
    <s v="HDMI Port"/>
    <m/>
    <n v="72"/>
    <x v="2"/>
    <x v="27"/>
    <x v="0"/>
  </r>
  <r>
    <s v="Asus VivoBook Pro 15 M6500QF-HN741WS Laptop (AMD Octa Core Ryzen 7/16 GB/512 GB SSD/Windows 11/4 GB)"/>
    <s v="Asus VivoBook Pro 15 M6500QF-HN741WS Laptop (AMD Octa Core Ryzen 7/16 GB/512 GB SSD/Windows 11/4 GB) price in India"/>
    <x v="15"/>
    <n v="276"/>
    <n v="86"/>
    <x v="0"/>
    <d v="2023-06-01T00:00:00"/>
    <s v="Intel Core 7 (Series 1) 5.4 Ghz, Deca-Core"/>
    <s v="Windows 11"/>
    <x v="2"/>
    <s v="15.6&quot; (39.62 cm), 1920 x 1080 px, IPS LCD Display"/>
    <s v="Web Camera"/>
    <s v="Slim 19.9 mm"/>
    <s v="HDMI Port"/>
    <m/>
    <n v="79"/>
    <x v="2"/>
    <x v="27"/>
    <x v="0"/>
  </r>
  <r>
    <s v="MSI GF63 Thin 11UC-1475IN Laptop (Core i5 11th Gen/8 GB/512 GB SSD/Windows 11/4 GB)"/>
    <s v="MSI GF63 Thin 11UC-1475IN Laptop (Core i5 11th Gen/8 GB/512 GB SSD/Windows 11/4 GB) price in India"/>
    <x v="370"/>
    <n v="569"/>
    <n v="86"/>
    <x v="0"/>
    <d v="2023-05-01T00:00:00"/>
    <s v="Intel Core 7 (Series 1) 5.4 Ghz, Deca-Core"/>
    <s v="Windows 11"/>
    <x v="5"/>
    <s v="15.6&quot; (39.62 cm), 1920 x 1080 px, IPS LCD Display"/>
    <s v="Web Camera"/>
    <m/>
    <s v="HDMI Port"/>
    <m/>
    <n v="78"/>
    <x v="3"/>
    <x v="27"/>
    <x v="2"/>
  </r>
  <r>
    <s v="HP 247 G8 (67U40PA) Laptop (AMD Quad Core Ryzen 5/8 GB/512 GB SSD/Windows 11)"/>
    <s v="HP 247 G8 (67U40PA) Laptop (AMD Quad Core Ryzen 5/8 GB/512 GB SSD/Windows 11) price in India"/>
    <x v="313"/>
    <n v="64"/>
    <n v="86"/>
    <x v="0"/>
    <d v="2023-05-01T00:00:00"/>
    <s v="Intel Core 7 (Series 1) 5.4 Ghz, Deca-Core"/>
    <s v="Windows 11"/>
    <x v="5"/>
    <s v="14&quot; (35.56 cm), 1366 x 768 px, IPS LCD Display"/>
    <s v="Web Camera"/>
    <s v="Slim 17.9 mm"/>
    <s v="HDMI Port"/>
    <m/>
    <n v="71"/>
    <x v="7"/>
    <x v="27"/>
    <x v="2"/>
  </r>
  <r>
    <s v="Lenovo V15 ITL G2 (82KB00EWIN) Laptop (Core i3 11th Gen/4 GB/256 GB SSD/Windows 10)"/>
    <s v="Lenovo V15 ITL G2 (82KB00EWIN) Laptop (Core i3 11th Gen/4 GB/256 GB SSD/Windows 10) price in India"/>
    <x v="371"/>
    <n v="177"/>
    <n v="86"/>
    <x v="0"/>
    <d v="2023-05-01T00:00:00"/>
    <s v="Intel Core 7 (Series 2) 5.2 Ghz, Deca-Core"/>
    <s v="Windows 10"/>
    <x v="52"/>
    <s v="15&quot; (38.1 cm), 1920 x 1080 px, LED Display"/>
    <s v="Web Camera"/>
    <s v="Slim 19.9 mm"/>
    <s v="HDMI Port"/>
    <m/>
    <m/>
    <x v="5"/>
    <x v="28"/>
    <x v="7"/>
  </r>
  <r>
    <s v="Asus TUF Gaming F15 FX507ZV-LP094W Laptop (Core i7 12th Gen/16 GB/512 GB SSD/Windows 11/8 GB)"/>
    <s v="Asus TUF Gaming F15 FX507ZV-LP094W Laptop (Core i7 12th Gen/16 GB/512 GB SSD/Windows 11/8 GB) price in India"/>
    <x v="9"/>
    <n v="358"/>
    <n v="86"/>
    <x v="0"/>
    <d v="2023-05-01T00:00:00"/>
    <s v="Intel Core 7 (Series 2) 5.2 Ghz, Deca-Core"/>
    <s v="Windows 11"/>
    <x v="2"/>
    <s v="15.6&quot; (39.62 cm), 1920 x 1080 px Display"/>
    <s v="Web Camera"/>
    <m/>
    <s v="HDMI Port"/>
    <m/>
    <n v="86"/>
    <x v="2"/>
    <x v="28"/>
    <x v="0"/>
  </r>
  <r>
    <s v="Asus TUF Gaming F15 FX507VU-LP083WS Laptop (Core i7 13th Gen/16 GB/512 GB SSD/Windows 11/6 GB)"/>
    <s v="Asus TUF Gaming F15 FX507VU-LP083WS Laptop (Core i7 13th Gen/16 GB/512 GB SSD/Windows 11/6 GB) price in India"/>
    <x v="372"/>
    <n v="15"/>
    <n v="86"/>
    <x v="0"/>
    <d v="2023-05-01T00:00:00"/>
    <s v="Intel Core 7 (Series 2) 5.2 Ghz, Deca-Core"/>
    <s v="Windows 11"/>
    <x v="2"/>
    <s v="15.6&quot; (39.62 cm), 1920 x 1080 px, IPS LCD Display"/>
    <s v="Web Camera"/>
    <m/>
    <s v="HDMI Port"/>
    <m/>
    <n v="85"/>
    <x v="2"/>
    <x v="28"/>
    <x v="0"/>
  </r>
  <r>
    <s v="Lenovo Legion 5 15ACH6 (82JW00PBIN) Laptop (AMD Octa Core Ryzen 7/16 GB/512 GB SSD/Windows 11/4 GB)"/>
    <s v="Lenovo Legion 5 15ACH6 (82JW00PBIN) Laptop (AMD Octa Core Ryzen 7/16 GB/512 GB SSD/Windows 11/4 GB) price in India"/>
    <x v="230"/>
    <n v="160"/>
    <n v="86"/>
    <x v="0"/>
    <d v="2023-05-01T00:00:00"/>
    <s v="Intel Core 7 (Series 2) 5.2 Ghz, Deca-Core"/>
    <s v="Windows 11"/>
    <x v="2"/>
    <s v="15.6&quot; (39.62 cm), 1920 x 1080 px, IPS LCD Display"/>
    <s v="Web Camera"/>
    <m/>
    <s v="HDMI Port"/>
    <m/>
    <n v="81"/>
    <x v="5"/>
    <x v="28"/>
    <x v="0"/>
  </r>
  <r>
    <s v="MSI GF63 Thin 11SC-1298IN Laptop (Core i7 11th Gen/16 GB/1 TB 256 GB SSD/Windows 11/4 GB)"/>
    <s v="MSI GF63 Thin 11SC-1298IN Laptop (Core i7 11th Gen/16 GB/1 TB 256 GB SSD/Windows 11/4 GB) price in India"/>
    <x v="373"/>
    <n v="501"/>
    <n v="86"/>
    <x v="0"/>
    <d v="2023-05-01T00:00:00"/>
    <s v="Intel Core 7 (Series 2) 5.2 Ghz, Deca-Core"/>
    <s v="Windows 11"/>
    <x v="34"/>
    <s v="15.6&quot; (39.62 cm), 1920 x 1080 px, IPS LCD Display"/>
    <s v="Web Camera"/>
    <m/>
    <s v="HDMI Port"/>
    <m/>
    <n v="75"/>
    <x v="3"/>
    <x v="28"/>
    <x v="0"/>
  </r>
  <r>
    <s v="MSI GF63 Thin 11UC-1294IN Laptop (Core i7 11th Gen/16 GB/1 TB 256 GB SSD/Windows 11/4 GB)"/>
    <s v="MSI GF63 Thin 11UC-1294IN Laptop (Core i7 11th Gen/16 GB/1 TB 256 GB SSD/Windows 11/4 GB) price in India"/>
    <x v="62"/>
    <n v="933"/>
    <n v="86"/>
    <x v="0"/>
    <d v="2023-05-01T00:00:00"/>
    <s v="Intel Core i3 (10th Gen) 1.2 Ghz, Dual-Core"/>
    <s v="Windows 11"/>
    <x v="34"/>
    <s v="15.6&quot; (39.62 cm), 1920 x 1080 px, IPS LCD Display"/>
    <s v="Web Camera"/>
    <m/>
    <s v="HDMI Port"/>
    <m/>
    <n v="77"/>
    <x v="3"/>
    <x v="29"/>
    <x v="0"/>
  </r>
  <r>
    <s v="HP 15-fd0024TU (7Q865PA) Laptop (Core i7 13th Gen/16 GB/512 GB SSD/Windows 11)"/>
    <s v="HP 15-fd0024TU (7Q865PA) Laptop (Core i7 13th Gen/16 GB/512 GB SSD/Windows 11) price in India"/>
    <x v="55"/>
    <n v="200"/>
    <n v="86"/>
    <x v="0"/>
    <d v="2023-05-01T00:00:00"/>
    <s v="Intel Core i3 (10th Gen) 1.2 Ghz, Dual-Core"/>
    <s v="Windows 11"/>
    <x v="2"/>
    <s v="15.6&quot; (39.62 cm), 1920 x 1080 px, IPS LCD Display"/>
    <s v="Web Camera"/>
    <s v="Slim 19.9 mm"/>
    <s v="HDMI Port"/>
    <m/>
    <n v="77"/>
    <x v="7"/>
    <x v="29"/>
    <x v="0"/>
  </r>
  <r>
    <s v="Asus VivoBook S15 OLED S5504VA-MA741WS Laptop (Core i7 13th Gen/16 GB/512 GB SSD/Windows 11)"/>
    <s v="Asus VivoBook S15 OLED S5504VA-MA741WS Laptop (Core i7 13th Gen/16 GB/512 GB SSD/Windows 11) price in India"/>
    <x v="104"/>
    <n v="35"/>
    <n v="86"/>
    <x v="0"/>
    <d v="2023-05-01T00:00:00"/>
    <s v="Intel Core i3 (10th Gen) 1.2 Ghz, Dual-Core"/>
    <s v="Windows 11"/>
    <x v="17"/>
    <s v="15.6&quot; (39.62 cm), 2880 x 1620 px, OLED Display"/>
    <s v="Web Camera"/>
    <s v="Slim 17.9 mm"/>
    <m/>
    <m/>
    <n v="79"/>
    <x v="2"/>
    <x v="29"/>
    <x v="0"/>
  </r>
  <r>
    <s v="MSI GF63 Thin 12UCX-269IN Laptop (Core i5 12th Gen/16 GB/1 TB 256 GB SSD/Windows 11/4 GB)"/>
    <s v="MSI GF63 Thin 12UCX-269IN Laptop (Core i5 12th Gen/16 GB/1 TB 256 GB SSD/Windows 11/4 GB) price in India"/>
    <x v="374"/>
    <n v="172"/>
    <n v="86"/>
    <x v="0"/>
    <d v="2023-05-01T00:00:00"/>
    <s v="Intel Core i3 (10th Gen) 1.2 Ghz, Dual-Core"/>
    <s v="Windows 11"/>
    <x v="34"/>
    <s v="15.6&quot; (39.62 cm), 1920 x 1080 px, IPS LCD Display"/>
    <s v="Web Camera"/>
    <m/>
    <m/>
    <m/>
    <n v="77"/>
    <x v="3"/>
    <x v="29"/>
    <x v="0"/>
  </r>
  <r>
    <s v="Acer Predator Helios Neo 16 PHN16-71 (NH.QLUSI.001) Laptop (Core i7 13th Gen/16 GB/1 TB SSD/Windows 11/8 GB)"/>
    <s v="Acer Predator Helios Neo 16 PHN16-71 (NH.QLUSI.001) Laptop (Core i7 13th Gen/16 GB/1 TB SSD/Windows 11/8 GB) price in India"/>
    <x v="341"/>
    <n v="291"/>
    <n v="86"/>
    <x v="0"/>
    <d v="2023-05-01T00:00:00"/>
    <s v="Intel Core i3 (10th Gen) 1.2 Ghz, Dual-Core"/>
    <s v="Windows 11"/>
    <x v="10"/>
    <s v="16&quot; (40.64 cm), 2560 x 1600 px, IPS LCD Display"/>
    <s v="Web Camera"/>
    <m/>
    <s v="HDMI Port"/>
    <m/>
    <m/>
    <x v="1"/>
    <x v="29"/>
    <x v="0"/>
  </r>
  <r>
    <s v="MSI GF63 Thin 12UCX-266IN Laptop (Core i5 12th Gen/8 GB/512 GB SSD/Windows 11/4 GB)"/>
    <s v="MSI GF63 Thin 12UCX-266IN Laptop (Core i5 12th Gen/8 GB/512 GB SSD/Windows 11/4 GB) price in India"/>
    <x v="375"/>
    <n v="172"/>
    <n v="86"/>
    <x v="0"/>
    <d v="2023-04-01T00:00:00"/>
    <s v="Intel Core i3 (10th Gen) 1.2 Ghz, Dual-Core"/>
    <s v="Windows 11"/>
    <x v="5"/>
    <s v="15.6&quot; (39.62 cm), 1920 x 1080 px, IPS LCD Display"/>
    <s v="Web Camera"/>
    <m/>
    <s v="HDMI Port"/>
    <m/>
    <n v="77"/>
    <x v="3"/>
    <x v="29"/>
    <x v="2"/>
  </r>
  <r>
    <s v="MSI GF63 Thin 12UCX-265IN Laptop (Core i5 12th Gen/16 GB/512 GB SSD/Windows 11/4 GB)"/>
    <s v="MSI GF63 Thin 12UCX-265IN Laptop (Core i5 12th Gen/16 GB/512 GB SSD/Windows 11/4 GB) price in India"/>
    <x v="27"/>
    <n v="172"/>
    <n v="86"/>
    <x v="0"/>
    <d v="2023-04-01T00:00:00"/>
    <s v="Intel Core i3 (10th Gen) 1.2 Ghz, Dual-Core"/>
    <s v="Windows 11"/>
    <x v="2"/>
    <s v="15.6&quot; (39.62 cm), 1920 x 1080 px, IPS LCD Display"/>
    <s v="Web Camera"/>
    <m/>
    <s v="HDMI Port"/>
    <m/>
    <n v="78"/>
    <x v="3"/>
    <x v="29"/>
    <x v="0"/>
  </r>
  <r>
    <s v="MSI GF63 Thin 11UC-1296IN Laptop (Core i5 11th Gen/16 GB/512 GB SSD/Windows 11/4 GB)"/>
    <s v="MSI GF63 Thin 11UC-1296IN Laptop (Core i5 11th Gen/16 GB/512 GB SSD/Windows 11/4 GB) price in India"/>
    <x v="376"/>
    <n v="590"/>
    <n v="86"/>
    <x v="0"/>
    <d v="2023-04-01T00:00:00"/>
    <s v="Intel Core i3 (10th Gen) 1.2 Ghz, Dual-Core"/>
    <s v="Windows 11"/>
    <x v="2"/>
    <s v="15.6&quot; (39.62 cm), 1920 x 1080 px, IPS LCD Display"/>
    <s v="Web Camera"/>
    <m/>
    <s v="HDMI Port"/>
    <m/>
    <n v="77"/>
    <x v="3"/>
    <x v="29"/>
    <x v="0"/>
  </r>
  <r>
    <s v="MSI Katana GF66 12UC-1005IN Laptop (Core i5 12th Gen/16 GB/512 GB SSD/Windows 11/4 GB)"/>
    <s v="MSI Katana GF66 12UC-1005IN Laptop (Core i5 12th Gen/16 GB/512 GB SSD/Windows 11/4 GB) price in India"/>
    <x v="109"/>
    <n v="12"/>
    <n v="86"/>
    <x v="0"/>
    <d v="2023-04-01T00:00:00"/>
    <s v="Intel Core i3 (10th Gen) 1.2 Ghz, Dual-Core"/>
    <s v="Windows 11"/>
    <x v="2"/>
    <s v="15.6&quot; (39.62 cm), 1920 x 1080 px, IPS LCD Display"/>
    <s v="Web Camera"/>
    <m/>
    <s v="HDMI Port"/>
    <m/>
    <n v="78"/>
    <x v="3"/>
    <x v="29"/>
    <x v="0"/>
  </r>
  <r>
    <s v="HP 15s-fr4001TU (7J3Z3PA) Laptop (Core i5 11th Gen/16 GB/512 GB SSD/Windows 11)"/>
    <s v="HP 15s-fr4001TU (7J3Z3PA) Laptop (Core i5 11th Gen/16 GB/512 GB SSD/Windows 11) price in India"/>
    <x v="377"/>
    <n v="3925"/>
    <n v="86"/>
    <x v="0"/>
    <d v="2023-04-01T00:00:00"/>
    <s v="Intel Core i3 (10th Gen) 1.2 Ghz, Dual-Core"/>
    <s v="Windows 11"/>
    <x v="2"/>
    <s v="15.6&quot; (39.62 cm), 1920 x 1080 px, IPS LCD Display"/>
    <s v="Web Camera"/>
    <s v="Slim 17.9 mm"/>
    <m/>
    <m/>
    <n v="73"/>
    <x v="7"/>
    <x v="29"/>
    <x v="0"/>
  </r>
  <r>
    <s v="Asus VivoBook 15 X1502ZA-EJ953WS Laptop (Core i3 12th Gen/8 GB/512 GB SSD/Windows 11)"/>
    <s v="Asus VivoBook 15 X1502ZA-EJ953WS Laptop (Core i3 12th Gen/8 GB/512 GB SSD/Windows 11) price in India"/>
    <x v="378"/>
    <n v="3118"/>
    <n v="86"/>
    <x v="0"/>
    <d v="2023-04-01T00:00:00"/>
    <s v="Intel Core i3 (10th Gen) 1.2 Ghz, Dual-Core"/>
    <s v="Windows 11"/>
    <x v="5"/>
    <s v="15.6&quot; (39.62 cm), 1920 x 1080 px, IPS LCD Display"/>
    <s v="Web Camera"/>
    <s v="Slim 19.9 mm"/>
    <s v="HDMI Port"/>
    <m/>
    <n v="76"/>
    <x v="2"/>
    <x v="29"/>
    <x v="2"/>
  </r>
  <r>
    <s v="HP Pavilion 15-eg2017TU (6J8N3PA) Laptop (Core i3 12th Gen/8 GB/512 GB SSD/Windows 11)"/>
    <s v="HP Pavilion 15-eg2017TU (6J8N3PA) Laptop (Core i3 12th Gen/8 GB/512 GB SSD/Windows 11) price in India"/>
    <x v="42"/>
    <n v="216"/>
    <n v="86"/>
    <x v="0"/>
    <d v="2023-04-01T00:00:00"/>
    <s v="Intel Core i3 (10th Gen) 1.2 Ghz, Dual-Core"/>
    <s v="Windows 11"/>
    <x v="5"/>
    <s v="15.6&quot; (39.62 cm), 1920 x 1080 px, IPS LCD Display"/>
    <s v="Web Camera"/>
    <m/>
    <s v="HDMI Port"/>
    <m/>
    <n v="75"/>
    <x v="7"/>
    <x v="29"/>
    <x v="2"/>
  </r>
  <r>
    <s v="HP 255 G9 (7B1L8PA) Laptop (AMD Hexa Core Ryzen 5/8 GB/512 GB SSD/Windows 11)"/>
    <s v="HP 255 G9 (7B1L8PA) Laptop (AMD Hexa Core Ryzen 5/8 GB/512 GB SSD/Windows 11) price in India"/>
    <x v="379"/>
    <n v="20"/>
    <n v="86"/>
    <x v="0"/>
    <d v="2023-04-01T00:00:00"/>
    <s v="Intel Core i3 (10th Gen) 1.2 Ghz, Dual-Core"/>
    <s v="Windows 11"/>
    <x v="5"/>
    <s v="15.6&quot; (39.62 cm), 1366 x 768 px Display"/>
    <s v="Web Camera"/>
    <s v="Slim 17.9 mm"/>
    <s v="HDMI Port"/>
    <m/>
    <n v="74"/>
    <x v="7"/>
    <x v="29"/>
    <x v="2"/>
  </r>
  <r>
    <s v="HP Pavilion 15-eg3079TU (86T11PA) Laptop (Core i5 13th Gen/16 GB/512 GB SSD/Windows 11)"/>
    <s v="HP Pavilion 15-eg3079TU (86T11PA) Laptop (Core i5 13th Gen/16 GB/512 GB SSD/Windows 11) price in India"/>
    <x v="62"/>
    <n v="412"/>
    <n v="86"/>
    <x v="0"/>
    <d v="2023-04-01T00:00:00"/>
    <s v="Intel Core i3 (10th Gen) 1.2 Ghz, Dual-Core"/>
    <s v="Windows 11"/>
    <x v="2"/>
    <s v="15.6&quot; (39.62 cm), 1920 x 1080 px, IPS LCD Display"/>
    <s v="Web Camera"/>
    <s v="Slim 17.9 mm"/>
    <s v="HDMI Port"/>
    <m/>
    <n v="81"/>
    <x v="7"/>
    <x v="29"/>
    <x v="0"/>
  </r>
  <r>
    <s v="HP Pavilion 15-eh2050AU (7Z1H8PA) Laptop (AMD Hexa Core Ryzen 5/8 GB/512 GB SSD/Windows 11)"/>
    <s v="HP Pavilion 15-eh2050AU (7Z1H8PA) Laptop (AMD Hexa Core Ryzen 5/8 GB/512 GB SSD/Windows 11) price in India"/>
    <x v="245"/>
    <n v="246"/>
    <n v="86"/>
    <x v="0"/>
    <d v="2023-04-01T00:00:00"/>
    <s v="Intel Core i3 (10th Gen) 2.1 Ghz"/>
    <s v="Windows 11"/>
    <x v="5"/>
    <s v="15.6&quot; (39.62 cm), 1920 x 1080 px Display"/>
    <s v="Web Camera"/>
    <s v="Slim 17.9 mm"/>
    <s v="HDMI Port"/>
    <m/>
    <m/>
    <x v="7"/>
    <x v="29"/>
    <x v="2"/>
  </r>
  <r>
    <s v="Acer Swift Go OLED SFG14-71 (NX.KF1SI.002) Laptop (Core i5 13th Gen/16 GB/512 GB SSD/Windows 11)"/>
    <s v="Acer Swift Go OLED SFG14-71 (NX.KF1SI.002) Laptop (Core i5 13th Gen/16 GB/512 GB SSD/Windows 11) price in India"/>
    <x v="380"/>
    <n v="490"/>
    <n v="86"/>
    <x v="0"/>
    <d v="2023-04-01T00:00:00"/>
    <s v="Intel Core i3 (10th Gen) 2.1 Ghz, Dual-Core"/>
    <s v="Windows 11"/>
    <x v="17"/>
    <s v="14&quot; (35.56 cm), 2880 x 1800 px, OLED Display"/>
    <s v="Web Camera"/>
    <s v="Slim 14.9 mm"/>
    <s v="HDMI Port"/>
    <m/>
    <n v="78"/>
    <x v="1"/>
    <x v="29"/>
    <x v="0"/>
  </r>
  <r>
    <s v="Asus ROG Zephyrus M16 GU604VZ-NM050WS Laptop (Core i9 13th Gen/32 GB/1 TB SSD/Windows 11/12 GB)"/>
    <s v="Asus ROG Zephyrus M16 GU604VZ-NM050WS Laptop (Core i9 13th Gen/32 GB/1 TB SSD/Windows 11/12 GB) price in India"/>
    <x v="381"/>
    <n v="3"/>
    <n v="86"/>
    <x v="0"/>
    <d v="2023-03-01T00:00:00"/>
    <s v="Intel Core i3 (10th Gen) 2.1 Ghz, Dual-Core"/>
    <s v="Windows 11"/>
    <x v="19"/>
    <s v="16&quot; (40.64 cm), 2560 x 1600 px, IPS LCD Display"/>
    <s v="Web Camera"/>
    <m/>
    <s v="HDMI Port"/>
    <m/>
    <m/>
    <x v="2"/>
    <x v="29"/>
    <x v="3"/>
  </r>
  <r>
    <s v="Acer Aspire 5 A515-58M (NX.KHGSI.002) Laptop (Core i5 13th Gen/16 GB/512 GB SSD/Windows 11)"/>
    <s v="Acer Aspire 5 A515-58M (NX.KHGSI.002) Laptop (Core i5 13th Gen/16 GB/512 GB SSD/Windows 11) price in India"/>
    <x v="256"/>
    <n v="32"/>
    <n v="86"/>
    <x v="0"/>
    <d v="2023-03-01T00:00:00"/>
    <s v="Intel Core i3 (10th Gen) 3.3 Ghz"/>
    <s v="Windows 11"/>
    <x v="17"/>
    <s v="15.6&quot; (39.62 cm), 1920 x 1080 px, IPS LCD Display"/>
    <s v="Web Camera"/>
    <s v="Slim 17.9 mm"/>
    <s v="HDMI Port"/>
    <m/>
    <n v="75"/>
    <x v="1"/>
    <x v="29"/>
    <x v="0"/>
  </r>
  <r>
    <s v="MSI Modern 14 C7M-062IN Laptop (AMD Hexa Core Ryzen 5/16 GB/512 GB SSD/Windows 11)"/>
    <s v="MSI Modern 14 C7M-062IN Laptop (AMD Hexa Core Ryzen 5/16 GB/512 GB SSD/Windows 11) price in India"/>
    <x v="114"/>
    <n v="1644"/>
    <n v="86"/>
    <x v="0"/>
    <d v="2023-03-01T00:00:00"/>
    <s v="Intel Core i3 (10th Gen) 3.4 Ghz, Dual-Core"/>
    <s v="Windows 11"/>
    <x v="2"/>
    <s v="14&quot; (35.56 cm), 1920 x 1080 px, IPS LCD Display"/>
    <s v="Web Camera"/>
    <s v="Slim 19.3 mm"/>
    <s v="HDMI Port"/>
    <m/>
    <n v="75"/>
    <x v="3"/>
    <x v="29"/>
    <x v="0"/>
  </r>
  <r>
    <s v="MSI Modern 14 C7M-063IN Laptop (AMD Hexa Core Ryzen 5/8 GB/512 GB SSD/Windows 11)"/>
    <s v="MSI Modern 14 C7M-063IN Laptop (AMD Hexa Core Ryzen 5/8 GB/512 GB SSD/Windows 11) price in India"/>
    <x v="47"/>
    <n v="1644"/>
    <n v="86"/>
    <x v="0"/>
    <d v="2023-03-01T00:00:00"/>
    <s v="Intel Core i3 (10th Gen) 3.4 Ghz, Dual-Core"/>
    <s v="Windows 11"/>
    <x v="5"/>
    <s v="14&quot; (35.56 cm), 1920 x 1080 px, IPS LCD Display"/>
    <s v="Web Camera"/>
    <s v="Slim 19.3 mm"/>
    <s v="HDMI Port"/>
    <m/>
    <m/>
    <x v="3"/>
    <x v="29"/>
    <x v="2"/>
  </r>
  <r>
    <s v="MSI Modern 14 C11M-031IN Laptop (Core i3 11th Gen/8 GB/512 GB SSD/Windows 11)"/>
    <s v="MSI Modern 14 C11M-031IN Laptop (Core i3 11th Gen/8 GB/512 GB SSD/Windows 11) price in India"/>
    <x v="382"/>
    <n v="2716"/>
    <n v="86"/>
    <x v="0"/>
    <d v="2023-03-01T00:00:00"/>
    <s v="Intel Core i3 (10th Gen) 3.4 Ghz, Dual-Core"/>
    <s v="Windows 11"/>
    <x v="5"/>
    <s v="14&quot; (35.56 cm), 1920 x 1080 px, IPS LCD Display"/>
    <s v="Web Camera"/>
    <s v="Slim 19.3 mm"/>
    <s v="HDMI Port"/>
    <m/>
    <n v="74"/>
    <x v="3"/>
    <x v="29"/>
    <x v="2"/>
  </r>
  <r>
    <s v="Asus VivoBook Go E1404FA-NK322WS Laptop (AMD Quad Core Ryzen 3/8 GB/512 GB SSD/Windows 11)"/>
    <s v="Asus VivoBook Go E1404FA-NK322WS Laptop (AMD Quad Core Ryzen 3/8 GB/512 GB SSD/Windows 11) price in India"/>
    <x v="354"/>
    <n v="151"/>
    <n v="86"/>
    <x v="0"/>
    <d v="2023-03-01T00:00:00"/>
    <s v="Intel Core i3 (10th Gen) 3.4 Ghz, Dual-Core"/>
    <s v="Windows 11"/>
    <x v="20"/>
    <s v="14&quot; (35.56 cm), 1920 x 1080 px, IPS LCD Display"/>
    <s v="Web Camera"/>
    <s v="Slim 17.9 mm"/>
    <s v="HDMI Port"/>
    <m/>
    <m/>
    <x v="2"/>
    <x v="29"/>
    <x v="2"/>
  </r>
  <r>
    <s v="Asus VivoBook Go 15 E1504FA-NJ523WS Laptop (AMD Quad Core Ryzen 5/8 GB/512 GB SSD/Windows 11)"/>
    <s v="Asus VivoBook Go 15 E1504FA-NJ523WS Laptop (AMD Quad Core Ryzen 5/8 GB/512 GB SSD/Windows 11) price in India"/>
    <x v="383"/>
    <n v="1218"/>
    <n v="86"/>
    <x v="0"/>
    <d v="2023-03-01T00:00:00"/>
    <s v="Intel Core i3 (10th Gen) 4.1 Ghz, Dual-Core"/>
    <s v="Windows 11"/>
    <x v="20"/>
    <s v="15.6&quot; (39.62 cm), 1920 x 1080 px, IPS LCD Display"/>
    <s v="Web Camera"/>
    <s v="Slim 17.9 mm"/>
    <m/>
    <m/>
    <m/>
    <x v="2"/>
    <x v="29"/>
    <x v="2"/>
  </r>
  <r>
    <s v="HP 15s-eq2223AU (7W474PA) Laptop (AMD Hexa Core Ryzen 5/8 GB/512 GB SSD/Windows 11)"/>
    <s v="HP 15s-eq2223AU (7W474PA) Laptop (AMD Hexa Core Ryzen 5/8 GB/512 GB SSD/Windows 11) price in India"/>
    <x v="384"/>
    <n v="3100"/>
    <n v="86"/>
    <x v="0"/>
    <d v="2023-03-01T00:00:00"/>
    <s v="Intel Core i3 (11th Gen) 0.8 Ghz, Dual-Core"/>
    <s v="Windows 11"/>
    <x v="5"/>
    <s v="15.6&quot; (39.62 cm), 1920 x 1080 px, IPS LCD Display"/>
    <s v="Web Camera"/>
    <s v="Slim 17.9 mm"/>
    <s v="HDMI Port"/>
    <m/>
    <m/>
    <x v="7"/>
    <x v="30"/>
    <x v="2"/>
  </r>
  <r>
    <s v="MSI Modern 15 B7M-072IN Laptop (AMD Hexa Core Ryzen 5/16 GB/512 GB SSD/Windows 11)"/>
    <s v="MSI Modern 15 B7M-072IN Laptop (AMD Hexa Core Ryzen 5/16 GB/512 GB SSD/Windows 11) price in India"/>
    <x v="47"/>
    <n v="1650"/>
    <n v="86"/>
    <x v="0"/>
    <d v="2023-03-01T00:00:00"/>
    <s v="Intel Core i3 (11th Gen) 1.7 Ghz"/>
    <s v="Windows 11"/>
    <x v="2"/>
    <s v="15.6&quot; (39.62 cm), 1920 x 1080 px, IPS LCD Display"/>
    <s v="Web Camera"/>
    <s v="Slim 19 mm"/>
    <s v="HDMI Port"/>
    <m/>
    <m/>
    <x v="3"/>
    <x v="30"/>
    <x v="0"/>
  </r>
  <r>
    <s v="Samsung Galaxy Book 3 NP750XFG-KB1IN Laptop (Core i5 13th Gen/8 GB/512 GB SSD/Windows 11)"/>
    <s v="Samsung Galaxy Book 3 NP750XFG-KB1IN Laptop (Core i5 13th Gen/8 GB/512 GB SSD/Windows 11) price in India"/>
    <x v="385"/>
    <n v="980"/>
    <n v="86"/>
    <x v="0"/>
    <d v="2023-03-01T00:00:00"/>
    <s v="Intel Core i3 (11th Gen) 1.7 Ghz, Dual-Core"/>
    <s v="Windows 11"/>
    <x v="48"/>
    <s v="15.6&quot; (39.62 cm), 1920 x 1080 px, IPS LCD Display"/>
    <s v="Web Camera"/>
    <s v="Slim 15.4 mm"/>
    <s v="HDMI Port"/>
    <m/>
    <n v="79"/>
    <x v="8"/>
    <x v="30"/>
    <x v="2"/>
  </r>
  <r>
    <s v="Asus VivoBook Pro 15 M6500QC-HN742WS Laptop (AMD Octa Core Ryzen 7/16 GB/512 GB SSD/Windows 11/4 GB)"/>
    <s v="Asus VivoBook Pro 15 M6500QC-HN742WS Laptop (AMD Octa Core Ryzen 7/16 GB/512 GB SSD/Windows 11/4 GB) price in India"/>
    <x v="386"/>
    <n v="44"/>
    <n v="86"/>
    <x v="0"/>
    <d v="2023-02-01T00:00:00"/>
    <s v="Intel Core i3 (11th Gen) 1.7 Ghz, Dual-Core"/>
    <s v="Windows 11"/>
    <x v="2"/>
    <s v="15.6&quot; (39.62 cm), 1920 x 1080 px, IPS LCD Display"/>
    <s v="Web Camera"/>
    <s v="Slim 19 mm"/>
    <s v="HDMI Port"/>
    <s v="4 USB Ports"/>
    <n v="80"/>
    <x v="2"/>
    <x v="30"/>
    <x v="0"/>
  </r>
  <r>
    <s v="HP Victus 15-fb0106AX (7K4W8PA) Laptop (AMD Hexa Core Ryzen 5/16 GB/512 GB SSD/Windows 11/4 GB)"/>
    <s v="HP Victus 15-fb0106AX (7K4W8PA) Laptop (AMD Hexa Core Ryzen 5/16 GB/512 GB SSD/Windows 11/4 GB) price in India"/>
    <x v="365"/>
    <n v="460"/>
    <n v="86"/>
    <x v="0"/>
    <d v="2023-02-01T00:00:00"/>
    <s v="Intel Core i3 (11th Gen) 1.7 Ghz, Dual-Core"/>
    <s v="Windows 11"/>
    <x v="2"/>
    <s v="15.6&quot; (39.62 cm), 1920 x 1080 px, IPS LCD Display"/>
    <s v="Web Camera"/>
    <m/>
    <s v="HDMI Port"/>
    <m/>
    <n v="84"/>
    <x v="7"/>
    <x v="30"/>
    <x v="0"/>
  </r>
  <r>
    <s v="HP Victus 15-fb0107AX (7K4W9PA) Laptop (AMD Octa Core Ryzen 7/16 GB/512 GB SSD/Windows 11/4 GB)"/>
    <s v="HP Victus 15-fb0107AX (7K4W9PA) Laptop (AMD Octa Core Ryzen 7/16 GB/512 GB SSD/Windows 11/4 GB) price in India"/>
    <x v="30"/>
    <n v="462"/>
    <n v="86"/>
    <x v="0"/>
    <d v="2023-02-01T00:00:00"/>
    <s v="Intel Core i3 (11th Gen) 1.7 Ghz, Dual-Core"/>
    <s v="Windows 11"/>
    <x v="2"/>
    <s v="15.6&quot; (39.62 cm), 1920 x 1080 px, IPS LCD Display"/>
    <s v="Web Camera"/>
    <m/>
    <m/>
    <m/>
    <n v="80"/>
    <x v="7"/>
    <x v="30"/>
    <x v="0"/>
  </r>
  <r>
    <s v="Lenovo ThinkBook 15 Gen 3 (21A4A08WIH) Laptop (AMD Quad Core Ryzen 3/8 GB/512 GB SSD/Windows 11)"/>
    <s v="Lenovo ThinkBook 15 Gen 3 (21A4A08WIH) Laptop (AMD Quad Core Ryzen 3/8 GB/512 GB SSD/Windows 11) price in India"/>
    <x v="387"/>
    <n v="1072"/>
    <n v="86"/>
    <x v="0"/>
    <d v="2023-02-01T00:00:00"/>
    <s v="Intel Core i3 (11th Gen) 1.7 Ghz, Dual-Core"/>
    <s v="Windows 11"/>
    <x v="5"/>
    <s v="15.6&quot; (39.62 cm), 1920 x 1080 px, IPS LCD Display"/>
    <s v="Web Camera"/>
    <s v="Slim 19 mm"/>
    <s v="HDMI Port"/>
    <m/>
    <m/>
    <x v="5"/>
    <x v="30"/>
    <x v="2"/>
  </r>
  <r>
    <s v="Acer Nitro 5 AN515-45 (UN.QCLSI.009) Laptop (AMD Hexa Core Ryzen 5/16 GB/1 TB 512 GB SSD/Windows 11/4 GB)"/>
    <s v="Acer Nitro 5 AN515-45 (UN.QCLSI.009) Laptop (AMD Hexa Core Ryzen 5/16 GB/1 TB 512 GB SSD/Windows 11/4 GB) price in India"/>
    <x v="388"/>
    <n v="330"/>
    <n v="86"/>
    <x v="0"/>
    <d v="2023-02-01T00:00:00"/>
    <s v="Intel Core i3 (11th Gen) 1.7 Ghz, Dual-Core"/>
    <s v="Windows 11"/>
    <x v="34"/>
    <s v="15.6&quot; (39.62 cm), 1920 x 1080 px, IPS LCD Display"/>
    <s v="Web Camera"/>
    <m/>
    <s v="HDMI Port"/>
    <m/>
    <n v="79"/>
    <x v="1"/>
    <x v="30"/>
    <x v="0"/>
  </r>
  <r>
    <s v="Asus VivoBook Go 15 OLED E1504FA-LK542WS Laptop (AMD Quad Core Ryzen 5/16 GB/512 GB SSD/Windows 11)"/>
    <s v="Asus VivoBook Go 15 OLED E1504FA-LK542WS Laptop (AMD Quad Core Ryzen 5/16 GB/512 GB SSD/Windows 11) price in India"/>
    <x v="389"/>
    <n v="136"/>
    <n v="86"/>
    <x v="0"/>
    <d v="2023-02-01T00:00:00"/>
    <s v="Intel Core i3 (11th Gen) 1.7 Ghz, Dual-Core"/>
    <s v="Windows 11"/>
    <x v="17"/>
    <s v="15.6&quot; (39.62 cm), 1920 x 1080 px, OLED Display"/>
    <s v="Web Camera"/>
    <s v="Slim 17.9 mm"/>
    <s v="HDMI Port"/>
    <m/>
    <n v="73"/>
    <x v="2"/>
    <x v="30"/>
    <x v="0"/>
  </r>
  <r>
    <s v="MSI Raider GE78 HX 13VI-087IN Laptop (Core i9 13th Gen/64 GB/2 TB SSD/Windows 11/16 GB)"/>
    <s v="MSI Raider GE78 HX 13VI-087IN Laptop (Core i9 13th Gen/64 GB/2 TB SSD/Windows 11/16 GB) price in India"/>
    <x v="197"/>
    <n v="6"/>
    <n v="86"/>
    <x v="0"/>
    <d v="2023-02-01T00:00:00"/>
    <s v="Intel Core i3 (11th Gen) 1.7 Ghz, Dual-Core"/>
    <s v="Windows 11"/>
    <x v="60"/>
    <s v="17.3&quot; (43.94 cm), 2560 x 1600 px, IPS LCD Display"/>
    <s v="Web Camera"/>
    <m/>
    <s v="HDMI Port"/>
    <m/>
    <m/>
    <x v="3"/>
    <x v="30"/>
    <x v="9"/>
  </r>
  <r>
    <s v="HP 14s-dq2649TU (7G6H0PA) Laptop (Core i3 11th Gen/8 GB/512 GB SSD/Windows 11)"/>
    <s v="HP 14s-dq2649TU (7G6H0PA) Laptop (Core i3 11th Gen/8 GB/512 GB SSD/Windows 11) price in India"/>
    <x v="390"/>
    <n v="288"/>
    <n v="86"/>
    <x v="0"/>
    <d v="2023-01-01T00:00:00"/>
    <s v="Intel Core i3 (11th Gen) 1.7 Ghz, Dual-Core"/>
    <s v="Windows 11"/>
    <x v="5"/>
    <s v="14&quot; (35.56 cm), 1920 x 1080 px, IPS LCD Display"/>
    <s v="Web Camera"/>
    <s v="Slim 17.9 mm"/>
    <s v="HDMI Port"/>
    <m/>
    <m/>
    <x v="7"/>
    <x v="30"/>
    <x v="2"/>
  </r>
  <r>
    <s v="Infinix INBook X2 Plus XL25 Laptop (Core i5 11th Gen/16 GB/512 GB SSD/Windows 11)"/>
    <s v="Infinix INBook X2 Plus XL25 Laptop (Core i5 11th Gen/16 GB/512 GB SSD/Windows 11) price in India"/>
    <x v="256"/>
    <n v="399"/>
    <n v="86"/>
    <x v="0"/>
    <d v="2023-01-01T00:00:00"/>
    <s v="Intel Core i3 (11th Gen) 1.7 Ghz, Dual-Core"/>
    <s v="Windows 11"/>
    <x v="30"/>
    <s v="15.6&quot; (39.62 cm), 1920 x 1080 px, IPS LCD Display"/>
    <s v="Web Camera"/>
    <m/>
    <s v="HDMI Port"/>
    <s v="2 USB Ports"/>
    <m/>
    <x v="10"/>
    <x v="30"/>
    <x v="0"/>
  </r>
  <r>
    <s v="HP Envy x360 Intel Evo 13-bf0121TU (7H5D3PA) Laptop (Core i5 12th Gen/16 GB/512 GB SSD/Windows 11)"/>
    <s v="HP Envy x360 Intel Evo 13-bf0121TU (7H5D3PA) Laptop (Core i5 12th Gen/16 GB/512 GB SSD/Windows 11) price in India"/>
    <x v="391"/>
    <n v="194"/>
    <n v="86"/>
    <x v="0"/>
    <d v="2023-01-01T00:00:00"/>
    <s v="Intel Core i3 (11th Gen) 1.7 Ghz, Dual-Core"/>
    <s v="Windows 11"/>
    <x v="30"/>
    <s v="13.4&quot; (34.04 cm), 1920 x 1200 px, IPS LCD Display"/>
    <s v="Web Camera"/>
    <m/>
    <m/>
    <m/>
    <n v="73"/>
    <x v="7"/>
    <x v="30"/>
    <x v="0"/>
  </r>
  <r>
    <s v="HP Pavilion 14-ec1005AU (67U19PA) Laptop (AMD Hexa Core Ryzen 5/16 GB/512 GB SSD/Windows 11)"/>
    <s v="HP Pavilion 14-ec1005AU (67U19PA) Laptop (AMD Hexa Core Ryzen 5/16 GB/512 GB SSD/Windows 11) price in India"/>
    <x v="392"/>
    <n v="1554"/>
    <n v="86"/>
    <x v="0"/>
    <d v="2023-01-01T00:00:00"/>
    <s v="Intel Core i3 (11th Gen) 1.7 Ghz, Dual-Core"/>
    <s v="Windows 11"/>
    <x v="2"/>
    <s v="14&quot; (35.56 cm), 1920 x 1080 px, IPS LCD Display"/>
    <s v="Web Camera"/>
    <s v="Slim 17 mm"/>
    <s v="HDMI Port"/>
    <m/>
    <n v="71"/>
    <x v="7"/>
    <x v="30"/>
    <x v="0"/>
  </r>
  <r>
    <s v="HP 15s-fr4000TU (7J3Z2PA) Laptop (Core i5 11th Gen/8 GB/512 GB SSD/Windows 11)"/>
    <s v="HP 15s-fr4000TU (7J3Z2PA) Laptop (Core i5 11th Gen/8 GB/512 GB SSD/Windows 11) price in India"/>
    <x v="393"/>
    <n v="3938"/>
    <n v="86"/>
    <x v="0"/>
    <d v="2023-01-01T00:00:00"/>
    <s v="Intel Core i3 (11th Gen) 2.0 Ghz, Quad-Core"/>
    <s v="Windows 11"/>
    <x v="5"/>
    <s v="15.6&quot; (39.62 cm), 1920 x 1080 px, IPS LCD Display"/>
    <s v="Web Camera"/>
    <s v="Slim 17.9 mm"/>
    <s v="HDMI Port"/>
    <m/>
    <n v="73"/>
    <x v="7"/>
    <x v="30"/>
    <x v="2"/>
  </r>
  <r>
    <s v="Gigabyte G5 GE-51IN213SH (RC55GE) Laptop (Core i5 12th Gen/8 GB/512 GB SSD/Windows 11/4 GB)"/>
    <s v="Gigabyte G5 GE-51IN213SH (RC55GE) Laptop (Core i5 12th Gen/8 GB/512 GB SSD/Windows 11/4 GB) price in India"/>
    <x v="394"/>
    <n v="39"/>
    <n v="86"/>
    <x v="0"/>
    <d v="2022-12-01T00:00:00"/>
    <s v="Intel Core i3 (11th Gen) 2.0 Ghz, Quad-Core"/>
    <s v="Windows 11"/>
    <x v="5"/>
    <s v="15.6&quot; (39.62 cm), 1920 x 1080 px Display"/>
    <s v="Web Camera"/>
    <m/>
    <s v="HDMI Port"/>
    <m/>
    <n v="80"/>
    <x v="11"/>
    <x v="30"/>
    <x v="2"/>
  </r>
  <r>
    <s v="HP Victus 15-fb0121AX (81H55PA) Laptop (AMD Hexa Core Ryzen 5/8 GB/512 GB SSD/Windows 11/4 GB)"/>
    <s v="HP Victus 15-fb0121AX (81H55PA) Laptop (AMD Hexa Core Ryzen 5/8 GB/512 GB SSD/Windows 11/4 GB) price in India"/>
    <x v="395"/>
    <n v="154"/>
    <n v="86"/>
    <x v="0"/>
    <d v="2022-12-01T00:00:00"/>
    <s v="Intel Core i3 (11th Gen) 2.4 Ghz, Quad-Core"/>
    <s v="Windows 11"/>
    <x v="5"/>
    <s v="15.6&quot; (39.62 cm), 1920 x 1080 px, IPS LCD Display"/>
    <s v="Web Camera"/>
    <m/>
    <s v="HDMI Port"/>
    <m/>
    <n v="77"/>
    <x v="7"/>
    <x v="30"/>
    <x v="2"/>
  </r>
  <r>
    <s v="Lenovo Ideapad Slim 3 (82H802XVIN) Laptop (Core i3 11th Gen/8 GB/256 GB SSD/Windows 11)"/>
    <s v="Lenovo Ideapad Slim 3 (82H802XVIN) Laptop (Core i3 11th Gen/8 GB/256 GB SSD/Windows 11) price in India"/>
    <x v="396"/>
    <n v="19"/>
    <n v="86"/>
    <x v="0"/>
    <d v="2022-11-01T00:00:00"/>
    <s v="Intel Core i3 (11th Gen) 3.0 Ghz, Dual-Core"/>
    <s v="Windows 11"/>
    <x v="38"/>
    <s v="15.6&quot; (39.62 cm), 1920 x 1080 px, IPS LCD Display"/>
    <s v="Web Camera"/>
    <s v="Slim 20 mm"/>
    <s v="HDMI Port"/>
    <m/>
    <m/>
    <x v="5"/>
    <x v="30"/>
    <x v="2"/>
  </r>
  <r>
    <s v="HP 15s-eq2212AU (7G6H1PA) Laptop (AMD Quad Core Ryzen 3/8 GB/512 GB SSD/Windows 11)"/>
    <s v="HP 15s-eq2212AU (7G6H1PA) Laptop (AMD Quad Core Ryzen 3/8 GB/512 GB SSD/Windows 11) price in India"/>
    <x v="397"/>
    <n v="3987"/>
    <n v="86"/>
    <x v="0"/>
    <d v="2022-11-01T00:00:00"/>
    <s v="Intel Core i3 (11th Gen) 3.0 Ghz, Dual-Core"/>
    <s v="Windows 11"/>
    <x v="5"/>
    <s v="15.6&quot; (39.62 cm), 1920 x 1080 px, IPS LCD Display"/>
    <s v="Web Camera"/>
    <s v="Slim 17.9 mm"/>
    <s v="HDMI Port"/>
    <m/>
    <n v="72"/>
    <x v="7"/>
    <x v="30"/>
    <x v="2"/>
  </r>
  <r>
    <s v="Lenovo Ideapad 5 Pro 14ITL6 (82L3009LIN) Laptop (Core i5 11th Gen/16 GB/512 GB SSD/Windows 10)"/>
    <s v="Lenovo Ideapad 5 Pro 14ITL6 (82L3009LIN) Laptop (Core i5 11th Gen/16 GB/512 GB SSD/Windows 10) price in India"/>
    <x v="398"/>
    <n v="158"/>
    <n v="86"/>
    <x v="0"/>
    <d v="2022-11-01T00:00:00"/>
    <s v="Intel Core i3 (11th Gen) 3.0 Ghz, Dual-Core"/>
    <s v="Windows 10"/>
    <x v="2"/>
    <s v="14&quot; (35.56 cm), 2240 x 1440 px, LED Display"/>
    <s v="Web Camera"/>
    <s v="Slim 15.9 mm"/>
    <s v="HDMI Port"/>
    <s v="2 USB Ports"/>
    <n v="72"/>
    <x v="5"/>
    <x v="30"/>
    <x v="0"/>
  </r>
  <r>
    <s v="Dell Inspiron 15 3501 (D560437WIN9SE) Laptop (Core i5 11th Gen/4 GB/1 TB 256 GB SSD/Windows 10)"/>
    <s v="Dell Inspiron 15 3501 (D560437WIN9SE) Laptop (Core i5 11th Gen/4 GB/1 TB 256 GB SSD/Windows 10) price in India"/>
    <x v="399"/>
    <n v="201"/>
    <n v="86"/>
    <x v="0"/>
    <d v="2022-11-01T00:00:00"/>
    <s v="Intel Core i3 (11th Gen) 3.0 Ghz, Dual-Core"/>
    <s v="Windows 10"/>
    <x v="49"/>
    <s v="15.6&quot; (39.62 cm), 1920 x 1080 px, LED Display"/>
    <s v="Web Camera"/>
    <s v="Slim 20 mm"/>
    <s v="HDMI Port"/>
    <m/>
    <m/>
    <x v="6"/>
    <x v="30"/>
    <x v="7"/>
  </r>
  <r>
    <s v="HP Pavilion 14-ec0035AU (4X7E1PA) Laptop (AMD Hexa Core Ryzen 5/8 GB/512 GB SSD/Windows 10)"/>
    <s v="HP Pavilion 14-ec0035AU (4X7E1PA) Laptop (AMD Hexa Core Ryzen 5/8 GB/512 GB SSD/Windows 10) price in India"/>
    <x v="247"/>
    <n v="1129"/>
    <n v="86"/>
    <x v="0"/>
    <d v="2022-11-01T00:00:00"/>
    <s v="Intel Core i3 (11th Gen) 3.0 Ghz, Dual-Core"/>
    <s v="Windows 10"/>
    <x v="5"/>
    <s v="14&quot; (35.56 cm), 1920 x 1080 px, IPS LCD Display"/>
    <s v="Web Camera"/>
    <s v="Slim 17 mm"/>
    <s v="HDMI Port"/>
    <m/>
    <m/>
    <x v="7"/>
    <x v="30"/>
    <x v="2"/>
  </r>
  <r>
    <s v="Dell Inspiron 14 5410 (D560594WIN9S) Laptop (Core i5 11th Gen/8 GB/512 GB SSD/Windows 10)"/>
    <s v="Dell Inspiron 14 5410 (D560594WIN9S) Laptop (Core i5 11th Gen/8 GB/512 GB SSD/Windows 10) price in India"/>
    <x v="400"/>
    <n v="256"/>
    <n v="86"/>
    <x v="0"/>
    <d v="2022-11-01T00:00:00"/>
    <s v="Intel Core i3 (11th Gen) 3.0 Ghz, Dual-Core"/>
    <s v="Windows 10"/>
    <x v="5"/>
    <s v="14&quot; (35.56 cm), 1920 x 1080 px, LED Display"/>
    <s v="Web Camera"/>
    <s v="Slim 18.3 mm"/>
    <s v="HDMI Port"/>
    <m/>
    <n v="73"/>
    <x v="6"/>
    <x v="30"/>
    <x v="2"/>
  </r>
  <r>
    <s v="Asus Vivobook K15 OLED KM513UA-L713WS Laptop (AMD Octa Core Ryzen 7/16 GB/512 GB SSD/Windows 11)"/>
    <s v="Asus Vivobook K15 OLED KM513UA-L713WS Laptop (AMD Octa Core Ryzen 7/16 GB/512 GB SSD/Windows 11) price in India"/>
    <x v="319"/>
    <n v="1682"/>
    <n v="86"/>
    <x v="0"/>
    <d v="2022-11-01T00:00:00"/>
    <s v="Intel Core i3 (11th Gen) 3.0 Ghz, Dual-Core"/>
    <s v="Windows 11"/>
    <x v="2"/>
    <s v="15.6&quot; (39.62 cm), 1920 x 1080 px Display"/>
    <s v="Web Camera"/>
    <s v="Slim 18.6 mm"/>
    <s v="HDMI Port"/>
    <m/>
    <m/>
    <x v="2"/>
    <x v="30"/>
    <x v="0"/>
  </r>
  <r>
    <s v="Gigabyte G5 KD-52IN123SE (RC45KD) Laptop (Core i5 11th Gen/16 GB/512 GB SSD/Windows 11/6 GB)"/>
    <s v="Gigabyte G5 KD-52IN123SE (RC45KD) Laptop (Core i5 11th Gen/16 GB/512 GB SSD/Windows 11/6 GB) price in India"/>
    <x v="66"/>
    <n v="18"/>
    <n v="86"/>
    <x v="0"/>
    <d v="2022-10-01T00:00:00"/>
    <s v="Intel Core i3 (11th Gen) 3.0 Ghz, Dual-Core"/>
    <s v="Windows 11"/>
    <x v="2"/>
    <s v="15.6&quot; (39.62 cm), 1920 x 1080 px, IPS LCD Display"/>
    <s v="Web Camera"/>
    <m/>
    <s v="HDMI Port"/>
    <m/>
    <n v="80"/>
    <x v="11"/>
    <x v="30"/>
    <x v="0"/>
  </r>
  <r>
    <s v="Asus VivoBook 14 X1402ZA-MW511WS Laptop (Core i5 12th Gen/16 GB/512 GB SSD/Windows 11)"/>
    <s v="Asus VivoBook 14 X1402ZA-MW511WS Laptop (Core i5 12th Gen/16 GB/512 GB SSD/Windows 11) price in India"/>
    <x v="401"/>
    <n v="83"/>
    <n v="86"/>
    <x v="0"/>
    <d v="2022-09-01T00:00:00"/>
    <s v="Intel Core i3 (11th Gen) 3.0 Ghz, Dual-Core"/>
    <s v="Windows 11"/>
    <x v="2"/>
    <s v="14&quot; (35.56 cm), 1920 x 1080 px, IPS LCD Display"/>
    <s v="Web Camera"/>
    <s v="Slim 19.9 mm"/>
    <s v="HDMI Port"/>
    <m/>
    <n v="76"/>
    <x v="2"/>
    <x v="30"/>
    <x v="0"/>
  </r>
  <r>
    <s v="Asus VivoBook 14 X1402ZA-EK521WS Laptop (Core i5 12th Gen/8 GB/512 GB SSD/Windows 11)"/>
    <s v="Asus VivoBook 14 X1402ZA-EK521WS Laptop (Core i5 12th Gen/8 GB/512 GB SSD/Windows 11) price in India"/>
    <x v="108"/>
    <n v="278"/>
    <n v="86"/>
    <x v="0"/>
    <d v="2022-09-01T00:00:00"/>
    <s v="Intel Core i3 (11th Gen) 3.0 Ghz, Dual-Core"/>
    <s v="Windows 11"/>
    <x v="5"/>
    <s v="14&quot; (35.56 cm), 1920 x 1080 px, IPS LCD Display"/>
    <s v="Web Camera"/>
    <s v="Slim 19.9 mm"/>
    <s v="HDMI Port"/>
    <m/>
    <n v="74"/>
    <x v="2"/>
    <x v="30"/>
    <x v="2"/>
  </r>
  <r>
    <s v="Asus VivoBook 14 X1402ZA-MW512WS Laptop (Core i5 12th Gen/16 GB/512 GB SSD/Windows 11)"/>
    <s v="Asus VivoBook 14 X1402ZA-MW512WS Laptop (Core i5 12th Gen/16 GB/512 GB SSD/Windows 11) price in India"/>
    <x v="401"/>
    <n v="83"/>
    <n v="86"/>
    <x v="0"/>
    <d v="2022-09-01T00:00:00"/>
    <s v="Intel Core i3 (11th Gen) 3.0 Ghz, Dual-Core"/>
    <s v="Windows 11"/>
    <x v="2"/>
    <s v="14&quot; (35.56 cm), 1920 x 1080 px, IPS LCD Display"/>
    <s v="Web Camera"/>
    <s v="Slim 19.9 mm"/>
    <s v="HDMI Port"/>
    <m/>
    <n v="76"/>
    <x v="2"/>
    <x v="30"/>
    <x v="0"/>
  </r>
  <r>
    <s v="Acer Nitro 5 AN515-45 (NH.QCLSI.004) Laptop (AMD Hexa Core Ryzen 5/8 GB/512 GB SSD/Windows 11/4 GB)"/>
    <s v="Acer Nitro 5 AN515-45 (NH.QCLSI.004) Laptop (AMD Hexa Core Ryzen 5/8 GB/512 GB SSD/Windows 11/4 GB) price in India"/>
    <x v="402"/>
    <n v="330"/>
    <n v="86"/>
    <x v="0"/>
    <d v="2022-09-01T00:00:00"/>
    <s v="Intel Core i3 (11th Gen) 3.0 Ghz, Dual-Core"/>
    <s v="Windows 11"/>
    <x v="5"/>
    <s v="15.6&quot; (39.62 cm), 1920 x 1080 px, IPS LCD Display"/>
    <s v="Web Camera"/>
    <m/>
    <s v="HDMI Port"/>
    <m/>
    <n v="78"/>
    <x v="1"/>
    <x v="30"/>
    <x v="2"/>
  </r>
  <r>
    <s v="Lenovo Thinkpad E14 (21E3S04X00) Laptop (Core i5 12th Gen/8 GB/512 GB SSD/Windows 11)"/>
    <s v="Lenovo Thinkpad E14 (21E3S04X00) Laptop (Core i5 12th Gen/8 GB/512 GB SSD/Windows 11) price in India"/>
    <x v="403"/>
    <n v="150"/>
    <n v="86"/>
    <x v="0"/>
    <d v="2022-09-01T00:00:00"/>
    <s v="Intel Core i3 (11th Gen) 3.0 Ghz, Dual-Core"/>
    <s v="Windows 11"/>
    <x v="5"/>
    <s v="14&quot; (35.56 cm), 1920 x 1080 px, IPS LCD Display"/>
    <s v="Web Camera"/>
    <s v="Slim 19 mm"/>
    <s v="HDMI Port"/>
    <m/>
    <m/>
    <x v="5"/>
    <x v="30"/>
    <x v="2"/>
  </r>
  <r>
    <s v="Asus VivoBook 14 X1402ZA-EK522WS Laptop (Core i5 12th Gen/8 GB/512 GB SSD/Windows 11)"/>
    <s v="Asus VivoBook 14 X1402ZA-EK522WS Laptop (Core i5 12th Gen/8 GB/512 GB SSD/Windows 11) price in India"/>
    <x v="314"/>
    <n v="263"/>
    <n v="86"/>
    <x v="0"/>
    <d v="2022-09-01T00:00:00"/>
    <s v="Intel Core i3 (11th Gen) 3.0 Ghz, Dual-Core"/>
    <s v="Windows 11"/>
    <x v="5"/>
    <s v="14&quot; (35.56 cm), 1920 x 1080 px, IPS LCD Display"/>
    <s v="Web Camera"/>
    <s v="Slim 19.9 mm"/>
    <s v="HDMI Port"/>
    <m/>
    <n v="74"/>
    <x v="2"/>
    <x v="30"/>
    <x v="2"/>
  </r>
  <r>
    <s v="Asus VivoBook 15 X515JA-BQ521WS Laptop (Core i5 10th Gen/8 GB/512 GB SSD/Windows 11)"/>
    <s v="Asus VivoBook 15 X515JA-BQ521WS Laptop (Core i5 10th Gen/8 GB/512 GB SSD/Windows 11) price in India"/>
    <x v="155"/>
    <n v="639"/>
    <n v="86"/>
    <x v="0"/>
    <d v="2022-09-01T00:00:00"/>
    <s v="Intel Core i3 (11th Gen) 3.0 Ghz, Dual-Core"/>
    <s v="Windows 11"/>
    <x v="5"/>
    <s v="15.6&quot; (39.62 cm), 1920 x 1080 px, IPS LCD Display"/>
    <s v="Web Camera"/>
    <s v="Slim 19.9 mm"/>
    <s v="HDMI Port"/>
    <m/>
    <m/>
    <x v="2"/>
    <x v="30"/>
    <x v="2"/>
  </r>
  <r>
    <s v="Asus ROG Flow X13 GV301RC-LJ073WS Laptop (AMD Octa Core Ryzen 9/16 GB/1 TB SSD/Windows 11/4 GB)"/>
    <s v="Asus ROG Flow X13 GV301RC-LJ073WS Laptop (AMD Octa Core Ryzen 9/16 GB/1 TB SSD/Windows 11/4 GB) price in India"/>
    <x v="66"/>
    <n v="133"/>
    <n v="86"/>
    <x v="0"/>
    <d v="2022-08-01T00:00:00"/>
    <s v="Intel Core i3 (11th Gen) 3.0 Ghz, Dual-Core"/>
    <s v="Windows 11"/>
    <x v="21"/>
    <s v="13.4&quot; (34.04 cm), 1920 x 1200 px Display"/>
    <s v="Web Camera"/>
    <s v="Slim 16 mm"/>
    <s v="HDMI Port"/>
    <s v="3 USB Ports"/>
    <n v="82"/>
    <x v="2"/>
    <x v="30"/>
    <x v="0"/>
  </r>
  <r>
    <s v="Asus VivoBook 15 X515JA-EJ312WS Laptop (Core i3 10th Gen/8 GB/256 GB SSD/Windows 11)"/>
    <s v="Asus VivoBook 15 X515JA-EJ312WS Laptop (Core i3 10th Gen/8 GB/256 GB SSD/Windows 11) price in India"/>
    <x v="404"/>
    <n v="827"/>
    <n v="86"/>
    <x v="0"/>
    <d v="2022-08-01T00:00:00"/>
    <s v="Intel Core i3 (11th Gen) 3.0 Ghz, Dual-Core"/>
    <s v="Windows 11"/>
    <x v="38"/>
    <s v="15.6&quot; (39.62 cm), 1920 x 1080 px, IPS LCD Display"/>
    <s v="Web Camera"/>
    <s v="Slim 19.9 mm"/>
    <s v="HDMI Port"/>
    <m/>
    <m/>
    <x v="2"/>
    <x v="30"/>
    <x v="2"/>
  </r>
  <r>
    <s v="HP 14s-dy2508TU (6X360PA) Laptop (Core i3 11th Gen/8 GB/512 GB SSD/Windows 11)"/>
    <s v="HP 14s-dy2508TU (6X360PA) Laptop (Core i3 11th Gen/8 GB/512 GB SSD/Windows 11) price in India"/>
    <x v="383"/>
    <n v="12837"/>
    <n v="86"/>
    <x v="0"/>
    <d v="2022-08-01T00:00:00"/>
    <s v="Intel Core i3 (11th Gen) 3.0 Ghz, Dual-Core"/>
    <s v="Windows 11"/>
    <x v="5"/>
    <s v="14&quot; (35.56 cm), 1920 x 1080 px, IPS LCD Display"/>
    <s v="Web Camera"/>
    <s v="Slim 17 mm"/>
    <s v="HDMI Port"/>
    <m/>
    <n v="74"/>
    <x v="7"/>
    <x v="30"/>
    <x v="2"/>
  </r>
  <r>
    <s v="Asus VivoBook 14 X415EA-EK322WS Laptop (Core i3 11th Gen/8 GB/512 GB SSD/Windows 11)"/>
    <s v="Asus VivoBook 14 X415EA-EK322WS Laptop (Core i3 11th Gen/8 GB/512 GB SSD/Windows 11) price in India"/>
    <x v="133"/>
    <n v="3479"/>
    <n v="86"/>
    <x v="0"/>
    <d v="2022-08-01T00:00:00"/>
    <s v="Intel Core i3 (11th Gen) 3.0 Ghz, Dual-Core"/>
    <s v="Windows 11"/>
    <x v="5"/>
    <s v="14&quot; (35.56 cm), 1920 x 1080 px Display"/>
    <s v="Web Camera"/>
    <s v="Slim 19.9 mm"/>
    <s v="HDMI Port"/>
    <m/>
    <m/>
    <x v="2"/>
    <x v="30"/>
    <x v="2"/>
  </r>
  <r>
    <s v="Lenovo Ideapad Gaming 3 (82K2012LIN) Laptop (AMD Hexa Core Ryzen 5/8 GB/512 GB SSD/Windows 11/4 GB)"/>
    <s v="Lenovo Ideapad Gaming 3 (82K2012LIN) Laptop (AMD Hexa Core Ryzen 5/8 GB/512 GB SSD/Windows 11/4 GB) price in India"/>
    <x v="107"/>
    <n v="274"/>
    <n v="86"/>
    <x v="0"/>
    <d v="2022-08-01T00:00:00"/>
    <s v="Intel Core i3 (11th Gen) 3.0 Ghz, Dual-Core"/>
    <s v="Windows 11"/>
    <x v="5"/>
    <s v="15.6&quot; (39.62 cm), 1920 x 1080 px, IPS LCD Display"/>
    <s v="Web Camera"/>
    <m/>
    <s v="HDMI Port"/>
    <m/>
    <n v="78"/>
    <x v="5"/>
    <x v="30"/>
    <x v="2"/>
  </r>
  <r>
    <s v="Asus VivoBook Ultra 14 K413EA-EB303WS Laptop (Core i3 11th Gen/8 GB/512 GB SSD/Windows 11)"/>
    <s v="Asus VivoBook Ultra 14 K413EA-EB303WS Laptop (Core i3 11th Gen/8 GB/512 GB SSD/Windows 11) price in India"/>
    <x v="405"/>
    <n v="585"/>
    <n v="86"/>
    <x v="0"/>
    <d v="2022-08-01T00:00:00"/>
    <s v="Intel Core i3 (11th Gen) 3.0 Ghz, Dual-Core"/>
    <s v="Windows 11"/>
    <x v="5"/>
    <s v="14&quot; (35.56 cm), 1920 x 1080 px, IPS LCD Display"/>
    <s v="Web Camera"/>
    <s v="Slim 17.9 mm"/>
    <s v="HDMI Port"/>
    <m/>
    <m/>
    <x v="2"/>
    <x v="30"/>
    <x v="2"/>
  </r>
  <r>
    <s v="Asus VivoBook Ultra 14 K413EA-EB302WS Laptop (Core i3 11th Gen/8 GB/512 GB SSD/Windows 11)"/>
    <s v="Asus VivoBook Ultra 14 K413EA-EB302WS Laptop (Core i3 11th Gen/8 GB/512 GB SSD/Windows 11) price in India"/>
    <x v="354"/>
    <n v="585"/>
    <n v="86"/>
    <x v="0"/>
    <d v="2022-08-01T00:00:00"/>
    <s v="Intel Core i3 (11th Gen) 3.0 Ghz, Dual-Core"/>
    <s v="Windows 11"/>
    <x v="5"/>
    <s v="14&quot; (35.56 cm), 1920 x 1080 px, IPS LCD Display"/>
    <s v="Web Camera"/>
    <s v="Slim 17.9 mm"/>
    <s v="HDMI Port"/>
    <m/>
    <m/>
    <x v="2"/>
    <x v="30"/>
    <x v="2"/>
  </r>
  <r>
    <s v="Asus VivoBook Ultra 14 K413EA-EB301WS Laptop (Core i3 11th Gen/8 GB/512 GB SSD/Windows 11)"/>
    <s v="Asus VivoBook Ultra 14 K413EA-EB301WS Laptop (Core i3 11th Gen/8 GB/512 GB SSD/Windows 11) price in India"/>
    <x v="406"/>
    <n v="585"/>
    <n v="86"/>
    <x v="0"/>
    <d v="2022-08-01T00:00:00"/>
    <s v="Intel Core i3 (11th Gen) 3.0 Ghz, Dual-Core"/>
    <s v="Windows 11"/>
    <x v="5"/>
    <s v="14&quot; (35.56 cm), 1920 x 1080 px, IPS LCD Display"/>
    <s v="Web Camera"/>
    <s v="Slim 17.9 mm"/>
    <s v="HDMI Port"/>
    <m/>
    <m/>
    <x v="2"/>
    <x v="30"/>
    <x v="2"/>
  </r>
  <r>
    <s v="Asus VivoBook 15 X515EA-EJ522WS Laptop (Core i5 11th Gen/8 GB/512 GB SSD/Windows 11)"/>
    <s v="Asus VivoBook 15 X515EA-EJ522WS Laptop (Core i5 11th Gen/8 GB/512 GB SSD/Windows 11) price in India"/>
    <x v="407"/>
    <n v="8235"/>
    <n v="86"/>
    <x v="0"/>
    <d v="2022-08-01T00:00:00"/>
    <s v="Intel Core i3 (11th Gen) 3.0 Ghz, Dual-Core"/>
    <s v="Windows 11"/>
    <x v="5"/>
    <s v="15.6&quot; (39.62 cm), 1920 x 1080 px, IPS LCD Display"/>
    <s v="Web Camera"/>
    <s v="Slim 19.9 mm"/>
    <s v="HDMI Port"/>
    <m/>
    <n v="72"/>
    <x v="2"/>
    <x v="30"/>
    <x v="2"/>
  </r>
  <r>
    <s v="Asus TUF Gaming F15 FX506HC-HN119W Laptop (Core i5 11th Gen/8 GB/1 TB SSD/Windows 11/4 GB)"/>
    <s v="Asus TUF Gaming F15 FX506HC-HN119W Laptop (Core i5 11th Gen/8 GB/1 TB SSD/Windows 11/4 GB) price in India"/>
    <x v="210"/>
    <n v="7"/>
    <n v="86"/>
    <x v="0"/>
    <d v="2022-08-01T00:00:00"/>
    <s v="Intel Core i3 (11th Gen) 3.0 Ghz, Dual-Core"/>
    <s v="Windows 11"/>
    <x v="14"/>
    <s v="15.6&quot; (39.62 cm), 1920 x 1080 px Display"/>
    <m/>
    <m/>
    <m/>
    <m/>
    <m/>
    <x v="2"/>
    <x v="30"/>
    <x v="2"/>
  </r>
  <r>
    <s v="Asus VivoBook 14 X1402ZA-EB312WS Laptop (Core i3 12th Gen/8 GB/512 GB SSD/Windows 11)"/>
    <s v="Asus VivoBook 14 X1402ZA-EB312WS Laptop (Core i3 12th Gen/8 GB/512 GB SSD/Windows 11) price in India"/>
    <x v="124"/>
    <n v="113"/>
    <n v="86"/>
    <x v="0"/>
    <d v="2022-08-01T00:00:00"/>
    <s v="Intel Core i3 (11th Gen) 3.0 Ghz, Dual-Core"/>
    <s v="Windows 11"/>
    <x v="5"/>
    <s v="14&quot; (35.56 cm), 1920 x 1080 px, IPS LCD Display"/>
    <s v="Web Camera"/>
    <s v="Slim 19.9 mm"/>
    <s v="HDMI Port"/>
    <m/>
    <n v="72"/>
    <x v="2"/>
    <x v="30"/>
    <x v="2"/>
  </r>
  <r>
    <s v="HP 14s-dy2507TU (6N024PA) Laptop (Core i3 11th Gen/8 GB/256 GB SSD/Windows 11)"/>
    <s v="HP 14s-dy2507TU (6N024PA) Laptop (Core i3 11th Gen/8 GB/256 GB SSD/Windows 11) price in India"/>
    <x v="356"/>
    <n v="13896"/>
    <n v="86"/>
    <x v="0"/>
    <d v="2022-08-01T00:00:00"/>
    <s v="Intel Core i3 (11th Gen) 3.0 Ghz, Dual-Core"/>
    <s v="Windows 11"/>
    <x v="38"/>
    <s v="14&quot; (35.56 cm), 1920 x 1080 px, IPS LCD Display"/>
    <s v="Web Camera"/>
    <s v="Slim 17 mm"/>
    <s v="HDMI Port"/>
    <m/>
    <n v="74"/>
    <x v="7"/>
    <x v="30"/>
    <x v="2"/>
  </r>
  <r>
    <s v="Lenovo Ideapad Gaming 3 15IHU6 (82K1019AIN) Laptop (Core i5 11th Gen/8 GB/1 TB 256 GB SSD/Windows 11/4 GB)"/>
    <s v="Lenovo Ideapad Gaming 3 15IHU6 (82K1019AIN) Laptop (Core i5 11th Gen/8 GB/1 TB 256 GB SSD/Windows 11/4 GB) price in India"/>
    <x v="27"/>
    <n v="279"/>
    <n v="86"/>
    <x v="0"/>
    <d v="2022-08-01T00:00:00"/>
    <s v="Intel Core i3 (11th Gen) 3.0 Ghz, Dual-Core"/>
    <s v="Windows 11"/>
    <x v="37"/>
    <s v="15.6&quot; (39.62 cm), 1920 x 1080 px, IPS LCD Display"/>
    <s v="Web Camera"/>
    <m/>
    <s v="HDMI Port"/>
    <m/>
    <n v="77"/>
    <x v="5"/>
    <x v="30"/>
    <x v="2"/>
  </r>
  <r>
    <s v="Lenovo Yoga Slim 7i Pro 14IHU5 (82NC00FSIN) Laptop (Core i5 11th Gen/16 GB/512 GB SSD/Windows 11)"/>
    <s v="Lenovo Yoga Slim 7i Pro 14IHU5 (82NC00FSIN) Laptop (Core i5 11th Gen/16 GB/512 GB SSD/Windows 11) price in India"/>
    <x v="196"/>
    <n v="156"/>
    <n v="86"/>
    <x v="0"/>
    <d v="2022-07-01T00:00:00"/>
    <s v="Intel Core i3 (11th Gen) 3.0 Ghz, Dual-Core"/>
    <s v="Windows 11"/>
    <x v="30"/>
    <s v="14&quot; (35.56 cm), 2880 x 1800 px, IPS LCD Display"/>
    <s v="Web Camera"/>
    <s v="Slim 15 mm"/>
    <m/>
    <m/>
    <n v="75"/>
    <x v="5"/>
    <x v="30"/>
    <x v="0"/>
  </r>
  <r>
    <s v="Asus VivoBook Flip 14 TP3402ZA-LZ511WS Laptop (Core i5 12th Gen/16 GB/512 GB SSD/Windows 11)"/>
    <s v="Asus VivoBook Flip 14 TP3402ZA-LZ511WS Laptop (Core i5 12th Gen/16 GB/512 GB SSD/Windows 11) price in India"/>
    <x v="123"/>
    <n v="55"/>
    <n v="86"/>
    <x v="0"/>
    <d v="2022-07-01T00:00:00"/>
    <s v="Intel Core i3 (11th Gen) 3.0 Ghz, Dual-Core"/>
    <s v="Windows 11"/>
    <x v="2"/>
    <s v="14&quot; (35.56 cm), 1920 x 1200 px, IPS LCD Display"/>
    <s v="Web Camera"/>
    <s v="Slim 18.9 mm"/>
    <s v="HDMI Port"/>
    <m/>
    <n v="76"/>
    <x v="2"/>
    <x v="30"/>
    <x v="0"/>
  </r>
  <r>
    <s v="HP Pavilion x360 14-ek0078TU (6Q0Z1PA Laptop (Core i5 12th Gen/16 GB/512 GB SSD/Windows 11)"/>
    <s v="HP Pavilion x360 14-ek0078TU (6Q0Z1PA Laptop (Core i5 12th Gen/16 GB/512 GB SSD/Windows 11) price in India"/>
    <x v="240"/>
    <n v="314"/>
    <n v="86"/>
    <x v="0"/>
    <d v="2022-07-01T00:00:00"/>
    <s v="Intel Core i3 (11th Gen) 3.0 Ghz, Dual-Core"/>
    <s v="Windows 11"/>
    <x v="2"/>
    <s v="14&quot; (35.56 cm), 1920 x 1080 px Display"/>
    <s v="Web Camera"/>
    <s v="Slim 19.9 mm"/>
    <s v="HDMI Port"/>
    <m/>
    <n v="76"/>
    <x v="7"/>
    <x v="30"/>
    <x v="0"/>
  </r>
  <r>
    <s v="MSI GF63 Thin 11UC-867IN Laptop (Core i5 11th Gen/8 GB/512 GB SSD/Windows 10/4 GB)"/>
    <s v="MSI GF63 Thin 11UC-867IN Laptop (Core i5 11th Gen/8 GB/512 GB SSD/Windows 10/4 GB) price in India"/>
    <x v="408"/>
    <n v="661"/>
    <n v="86"/>
    <x v="0"/>
    <d v="2022-07-01T00:00:00"/>
    <s v="Intel Core i3 (11th Gen) 3.0 Ghz, Dual-Core"/>
    <s v="Windows 10"/>
    <x v="5"/>
    <s v="15.6&quot; (39.62 cm), 1920 x 1080 px, IPS LCD Display"/>
    <s v="Web Camera"/>
    <s v="Slim 21.7 mm"/>
    <s v="HDMI Port"/>
    <m/>
    <n v="78"/>
    <x v="3"/>
    <x v="30"/>
    <x v="2"/>
  </r>
  <r>
    <s v="HP Victus 15-fa0073TX (6Z2P3PA) Laptop (Core i7 12th Gen/8 GB/512 GB SSD/Windows 11/4 GB)"/>
    <s v="HP Victus 15-fa0073TX (6Z2P3PA) Laptop (Core i7 12th Gen/8 GB/512 GB SSD/Windows 11/4 GB) price in India"/>
    <x v="409"/>
    <n v="260"/>
    <n v="86"/>
    <x v="0"/>
    <d v="2022-07-01T00:00:00"/>
    <s v="Intel Core i3 (11th Gen) 3.0 Ghz, Dual-Core"/>
    <s v="Windows 11"/>
    <x v="5"/>
    <s v="15.6&quot; (39.62 cm), 1920 x 1080 px Display"/>
    <s v="Web Camera"/>
    <m/>
    <s v="HDMI Port"/>
    <m/>
    <n v="81"/>
    <x v="7"/>
    <x v="30"/>
    <x v="2"/>
  </r>
  <r>
    <s v="HP 15s-FR2511TU (6N049PA) Laptop (Core i3 11th Gen/8 GB/512 GB SSD/Windows 11)"/>
    <s v="HP 15s-FR2511TU (6N049PA) Laptop (Core i3 11th Gen/8 GB/512 GB SSD/Windows 11) price in India"/>
    <x v="410"/>
    <n v="12785"/>
    <n v="86"/>
    <x v="0"/>
    <d v="2022-07-01T00:00:00"/>
    <s v="Intel Core i3 (11th Gen) 3.4 Ghz, Quad-Core"/>
    <s v="Windows 11"/>
    <x v="5"/>
    <s v="15.6&quot; (39.62 cm), 1920 x 1080 px, IPS LCD Display"/>
    <s v="Web Camera"/>
    <s v="Slim 17.9 mm"/>
    <s v="HDMI Port"/>
    <m/>
    <n v="74"/>
    <x v="7"/>
    <x v="30"/>
    <x v="2"/>
  </r>
  <r>
    <s v="Lenovo Ideapad Gaming 3 15IHU6 (82K101EEIN) Laptop (Core i5 11th Gen/8 GB/512 GB SSD/Windows 11/4 GB)"/>
    <s v="Lenovo Ideapad Gaming 3 15IHU6 (82K101EEIN) Laptop (Core i5 11th Gen/8 GB/512 GB SSD/Windows 11/4 GB) price in India"/>
    <x v="255"/>
    <n v="58"/>
    <n v="86"/>
    <x v="0"/>
    <d v="2022-07-01T00:00:00"/>
    <s v="Intel Core i3 (11th Gen) 4.0 Ghz, Dual-Core"/>
    <s v="Windows 11"/>
    <x v="5"/>
    <s v="15.6&quot; (39.62 cm), 1920 x 1080 px Display"/>
    <s v="Web Camera"/>
    <m/>
    <s v="HDMI Port"/>
    <m/>
    <n v="76"/>
    <x v="5"/>
    <x v="30"/>
    <x v="2"/>
  </r>
  <r>
    <s v="MSI Katana GF66 11UE-861IN Laptop (Core i7 11th Gen/16 GB/512 GB SSD/Windows 10/6 GB)"/>
    <s v="MSI Katana GF66 11UE-861IN Laptop (Core i7 11th Gen/16 GB/512 GB SSD/Windows 10/6 GB) price in India"/>
    <x v="123"/>
    <n v="353"/>
    <n v="86"/>
    <x v="0"/>
    <d v="2022-07-01T00:00:00"/>
    <s v="Intel Core i3 (11th Gen) 4.0 Ghz, Dual-Core"/>
    <s v="Windows 10"/>
    <x v="2"/>
    <s v="15.6&quot; (39.62 cm), 1920 x 1080 px, IPS LCD Display"/>
    <s v="Web Camera"/>
    <m/>
    <s v="HDMI Port"/>
    <m/>
    <n v="81"/>
    <x v="3"/>
    <x v="30"/>
    <x v="0"/>
  </r>
  <r>
    <s v="MSI Katana GF66 12UD-472IN Laptop (Core i5 12th Gen/16 GB/512 GB SSD/Windows 11/4 GB)"/>
    <s v="MSI Katana GF66 12UD-472IN Laptop (Core i5 12th Gen/16 GB/512 GB SSD/Windows 11/4 GB) price in India"/>
    <x v="207"/>
    <n v="70"/>
    <n v="86"/>
    <x v="0"/>
    <d v="2022-07-01T00:00:00"/>
    <s v="Intel Core i3 (11th Gen) 4.0 Ghz, Dual-Core"/>
    <s v="Windows 11"/>
    <x v="2"/>
    <s v="15.6&quot; (39.62 cm), 1920 x 1080 px, IPS LCD Display"/>
    <s v="Web Camera"/>
    <m/>
    <s v="HDMI Port"/>
    <m/>
    <n v="82"/>
    <x v="3"/>
    <x v="30"/>
    <x v="0"/>
  </r>
  <r>
    <s v="Lenovo Ideapad Slim 3i 15ITL6 (82H802L3IN) Laptop (Core i3 11th Gen/8 GB/512 GB SSD/Windows 11)"/>
    <s v="Lenovo Ideapad Slim 3i 15ITL6 (82H802L3IN) Laptop (Core i3 11th Gen/8 GB/512 GB SSD/Windows 11) price in India"/>
    <x v="411"/>
    <n v="6846"/>
    <n v="86"/>
    <x v="0"/>
    <d v="2022-07-01T00:00:00"/>
    <s v="Intel Core i3 (11th Gen) 4.0 Ghz, Dual-Core"/>
    <s v="Windows 11"/>
    <x v="5"/>
    <s v="15.6&quot; (39.62 cm), 1920 x 1080 px, TN LCD Display"/>
    <s v="Web Camera"/>
    <s v="Slim 19.9 mm"/>
    <s v="HDMI Port"/>
    <m/>
    <m/>
    <x v="5"/>
    <x v="30"/>
    <x v="2"/>
  </r>
  <r>
    <s v="Lenovo Ideapad Gaming 3i (82K1019BIN) Laptop (Core i5 11th Gen/16 GB/512 GB SSD/Windows 11/4 GB)"/>
    <s v="Lenovo Ideapad Gaming 3i (82K1019BIN) Laptop (Core i5 11th Gen/16 GB/512 GB SSD/Windows 11/4 GB) price in India"/>
    <x v="158"/>
    <n v="513"/>
    <n v="86"/>
    <x v="0"/>
    <d v="2022-07-01T00:00:00"/>
    <s v="Intel Core i3 (11th Gen) 4.0 Ghz, Dual-Core"/>
    <s v="Windows 11"/>
    <x v="2"/>
    <s v="15.6&quot; (39.62 cm), 1920 x 1080 px, IPS LCD Display"/>
    <s v="Web Camera"/>
    <m/>
    <s v="HDMI Port"/>
    <m/>
    <n v="78"/>
    <x v="5"/>
    <x v="30"/>
    <x v="0"/>
  </r>
  <r>
    <s v="HP Victus 16-e1060AX (6H5W0PA) Laptop (AMD Octa Core Ryzen 7/16 GB/512 GB SSD/Windows 11/4 GB)"/>
    <s v="HP Victus 16-e1060AX (6H5W0PA) Laptop (AMD Octa Core Ryzen 7/16 GB/512 GB SSD/Windows 11/4 GB) price in India"/>
    <x v="299"/>
    <n v="31"/>
    <n v="86"/>
    <x v="0"/>
    <d v="2022-07-01T00:00:00"/>
    <s v="Intel Core i3 (11th Gen) 4.0 Ghz, Dual-Core"/>
    <s v="Windows 11"/>
    <x v="6"/>
    <s v="16.1&quot; (40.89 cm), 1920 x 1080 px, IPS LCD Display"/>
    <s v="Web Camera"/>
    <m/>
    <s v="HDMI Port"/>
    <m/>
    <n v="80"/>
    <x v="7"/>
    <x v="30"/>
    <x v="0"/>
  </r>
  <r>
    <s v="Lenovo Ideapad Gaming 3 (82K101B7IN) Laptop (Core i5 11th Gen/16 GB/1 TB 256 GB SSD/Windows 11/4 GB)"/>
    <s v="Lenovo Ideapad Gaming 3 (82K101B7IN) Laptop (Core i5 11th Gen/16 GB/1 TB 256 GB SSD/Windows 11/4 GB) price in India"/>
    <x v="412"/>
    <n v="362"/>
    <n v="86"/>
    <x v="0"/>
    <d v="2022-07-01T00:00:00"/>
    <s v="Intel Core i3 (11th Gen) 4.0 Ghz, Dual-Core"/>
    <s v="Windows 11"/>
    <x v="34"/>
    <s v="15.6&quot; (39.62 cm), 1920 x 1080 px, IPS LCD Display"/>
    <s v="Web Camera"/>
    <m/>
    <s v="HDMI Port"/>
    <m/>
    <n v="77"/>
    <x v="5"/>
    <x v="30"/>
    <x v="0"/>
  </r>
  <r>
    <s v="Asus VivoBook 15 X515EA-EJ332WS Laptop (Core i3 11th Gen/8 GB/1 TB 256 GB SSD/Windows 11)"/>
    <s v="Asus VivoBook 15 X515EA-EJ332WS Laptop (Core i3 11th Gen/8 GB/1 TB 256 GB SSD/Windows 11) price in India"/>
    <x v="413"/>
    <n v="977"/>
    <n v="86"/>
    <x v="0"/>
    <d v="2022-07-01T00:00:00"/>
    <s v="Intel Core i3 (11th Gen) 4.0 Ghz, Dual-Core"/>
    <s v="Windows 11"/>
    <x v="37"/>
    <s v="15.6&quot; (39.62 cm), 1920 x 1080 px, IPS LCD Display"/>
    <s v="Web Camera"/>
    <s v="Slim 19.9 mm"/>
    <s v="HDMI Port"/>
    <m/>
    <m/>
    <x v="2"/>
    <x v="30"/>
    <x v="2"/>
  </r>
  <r>
    <s v="HP 15s-eq1560AU (6Q0M8PA) Laptop (AMD Dual Core Ryzen 3/8 GB/512 GB SSD/Windows 11)"/>
    <s v="HP 15s-eq1560AU (6Q0M8PA) Laptop (AMD Dual Core Ryzen 3/8 GB/512 GB SSD/Windows 11) price in India"/>
    <x v="414"/>
    <n v="4246"/>
    <n v="86"/>
    <x v="0"/>
    <d v="2022-06-01T00:00:00"/>
    <s v="Intel Core i3 (11th Gen) 4.0 Ghz, Dual-Core"/>
    <s v="Windows 11"/>
    <x v="5"/>
    <s v="15.6&quot; (39.62 cm), 1920 x 1080 px, IPS LCD Display"/>
    <s v="Web Camera"/>
    <s v="Slim 17.9 mm"/>
    <s v="HDMI Port"/>
    <m/>
    <m/>
    <x v="7"/>
    <x v="30"/>
    <x v="2"/>
  </r>
  <r>
    <s v="Asus VivoBook 14 X1402ZA-EB311WS Laptop (Core i3 12th Gen/8 GB/512 GB SSD/Windows 11)"/>
    <s v="Asus VivoBook 14 X1402ZA-EB311WS Laptop (Core i3 12th Gen/8 GB/512 GB SSD/Windows 11) price in India"/>
    <x v="62"/>
    <n v="113"/>
    <n v="86"/>
    <x v="0"/>
    <d v="2022-06-01T00:00:00"/>
    <s v="Intel Core i3 (11th Gen) 4.0 Ghz, Dual-Core"/>
    <s v="Windows 11"/>
    <x v="5"/>
    <s v="14&quot; (35.56 cm), 1920 x 1080 px, IPS LCD Display"/>
    <s v="Web Camera"/>
    <s v="Slim 19.9 mm"/>
    <s v="HDMI Port"/>
    <m/>
    <n v="72"/>
    <x v="2"/>
    <x v="30"/>
    <x v="2"/>
  </r>
  <r>
    <s v="Asus Vivobook 16X M1603QA-MB711WS Laptop (AMD Octa Core Ryzen 7/16 GB/512 GB SSD/Windows 11)"/>
    <s v="Asus Vivobook 16X M1603QA-MB711WS Laptop (AMD Octa Core Ryzen 7/16 GB/512 GB SSD/Windows 11) price in India"/>
    <x v="244"/>
    <n v="183"/>
    <n v="86"/>
    <x v="0"/>
    <d v="2022-06-01T00:00:00"/>
    <s v="Intel Core i3 (11th Gen) 4.0 Ghz, Dual-Core"/>
    <s v="Windows 11"/>
    <x v="2"/>
    <s v="16&quot; (40.64 cm), 1920 x 1080 px, IPS LCD Display"/>
    <s v="Web Camera"/>
    <s v="Slim 20 mm"/>
    <s v="HDMI Port"/>
    <m/>
    <n v="71"/>
    <x v="2"/>
    <x v="30"/>
    <x v="0"/>
  </r>
  <r>
    <s v="Asus VivoBook Go 14 E1404FA-NK3325WS Laptop (AMD Quad Core Ryzen 3/8 GB/512 GB SSD/Windows 11)"/>
    <s v="Asus VivoBook Go 14 E1404FA-NK3325WS Laptop (AMD Quad Core Ryzen 3/8 GB/512 GB SSD/Windows 11) price in India"/>
    <x v="354"/>
    <n v="2430"/>
    <n v="84"/>
    <x v="0"/>
    <d v="2025-01-01T00:00:00"/>
    <s v="Intel Core i3 (11th Gen) 4.0 Ghz, Dual-Core"/>
    <s v="Windows 11"/>
    <x v="20"/>
    <s v="14&quot; (35.56 cm), 1920 x 1080 px Display"/>
    <s v="Web Camera"/>
    <s v="Slim 17.9 mm"/>
    <s v="HDMI Port"/>
    <m/>
    <n v="74"/>
    <x v="2"/>
    <x v="30"/>
    <x v="2"/>
  </r>
  <r>
    <s v="Asus Vivobook Go 15 E1504FA-NJ5542WS Laptop (AMD Quad Core Ryzen 5/16 GB/512 GB SSD/Windows 11)"/>
    <s v="Asus Vivobook Go 15 E1504FA-NJ5542WS Laptop (AMD Quad Core Ryzen 5/16 GB/512 GB SSD/Windows 11) price in India"/>
    <x v="415"/>
    <n v="1065"/>
    <n v="84"/>
    <x v="0"/>
    <d v="2025-05-01T00:00:00"/>
    <s v="Intel Core i3 (11th Gen) 4.0 Ghz, Dual-Core"/>
    <s v="Windows 11"/>
    <x v="17"/>
    <s v="15.6&quot; (39.62 cm), 1920 x 1080 px Display"/>
    <s v="Web Camera"/>
    <s v="Slim 17.9 mm"/>
    <s v="HDMI Port"/>
    <m/>
    <n v="74"/>
    <x v="2"/>
    <x v="30"/>
    <x v="0"/>
  </r>
  <r>
    <s v="Asus VivoBook 15 X1504ZA-NJ549WS Laptop (Core i5 12th Gen/16 GB/512 GB SSD/Windows 11)"/>
    <s v="Asus VivoBook 15 X1504ZA-NJ549WS Laptop (Core i5 12th Gen/16 GB/512 GB SSD/Windows 11) price in India"/>
    <x v="315"/>
    <n v="7791"/>
    <n v="84"/>
    <x v="0"/>
    <d v="2024-09-01T00:00:00"/>
    <s v="Intel Core i3 (11th Gen) 4.0 Ghz, Dual-Core"/>
    <s v="Windows 11"/>
    <x v="2"/>
    <s v="15.6&quot; (39.62 cm), 1920 x 1080 px, IPS LCD Display"/>
    <s v="Web Camera"/>
    <s v="Slim 17.9 mm"/>
    <s v="HDMI Port"/>
    <m/>
    <n v="75"/>
    <x v="2"/>
    <x v="30"/>
    <x v="0"/>
  </r>
  <r>
    <s v="Asus VivoBook 15 X1504ZA-NJ527WS Laptop (Core i5 12th Gen/8 GB/512 GB SSD/Windows 11)"/>
    <s v="Asus VivoBook 15 X1504ZA-NJ527WS Laptop (Core i5 12th Gen/8 GB/512 GB SSD/Windows 11) price in India"/>
    <x v="180"/>
    <n v="7783"/>
    <n v="84"/>
    <x v="0"/>
    <d v="2024-12-01T00:00:00"/>
    <s v="Intel Core i3 (11th Gen) 4.0 Ghz, Quad-Core"/>
    <s v="Windows 11"/>
    <x v="5"/>
    <s v="15.6&quot; (39.62 cm), 1920 x 1080 px, IPS LCD Display"/>
    <s v="Web Camera"/>
    <s v="Slim 17.9 mm"/>
    <s v="HDMI Port"/>
    <m/>
    <m/>
    <x v="2"/>
    <x v="30"/>
    <x v="2"/>
  </r>
  <r>
    <s v="Asus VivoBook 15 X1504ZA-NJ540WS Laptop (Core i5 12th Gen/16 GB/512 GB SSD/Windows 11)"/>
    <s v="Asus VivoBook 15 X1504ZA-NJ540WS Laptop (Core i5 12th Gen/16 GB/512 GB SSD/Windows 11) price in India"/>
    <x v="169"/>
    <n v="7783"/>
    <n v="84"/>
    <x v="0"/>
    <d v="2024-09-01T00:00:00"/>
    <s v="Intel Core i3 (11th Gen) 4.1 Ghz, Dual-Core"/>
    <s v="Windows 11"/>
    <x v="2"/>
    <s v="15.6&quot; (39.62 cm), 1920 x 1080 px, IPS LCD Display"/>
    <s v="Web Camera"/>
    <s v="Slim 17.9 mm"/>
    <s v="HDMI Port"/>
    <m/>
    <n v="75"/>
    <x v="2"/>
    <x v="30"/>
    <x v="0"/>
  </r>
  <r>
    <s v="Asus Vivobook Go 15 E1504FA-NJ131WS Laptop (AMD Quad Core Ryzen 3/8 GB/512 GB SSD/Windows 11)"/>
    <s v="Asus Vivobook Go 15 E1504FA-NJ131WS Laptop (AMD Quad Core Ryzen 3/8 GB/512 GB SSD/Windows 11) price in India"/>
    <x v="354"/>
    <n v="3181"/>
    <n v="84"/>
    <x v="0"/>
    <d v="2025-04-01T00:00:00"/>
    <s v="Intel Core i3 (11th Gen) 4.1 Ghz, Dual-Core"/>
    <s v="Windows 11"/>
    <x v="20"/>
    <s v="15.6&quot; (39.62 cm), 1920 x 1200 px Display"/>
    <s v="Web Camera"/>
    <s v="Slim 17.9 mm"/>
    <s v="HDMI Port"/>
    <m/>
    <n v="72"/>
    <x v="2"/>
    <x v="30"/>
    <x v="2"/>
  </r>
  <r>
    <s v="Acer Aspire 3 A324-53 (UN.34RSI.00B) Laptop (Core i3 13th Gen/8 GB/256 GB SSD/Windows 11)"/>
    <s v="Acer Aspire 3 A324-53 (UN.34RSI.00B) Laptop (Core i3 13th Gen/8 GB/256 GB SSD/Windows 11) price in India"/>
    <x v="317"/>
    <n v="1763"/>
    <n v="84"/>
    <x v="0"/>
    <d v="2025-02-01T00:00:00"/>
    <s v="Intel Core i3 (11th Gen) 4.1 Ghz, Dual-Core"/>
    <s v="Windows 11"/>
    <x v="38"/>
    <s v="14&quot; (35.56 cm), 1920 x 1080 px, TFT LCD Display"/>
    <s v="Web Camera"/>
    <s v="Slim 19.4 mm"/>
    <s v="HDMI Port"/>
    <m/>
    <n v="76"/>
    <x v="1"/>
    <x v="30"/>
    <x v="2"/>
  </r>
  <r>
    <s v="Acer Aspire 3 A324-53 (UN.34RSI.002) Laptop (Core i3 13th Gen/8 GB/512 GB SSD/Windows 11)"/>
    <s v="Acer Aspire 3 A324-53 (UN.34RSI.002) Laptop (Core i3 13th Gen/8 GB/512 GB SSD/Windows 11) price in India"/>
    <x v="133"/>
    <n v="1763"/>
    <n v="84"/>
    <x v="0"/>
    <d v="2024-10-01T00:00:00"/>
    <s v="Intel Core i3 (11th Gen) 4.1 Ghz, Dual-Core"/>
    <s v="Windows 11"/>
    <x v="5"/>
    <s v="14&quot; (35.56 cm), 1920 x 1080 px, TFT LCD Display"/>
    <s v="Web Camera"/>
    <s v="Slim 19.4 mm"/>
    <s v="HDMI Port"/>
    <m/>
    <n v="78"/>
    <x v="1"/>
    <x v="30"/>
    <x v="2"/>
  </r>
  <r>
    <s v="Asus Vivobook Go 15 E1504GA-NJ3322WS Laptop (Core i3 12th Gen/8 GB/512 GB SSD/Windows 11)"/>
    <s v="Asus Vivobook Go 15 E1504GA-NJ3322WS Laptop (Core i3 12th Gen/8 GB/512 GB SSD/Windows 11) price in India"/>
    <x v="337"/>
    <n v="309"/>
    <n v="84"/>
    <x v="0"/>
    <d v="2025-01-01T00:00:00"/>
    <s v="Intel Core i3 (11th Gen) 4.1 Ghz, Dual-Core"/>
    <s v="Windows 11"/>
    <x v="5"/>
    <s v="15.6&quot; (39.62 cm), 1920 x 1080 px Display"/>
    <s v="Web Camera"/>
    <s v="Slim 17.9 mm"/>
    <s v="HDMI Port"/>
    <m/>
    <n v="73"/>
    <x v="2"/>
    <x v="30"/>
    <x v="2"/>
  </r>
  <r>
    <s v="HP Pavilion 16-af0056TU (B13XTPA) Laptop (Core Ultra 5/16 GB/1 TB SSD/Windows 11)"/>
    <s v="HP Pavilion 16-af0056TU (B13XTPA) Laptop (Core Ultra 5/16 GB/1 TB SSD/Windows 11) price in India"/>
    <x v="109"/>
    <n v="384"/>
    <n v="84"/>
    <x v="0"/>
    <d v="2024-09-01T00:00:00"/>
    <s v="Intel Core i3 (11th Gen) 4.1 Ghz, Dual-Core"/>
    <s v="Windows 11"/>
    <x v="21"/>
    <s v="16&quot; (40.64 cm), 1920 x 1200 px, IPS LCD Display"/>
    <s v="Web Camera"/>
    <s v="Slim 17.9 mm"/>
    <s v="HDMI Port"/>
    <m/>
    <n v="82"/>
    <x v="7"/>
    <x v="30"/>
    <x v="0"/>
  </r>
  <r>
    <s v="Asus VivoBook 15 X1504VA-NJ2325WS Laptop (Core i3 13th Gen/16 GB/512 GB SSD/Windows 11)"/>
    <s v="Asus VivoBook 15 X1504VA-NJ2325WS Laptop (Core i3 13th Gen/16 GB/512 GB SSD/Windows 11) price in India"/>
    <x v="155"/>
    <n v="335"/>
    <n v="84"/>
    <x v="0"/>
    <d v="2025-01-01T00:00:00"/>
    <s v="Intel Core i3 (11th Gen) 4.1 Ghz, Dual-Core"/>
    <s v="Windows 11"/>
    <x v="2"/>
    <s v="15.6&quot; (39.62 cm), 1920 x 1080 px Display"/>
    <s v="Web Camera"/>
    <s v="Slim 17.9 mm"/>
    <s v="HDMI Port"/>
    <m/>
    <n v="77"/>
    <x v="2"/>
    <x v="30"/>
    <x v="0"/>
  </r>
  <r>
    <s v="Asus VivoBook Go 14 E1404FA-NK3321WS Laptop (AMD Quad Core Ryzen 3/8 GB/512 GB SSD/Windows 11)"/>
    <s v="Asus VivoBook Go 14 E1404FA-NK3321WS Laptop (AMD Quad Core Ryzen 3/8 GB/512 GB SSD/Windows 11) price in India"/>
    <x v="133"/>
    <n v="2430"/>
    <n v="84"/>
    <x v="0"/>
    <d v="2025-01-01T00:00:00"/>
    <s v="Intel Core i3 (11th Gen) 4.1 Ghz, Quad-Core"/>
    <s v="Windows 11"/>
    <x v="20"/>
    <s v="14&quot; (35.56 cm), 1920 x 1080 px, IPS LCD Display"/>
    <s v="Web Camera"/>
    <s v="Slim 17.9 mm"/>
    <s v="HDMI Port"/>
    <m/>
    <n v="74"/>
    <x v="2"/>
    <x v="30"/>
    <x v="2"/>
  </r>
  <r>
    <s v="Lenovo IdeaPad 15ALC7 (82R4010DIN) Laptop (AMD Hexa Core Ryzen 5/16 GB/512 GB SSD/Windows 11)"/>
    <s v="Lenovo IdeaPad 15ALC7 (82R4010DIN) Laptop (AMD Hexa Core Ryzen 5/16 GB/512 GB SSD/Windows 11) price in India"/>
    <x v="383"/>
    <n v="8463"/>
    <n v="84"/>
    <x v="0"/>
    <d v="2025-01-01T00:00:00"/>
    <s v="Intel Core i3 (11th Gen) 4.2 Ghz, Dual-Core"/>
    <s v="Windows 11"/>
    <x v="2"/>
    <s v="15.6&quot; (39.62 cm), 1920 x 1080 px, IPS LCD Display"/>
    <s v="Web Camera"/>
    <s v="Slim 17.9 mm"/>
    <s v="HDMI Port"/>
    <m/>
    <n v="73"/>
    <x v="5"/>
    <x v="30"/>
    <x v="0"/>
  </r>
  <r>
    <s v="Asus Vivobook Go 15 E1504FA-NJ132WS Laptop (AMD Quad Core Ryzen 5/8 GB/512 GB SSD/Windows 11)"/>
    <s v="Asus Vivobook Go 15 E1504FA-NJ132WS Laptop (AMD Quad Core Ryzen 5/8 GB/512 GB SSD/Windows 11) price in India"/>
    <x v="47"/>
    <n v="1514"/>
    <n v="84"/>
    <x v="0"/>
    <d v="2025-03-01T00:00:00"/>
    <s v="Intel Core i3 (11th Gen) 4.8 Ghz, Dual-Core"/>
    <s v="Windows 11"/>
    <x v="20"/>
    <s v="15.6&quot; (39.62 cm), 1920 x 1080 px, LCD Display"/>
    <s v="Web Camera"/>
    <s v="Slim 17.9 mm"/>
    <s v="HDMI Port"/>
    <m/>
    <n v="71"/>
    <x v="2"/>
    <x v="30"/>
    <x v="2"/>
  </r>
  <r>
    <s v="Acer One 14 Z8-415 (UN.31VSI.006) Laptop (Core i3 11th Gen/16 GB/512 GB SSD/Windows 11)"/>
    <s v="Acer One 14 Z8-415 (UN.31VSI.006) Laptop (Core i3 11th Gen/16 GB/512 GB SSD/Windows 11) price in India"/>
    <x v="317"/>
    <n v="13125"/>
    <n v="84"/>
    <x v="0"/>
    <d v="2024-12-01T00:00:00"/>
    <s v="Intel Core i3 (12th Gen) 0.8 Ghz"/>
    <s v="Windows 11"/>
    <x v="2"/>
    <s v="14&quot; (35.56 cm), 1920 x 1080 px, IPS LCD Display"/>
    <s v="Web Camera"/>
    <s v="Slim 21.6 mm"/>
    <s v="HDMI Port"/>
    <m/>
    <m/>
    <x v="1"/>
    <x v="31"/>
    <x v="0"/>
  </r>
  <r>
    <s v="Dell Vostro 3520 (VN3520HPCNX001ORB1) Laptop (Core i3 12th Gen/8 GB/512 GB SSD/Windows 11)"/>
    <s v="Dell Vostro 3520 (VN3520HPCNX001ORB1) Laptop (Core i3 12th Gen/8 GB/512 GB SSD/Windows 11) price in India"/>
    <x v="133"/>
    <n v="476"/>
    <n v="84"/>
    <x v="0"/>
    <d v="2024-07-01T00:00:00"/>
    <s v="Intel Core i3 (12th Gen) 0.8 Ghz, Hexa-Core"/>
    <s v="Windows 11"/>
    <x v="5"/>
    <s v="15.6&quot; (39.62 cm), 1920 x 1080 px, IPS LCD Display"/>
    <s v="Web Camera"/>
    <s v="Slim 18.9 mm"/>
    <s v="HDMI Port"/>
    <m/>
    <n v="73"/>
    <x v="6"/>
    <x v="31"/>
    <x v="2"/>
  </r>
  <r>
    <s v="Dell Vostro 3520 (VN3520CYGGW001SDG1) Laptop (Core i5 12th Gen/16 GB/512 GB SSD/Windows 11)"/>
    <s v="Dell Vostro 3520 (VN3520CYGGW001SDG1) Laptop (Core i5 12th Gen/16 GB/512 GB SSD/Windows 11) price in India"/>
    <x v="416"/>
    <n v="476"/>
    <n v="84"/>
    <x v="0"/>
    <d v="2024-06-01T00:00:00"/>
    <s v="Intel Core i3 (12th Gen) 0.8 Ghz, Hexa-Core"/>
    <s v="Windows 11"/>
    <x v="2"/>
    <s v="15.6&quot; (39.62 cm), 1920 x 1080 px, IPS LCD Display"/>
    <s v="Web Camera"/>
    <m/>
    <s v="HDMI Port"/>
    <m/>
    <n v="75"/>
    <x v="6"/>
    <x v="31"/>
    <x v="0"/>
  </r>
  <r>
    <s v="Asus VivoBook Go 14 E1404FA-NK5542WS Laptop (AMD Quad Core Ryzen 5/16 GB/512 GB SSD/Windows 11)"/>
    <s v="Asus VivoBook Go 14 E1404FA-NK5542WS Laptop (AMD Quad Core Ryzen 5/16 GB/512 GB SSD/Windows 11) price in India"/>
    <x v="155"/>
    <n v="1080"/>
    <n v="84"/>
    <x v="0"/>
    <d v="2025-01-01T00:00:00"/>
    <s v="Intel Core i3 (12th Gen) 0.8 Ghz, Hexa-Core"/>
    <s v="Windows 11"/>
    <x v="17"/>
    <s v="14&quot; (35.56 cm), 1920 x 1080 px, IPS LCD Display"/>
    <s v="Web Camera"/>
    <s v="Slim 17.9 mm"/>
    <s v="HDMI Port"/>
    <m/>
    <n v="75"/>
    <x v="2"/>
    <x v="31"/>
    <x v="0"/>
  </r>
  <r>
    <s v="Asus VivoBook Go 14 E1404FA-NK5541WS Laptop (AMD Quad Core Ryzen 5/16 GB/512 GB SSD/Windows 11)"/>
    <s v="Asus VivoBook Go 14 E1404FA-NK5541WS Laptop (AMD Quad Core Ryzen 5/16 GB/512 GB SSD/Windows 11) price in India"/>
    <x v="417"/>
    <n v="1080"/>
    <n v="84"/>
    <x v="0"/>
    <d v="2025-01-01T00:00:00"/>
    <s v="Intel Core i3 (12th Gen) 0.8 Ghz, Hexa-Core"/>
    <s v="Windows 11"/>
    <x v="17"/>
    <s v="14&quot; (35.56 cm), 1920 x 1080 px Display"/>
    <s v="Web Camera"/>
    <s v="Slim 17.9 mm"/>
    <s v="HDMI Port"/>
    <m/>
    <n v="73"/>
    <x v="2"/>
    <x v="31"/>
    <x v="0"/>
  </r>
  <r>
    <s v="Lenovo IdeaPad 3 14IAU7 (82RJ00FUIN) Laptop (Core i3 12th Gen/8 GB/512 GB SSD/Windows 11)"/>
    <s v="Lenovo IdeaPad 3 14IAU7 (82RJ00FUIN) Laptop (Core i3 12th Gen/8 GB/512 GB SSD/Windows 11) price in India"/>
    <x v="418"/>
    <n v="1782"/>
    <n v="84"/>
    <x v="0"/>
    <d v="2024-08-01T00:00:00"/>
    <s v="Intel Core i3 (12th Gen) 0.8 Ghz, Hexa-Core"/>
    <s v="Windows 11"/>
    <x v="5"/>
    <s v="14&quot; (35.56 cm), 1920 x 1080 px, TN LCD Display"/>
    <s v="Web Camera"/>
    <s v="Slim 19.9 mm"/>
    <s v="HDMI Port"/>
    <m/>
    <n v="73"/>
    <x v="5"/>
    <x v="31"/>
    <x v="2"/>
  </r>
  <r>
    <s v="Samsung Galaxy Book 4 Pro NP940XGK-KS1IN Laptop (Core Ultra 5/16 GB/512 GB SSD/Windows 11)"/>
    <s v="Samsung Galaxy Book 4 Pro NP940XGK-KS1IN Laptop (Core Ultra 5/16 GB/512 GB SSD/Windows 11) price in India"/>
    <x v="22"/>
    <n v="57"/>
    <n v="84"/>
    <x v="0"/>
    <d v="2024-02-01T00:00:00"/>
    <s v="Intel Core i3 (12th Gen) 0.8 Ghz, Hexa-Core"/>
    <s v="Windows 11"/>
    <x v="8"/>
    <s v="14&quot; (35.56 cm), 2880 x 1800 px, AMOLED Display"/>
    <s v="Web Camera"/>
    <s v="Slim 11.6 mm"/>
    <s v="HDMI Port"/>
    <m/>
    <n v="84"/>
    <x v="8"/>
    <x v="31"/>
    <x v="0"/>
  </r>
  <r>
    <s v="HP 15-BE014tx (1HQ27PA) Laptop (Core i3 6th Gen/4 GB/1 TB/DOS/2 GB)"/>
    <s v="HP 15-BE014tx (1HQ27PA) Laptop (Core i3 6th Gen/4 GB/1 TB/DOS/2 GB) price in India"/>
    <x v="419"/>
    <n v="591"/>
    <n v="84"/>
    <x v="0"/>
    <m/>
    <s v="Intel Core i3 (12th Gen) 1.0 Ghz, Hexa-Core"/>
    <s v="DOS"/>
    <x v="61"/>
    <s v="15.6&quot; (39.62 cm), 1366 x 768 px, LED Display"/>
    <s v="Web Camera"/>
    <m/>
    <s v="HDMI Port"/>
    <s v="3 USB Ports"/>
    <m/>
    <x v="7"/>
    <x v="31"/>
    <x v="7"/>
  </r>
  <r>
    <s v="Lenovo LOQ 15IAX9E (83LK0068IN) Laptop (Core i7 12th Gen/12 GB/512 GB SSD/Windows 11/6 GB)"/>
    <s v="Lenovo LOQ 15IAX9E (83LK0068IN) Laptop (Core i7 12th Gen/12 GB/512 GB SSD/Windows 11/6 GB) price in India"/>
    <x v="255"/>
    <n v="79"/>
    <n v="84"/>
    <x v="0"/>
    <d v="2025-01-01T00:00:00"/>
    <s v="Intel Core i3 (12th Gen) 1.1 Ghz, Deca-Core"/>
    <s v="Windows 11"/>
    <x v="55"/>
    <s v="15.6&quot; (39.62 cm), 1920 x 1080 px, IPS LCD Display"/>
    <s v="Web Camera"/>
    <m/>
    <s v="HDMI Port"/>
    <m/>
    <n v="87"/>
    <x v="5"/>
    <x v="31"/>
    <x v="8"/>
  </r>
  <r>
    <s v="Lenovo IdeaPad Slim 1 Gen 7 (82R400EHIN) Laptop (AMD Octa Core Ryzen 7/16 GB/512 GB SSD/Windows 11)"/>
    <s v="Lenovo IdeaPad Slim 1 Gen 7 (82R400EHIN) Laptop (AMD Octa Core Ryzen 7/16 GB/512 GB SSD/Windows 11) price in India"/>
    <x v="420"/>
    <n v="462"/>
    <n v="84"/>
    <x v="0"/>
    <d v="2024-09-01T00:00:00"/>
    <s v="Intel Core i3 (12th Gen) 1.1 Ghz, Deca-Core"/>
    <s v="Windows 11"/>
    <x v="2"/>
    <s v="15.6&quot; (39.62 cm), 1920 x 1080 px, IPS LCD Display"/>
    <s v="Web Camera"/>
    <m/>
    <s v="HDMI Port"/>
    <m/>
    <n v="72"/>
    <x v="5"/>
    <x v="31"/>
    <x v="0"/>
  </r>
  <r>
    <s v="Lenovo Yoga Slim 7 14IMH9 (83CV0047IN) Laptop (Core Ultra 7/16 GB/1 TB SSD/Windows 11)"/>
    <s v="Lenovo Yoga Slim 7 14IMH9 (83CV0047IN) Laptop (Core Ultra 7/16 GB/1 TB SSD/Windows 11) price in India"/>
    <x v="331"/>
    <n v="41"/>
    <n v="84"/>
    <x v="0"/>
    <d v="2024-09-01T00:00:00"/>
    <s v="Intel Core i3 (12th Gen) 1.2 Ghz, Hexa-Core"/>
    <s v="Windows 11"/>
    <x v="3"/>
    <s v="14&quot; (35.56 cm), 1920 x 1200 px, OLED Display"/>
    <s v="Web Camera"/>
    <s v="Slim 14.9 mm"/>
    <s v="HDMI Port"/>
    <m/>
    <n v="86"/>
    <x v="5"/>
    <x v="31"/>
    <x v="0"/>
  </r>
  <r>
    <s v="Asus VivoBook 15 X543UB-DM581T Laptop (Core i5 8th Gen/8 GB/1 TB/Windows 10/2 GB)"/>
    <s v="Asus VivoBook 15 X543UB-DM581T Laptop (Core i5 8th Gen/8 GB/1 TB/Windows 10/2 GB) price in India"/>
    <x v="155"/>
    <n v="1021"/>
    <n v="84"/>
    <x v="0"/>
    <d v="2020-07-01T00:00:00"/>
    <s v="Intel Core i3 (12th Gen) 1.2 Ghz, Hexa-Core"/>
    <s v="Windows 10"/>
    <x v="37"/>
    <s v="15.6&quot; (39.62 cm), 1920 x 1080 px, LED Display"/>
    <s v="Web Camera"/>
    <m/>
    <s v="HDMI Port"/>
    <m/>
    <m/>
    <x v="2"/>
    <x v="31"/>
    <x v="2"/>
  </r>
  <r>
    <s v="MSI Cyborg 15 A12UDX-1468IN Laptop (Core i5 12th Gen/16 GB/512 GB SSD/Windows 11/6 GB)"/>
    <s v="MSI Cyborg 15 A12UDX-1468IN Laptop (Core i5 12th Gen/16 GB/512 GB SSD/Windows 11/6 GB) price in India"/>
    <x v="236"/>
    <n v="38"/>
    <n v="84"/>
    <x v="0"/>
    <d v="2024-10-01T00:00:00"/>
    <s v="Intel Core i3 (12th Gen) 1.2 Ghz, Hexa-Core"/>
    <s v="Windows 11"/>
    <x v="6"/>
    <s v="15.6&quot; (39.62 cm), 1920 x 1080 px, IPS LCD Display"/>
    <s v="Web Camera"/>
    <m/>
    <s v="HDMI Port"/>
    <m/>
    <n v="85"/>
    <x v="3"/>
    <x v="31"/>
    <x v="0"/>
  </r>
  <r>
    <s v="MSI GF63 Thin 11UC-866IN Laptop (Core i7 11th Gen/8 GB/512 GB SSD/Windows 10/4 GB)"/>
    <s v="MSI GF63 Thin 11UC-866IN Laptop (Core i7 11th Gen/8 GB/512 GB SSD/Windows 10/4 GB) price in India"/>
    <x v="151"/>
    <n v="1096"/>
    <n v="84"/>
    <x v="0"/>
    <d v="2022-05-01T00:00:00"/>
    <s v="Intel Core i3 (12th Gen) 1.2 Ghz, Hexa-Core"/>
    <s v="Windows 10"/>
    <x v="5"/>
    <s v="15.6&quot; (39.62 cm), 1920 x 1080 px, IPS LCD Display"/>
    <s v="Web Camera"/>
    <s v="Slim 21.7 mm"/>
    <s v="HDMI Port"/>
    <m/>
    <n v="77"/>
    <x v="3"/>
    <x v="31"/>
    <x v="2"/>
  </r>
  <r>
    <s v="Asus Zenbook 14 OLED UX3405MA-PP555WS Laptop (Core Ultra 5/16 GB/1 TB SSD/Windows 11)"/>
    <s v="Asus Zenbook 14 OLED UX3405MA-PP555WS Laptop (Core Ultra 5/16 GB/1 TB SSD/Windows 11) price in India"/>
    <x v="66"/>
    <n v="28"/>
    <n v="84"/>
    <x v="0"/>
    <d v="2025-01-01T00:00:00"/>
    <s v="Intel Core i3 (12th Gen) 1.2 Ghz, Hexa-Core"/>
    <s v="Windows 11"/>
    <x v="3"/>
    <s v="14&quot; (35.56 cm), 2880 x 1800 px, OLED Display"/>
    <s v="Web Camera"/>
    <s v="Slim 14.9 mm"/>
    <s v="HDMI Port"/>
    <m/>
    <n v="85"/>
    <x v="2"/>
    <x v="31"/>
    <x v="0"/>
  </r>
  <r>
    <s v="MSI GE62VR 7RF Apache Pro Laptop (Core i7 7th Gen/16 GB/1 TB 256 GB SSD/Windows 10/6 GB)"/>
    <s v="MSI GE62VR 7RF Apache Pro Laptop (Core i7 7th Gen/16 GB/1 TB 256 GB SSD/Windows 10/6 GB) price in India"/>
    <x v="68"/>
    <n v="50"/>
    <n v="84"/>
    <x v="0"/>
    <m/>
    <s v="Intel Core i3 (12th Gen) 1.5 Ghz, Deca-Core"/>
    <s v="Windows 10"/>
    <x v="34"/>
    <s v="15.6&quot; (39.62 cm), 1920 x 1080 px, LED Display"/>
    <s v="Web Camera"/>
    <m/>
    <s v="HDMI Port"/>
    <s v="3 USB Ports"/>
    <m/>
    <x v="3"/>
    <x v="31"/>
    <x v="0"/>
  </r>
  <r>
    <s v="HP 255 G10 (B15HZPT) Laptop (AMD Quad Core Ryzen 5/8 GB/512 GB SSD/Windows 11)"/>
    <s v="HP 255 G10 (B15HZPT) Laptop (AMD Quad Core Ryzen 5/8 GB/512 GB SSD/Windows 11) price in India"/>
    <x v="421"/>
    <n v="781"/>
    <n v="84"/>
    <x v="0"/>
    <d v="2025-01-01T00:00:00"/>
    <s v="Intel Core i3 (12th Gen) 1.5 Ghz, Deca-Core"/>
    <s v="Windows 11"/>
    <x v="5"/>
    <s v="15.6&quot; (39.62 cm), 1366 x 768 px Display"/>
    <s v="Web Camera"/>
    <m/>
    <s v="HDMI Port"/>
    <m/>
    <m/>
    <x v="7"/>
    <x v="31"/>
    <x v="2"/>
  </r>
  <r>
    <s v="Lenovo IdeaPad Slim 3 (83EQ005TIN) Laptop (Core i5 12th Gen/8 GB/512 GB SSD/Windows 11)"/>
    <s v="Lenovo IdeaPad Slim 3 (83EQ005TIN) Laptop (Core i5 12th Gen/8 GB/512 GB SSD/Windows 11) price in India"/>
    <x v="180"/>
    <n v="720"/>
    <n v="84"/>
    <x v="0"/>
    <d v="2024-09-01T00:00:00"/>
    <s v="Intel Core i3 (12th Gen) 1.8 Ghz, Octa-Core"/>
    <s v="Windows 11"/>
    <x v="20"/>
    <s v="14.1&quot; (35.81 cm), 1920 x 1080 px, TN LCD Display"/>
    <s v="Web Camera"/>
    <s v="Slim 17.9 mm"/>
    <s v="HDMI Port"/>
    <m/>
    <n v="75"/>
    <x v="5"/>
    <x v="31"/>
    <x v="2"/>
  </r>
  <r>
    <s v="Dell Inspiron 15 3520 (0IN352010031RINB1M) Laptop (Core i5 12th Gen/8 GB/512 GB SSD/Windows 11)"/>
    <s v="Dell Inspiron 15 3520 (0IN352010031RINB1M) Laptop (Core i5 12th Gen/8 GB/512 GB SSD/Windows 11) price in India"/>
    <x v="124"/>
    <n v="1227"/>
    <n v="84"/>
    <x v="0"/>
    <d v="2024-11-01T00:00:00"/>
    <s v="Intel Core i3 (12th Gen) 1.8 Ghz, Octa-Core"/>
    <s v="Windows 11"/>
    <x v="5"/>
    <s v="15.6&quot; (39.62 cm), 1920 x 1080 px, IPS LCD Display"/>
    <s v="Web Camera"/>
    <m/>
    <s v="HDMI Port"/>
    <m/>
    <m/>
    <x v="6"/>
    <x v="31"/>
    <x v="2"/>
  </r>
  <r>
    <s v="Infinix INBook Y3 Max YL613 (71008301490) Laptop (Core i7 12th Gen/16 GB/512 GB SSD/Windows 11)"/>
    <s v="Infinix INBook Y3 Max YL613 (71008301490) Laptop (Core i7 12th Gen/16 GB/512 GB SSD/Windows 11) price in India"/>
    <x v="114"/>
    <n v="21"/>
    <n v="84"/>
    <x v="0"/>
    <d v="2024-08-01T00:00:00"/>
    <s v="Intel Core i3 (12th Gen) 1.8 Ghz, Octa-Core"/>
    <s v="Windows 11"/>
    <x v="30"/>
    <s v="16&quot; (40.64 cm), 1920 x 1200 px, IPS LCD Display"/>
    <s v="Web Camera"/>
    <s v="Slim 17.9 mm"/>
    <s v="HDMI Port"/>
    <s v="2 USB Ports"/>
    <n v="80"/>
    <x v="10"/>
    <x v="31"/>
    <x v="0"/>
  </r>
  <r>
    <s v="Asus VivoBook Go 14 E1404FA-NK5521WS Laptop (AMD Quad Core Ryzen 5/8 GB/512 SSD/Windows 11)"/>
    <s v="Asus VivoBook Go 14 E1404FA-NK5521WS Laptop (AMD Quad Core Ryzen 5/8 GB/512 SSD/Windows 11) price in India"/>
    <x v="414"/>
    <n v="56"/>
    <n v="84"/>
    <x v="0"/>
    <d v="2025-01-01T00:00:00"/>
    <s v="Intel Core i3 (12th Gen) 2.6 Ghz, Hexa-Core"/>
    <s v="Windows 11"/>
    <x v="62"/>
    <s v="14&quot; (35.56 cm), 1920 x 1080 px Display"/>
    <s v="Web Camera"/>
    <s v="Slim 17.9 mm"/>
    <s v="HDMI Port"/>
    <m/>
    <m/>
    <x v="2"/>
    <x v="31"/>
    <x v="2"/>
  </r>
  <r>
    <s v="Lenovo IdeaPad Slim 5 13ARP10 Gen 10 (83J2000HIN) Laptop (AMD Octa Core Ryzen 7/16 GB/512 GB SSD/Windows 11)"/>
    <s v="Lenovo IdeaPad Slim 5 13ARP10 Gen 10 (83J2000HIN) Laptop (AMD Octa Core Ryzen 7/16 GB/512 GB SSD/Windows 11) price in India"/>
    <x v="422"/>
    <n v="100"/>
    <n v="84"/>
    <x v="0"/>
    <d v="2025-01-01T00:00:00"/>
    <s v="Intel Core i3 (12th Gen) 3.3 Ghz, Deca-Core"/>
    <s v="Windows 11"/>
    <x v="8"/>
    <s v="13.3&quot; (33.78 cm), 1920 x 1200 px, IPS LCD Display"/>
    <s v="Web Camera"/>
    <s v="Slim 14.3 mm"/>
    <s v="HDMI Port"/>
    <m/>
    <n v="83"/>
    <x v="5"/>
    <x v="31"/>
    <x v="0"/>
  </r>
  <r>
    <s v="HP Compaq 15-s103TX Laptop (Core i3 4th Gen/4 GB/1 TB/DOS/2 GB)"/>
    <s v="HP Compaq 15-s103TX Laptop (Core i3 4th Gen/4 GB/1 TB/DOS/2 GB) price in India"/>
    <x v="337"/>
    <n v="590"/>
    <n v="84"/>
    <x v="0"/>
    <m/>
    <s v="Intel Core i3 (12th Gen) 3.3 Ghz, Hexa-Core"/>
    <s v="DOS"/>
    <x v="61"/>
    <s v="15.6&quot; (39.62 cm), 1366 x 768 px, LED Display"/>
    <s v="Web Camera"/>
    <m/>
    <s v="HDMI Port"/>
    <s v="3 USB Ports"/>
    <m/>
    <x v="7"/>
    <x v="31"/>
    <x v="7"/>
  </r>
  <r>
    <s v="Lenovo ThinkBook 16 Gen 6 (21KKA0G1IN) Laptop (AMD Octa Core Ryzen 7/16 GB/512 GB SSD/Windows 11)"/>
    <s v="Lenovo ThinkBook 16 Gen 6 (21KKA0G1IN) Laptop (AMD Octa Core Ryzen 7/16 GB/512 GB SSD/Windows 11) price in India"/>
    <x v="319"/>
    <n v="407"/>
    <n v="84"/>
    <x v="0"/>
    <d v="2024-10-01T00:00:00"/>
    <s v="Intel Core i3 (12th Gen) 3.3 Ghz, Hexa-Core"/>
    <s v="Windows 11"/>
    <x v="2"/>
    <s v="16&quot; (40.64 cm), 1920 x 1200 px, IPS LCD Display"/>
    <s v="Web Camera"/>
    <m/>
    <s v="HDMI Port"/>
    <m/>
    <n v="74"/>
    <x v="5"/>
    <x v="31"/>
    <x v="0"/>
  </r>
  <r>
    <s v="Asus Zenbook 14 OLED UX3405CA-PZ349WS Laptop (Core Ultra 9/32 GB/1 TB SSD/Windows 11)"/>
    <s v="Asus Zenbook 14 OLED UX3405CA-PZ349WS Laptop (Core Ultra 9/32 GB/1 TB SSD/Windows 11) price in India"/>
    <x v="116"/>
    <n v="9"/>
    <n v="84"/>
    <x v="0"/>
    <d v="2025-02-01T00:00:00"/>
    <s v="Intel Core i3 (12th Gen) 3.3 Ghz, Hexa-Core"/>
    <s v="Windows 11"/>
    <x v="7"/>
    <s v="14&quot; (35.56 cm), 2880 x 1800 px, OLED Display"/>
    <s v="Web Camera"/>
    <s v="Slim 14.9 mm"/>
    <s v="HDMI Port"/>
    <m/>
    <m/>
    <x v="2"/>
    <x v="31"/>
    <x v="3"/>
  </r>
  <r>
    <s v="Asus Zenbook 14 OLED UX3405CA-PZ164WS Laptop (Core Ultra 9/32 GB/1 TB SSD/Windows 11)"/>
    <s v="Asus Zenbook 14 OLED UX3405CA-PZ164WS Laptop (Core Ultra 9/32 GB/1 TB SSD/Windows 11) price in India"/>
    <x v="423"/>
    <n v="9"/>
    <n v="84"/>
    <x v="0"/>
    <d v="2025-02-01T00:00:00"/>
    <s v="Intel Core i3 (12th Gen) 3.3 Ghz, Hexa-Core"/>
    <s v="Windows 11"/>
    <x v="7"/>
    <s v="14&quot; (35.56 cm), 2880 x 1800 px, OLED Display"/>
    <s v="Web Camera"/>
    <s v="Slim 14.9 mm"/>
    <s v="HDMI Port"/>
    <m/>
    <m/>
    <x v="2"/>
    <x v="31"/>
    <x v="3"/>
  </r>
  <r>
    <s v="Asus TUF Gaming F15 FX507VV-LP487WS Laptop (Core i7 13th Gen/16 GB/1 TB SSD/Windows 11/8 GB)"/>
    <s v="Asus TUF Gaming F15 FX507VV-LP487WS Laptop (Core i7 13th Gen/16 GB/1 TB SSD/Windows 11/8 GB) price in India"/>
    <x v="424"/>
    <n v="33"/>
    <n v="84"/>
    <x v="0"/>
    <d v="2025-01-01T00:00:00"/>
    <s v="Intel Core i3 (12th Gen) 3.3 Ghz, Hexa-Core"/>
    <s v="Windows 11"/>
    <x v="10"/>
    <s v="15.6&quot; (39.62 cm), 1920 x 1080 px, IPS LCD Display"/>
    <s v="Web Camera"/>
    <m/>
    <s v="HDMI Port"/>
    <m/>
    <m/>
    <x v="2"/>
    <x v="31"/>
    <x v="0"/>
  </r>
  <r>
    <s v="Acer Aspire 3 A324-31 (UN.34DSI.002) Laptop (Core i3 12th Gen/8 GB/512 GB SSD/Windows 11)"/>
    <s v="Acer Aspire 3 A324-31 (UN.34DSI.002) Laptop (Core i3 12th Gen/8 GB/512 GB SSD/Windows 11) price in India"/>
    <x v="425"/>
    <n v="582"/>
    <n v="84"/>
    <x v="0"/>
    <d v="2024-08-01T00:00:00"/>
    <s v="Intel Core i3 (12th Gen) 3.3 Ghz, Hexa-Core"/>
    <s v="Windows 11"/>
    <x v="5"/>
    <s v="14&quot; (35.56 cm), 1920 x 1080 px, IPS LCD Display"/>
    <s v="Web Camera"/>
    <s v="Slim 17.8 mm"/>
    <s v="HDMI Port"/>
    <m/>
    <n v="78"/>
    <x v="1"/>
    <x v="31"/>
    <x v="2"/>
  </r>
  <r>
    <s v="Apple MacBook Air M3 MC8M4HN/A Ultrabook (Apple M3/24 GB/512 GB SSD/macOS Sequoia)"/>
    <s v="Apple MacBook Air M3 MC8M4HN/A Ultrabook (Apple M3/24 GB/512 GB SSD/macOS Sequoia) price in India"/>
    <x v="19"/>
    <n v="5"/>
    <n v="84"/>
    <x v="0"/>
    <d v="2024-11-01T00:00:00"/>
    <s v="Intel Core i3 (12th Gen) 3.3 Ghz, Hexa-Core"/>
    <s v="macOS Sequoia"/>
    <x v="1"/>
    <s v="13.6&quot; (34.54 cm), 2560 x 1664 px, IPS LCD Display"/>
    <s v="Web Camera"/>
    <s v="Slim 11.3 mm"/>
    <m/>
    <m/>
    <n v="85"/>
    <x v="0"/>
    <x v="31"/>
    <x v="1"/>
  </r>
  <r>
    <s v="Acer Nitro V ANV15-41 (NH.QPFSI.006) Laptop (AMD Octa Core Ryzen 7/16 GB/512 GB SSD/Windows 11/6 GB)"/>
    <s v="Acer Nitro V ANV15-41 (NH.QPFSI.006) Laptop (AMD Octa Core Ryzen 7/16 GB/512 GB SSD/Windows 11/6 GB) price in India"/>
    <x v="159"/>
    <n v="26"/>
    <n v="84"/>
    <x v="0"/>
    <d v="2024-11-01T00:00:00"/>
    <s v="Intel Core i3 (12th Gen) 3.4 Ghz, Octa-Core"/>
    <s v="Windows 11"/>
    <x v="6"/>
    <s v="15.6&quot; (39.62 cm), 1920 x 1080 px, TFT LCD Display"/>
    <s v="Web Camera"/>
    <m/>
    <s v="HDMI Port"/>
    <m/>
    <n v="85"/>
    <x v="1"/>
    <x v="31"/>
    <x v="0"/>
  </r>
  <r>
    <s v="Dell Inspiron 14 5440 (OIN5440340401RINU1) Laptop (Core i5 13th Gen/16 GB/512 GB SSD/Windows 11)"/>
    <s v="Dell Inspiron 14 5440 (OIN5440340401RINU1) Laptop (Core i5 13th Gen/16 GB/512 GB SSD/Windows 11) price in India"/>
    <x v="159"/>
    <n v="26"/>
    <n v="84"/>
    <x v="0"/>
    <d v="2024-09-01T00:00:00"/>
    <s v="Intel Core i3 (12th Gen) 3.4 Ghz, Octa-Core"/>
    <s v="Windows 11"/>
    <x v="6"/>
    <s v="14&quot; (35.56 cm), 1920 x 1200 px, IPS LCD Display"/>
    <s v="Web Camera"/>
    <s v="Slim 18.8 mm"/>
    <s v="HDMI Port"/>
    <m/>
    <n v="81"/>
    <x v="6"/>
    <x v="31"/>
    <x v="0"/>
  </r>
  <r>
    <s v="Samsung Galaxy Book 3 Pro 360 Intel Evo NP960QFG-KA3IN Laptop (Core i7 13th Gen/16 GB/1 TB SSD/Windows 11)"/>
    <s v="Samsung Galaxy Book 3 Pro 360 Intel Evo NP960QFG-KA3IN Laptop (Core i7 13th Gen/16 GB/1 TB SSD/Windows 11) price in India"/>
    <x v="4"/>
    <n v="34"/>
    <n v="84"/>
    <x v="0"/>
    <d v="2023-02-01T00:00:00"/>
    <s v="Intel Core i3 (12th Gen) 3.8 Ghz, Octa-Core"/>
    <s v="Windows 11"/>
    <x v="33"/>
    <s v="16&quot; (40.64 cm), 2880 x 1800 px, AMOLED Display"/>
    <s v="Web Camera"/>
    <s v="Slim 13 mm"/>
    <s v="HDMI Port"/>
    <m/>
    <n v="82"/>
    <x v="8"/>
    <x v="31"/>
    <x v="0"/>
  </r>
  <r>
    <s v="Lenovo Legion Y540 (81SY00UAIN) Laptop (Core i5 9th Gen/8 GB/1 TB 256 GB SSD/Windows 10/4 GB)"/>
    <s v="Lenovo Legion Y540 (81SY00UAIN) Laptop (Core i5 9th Gen/8 GB/1 TB 256 GB SSD/Windows 10/4 GB) price in India"/>
    <x v="62"/>
    <n v="242"/>
    <n v="84"/>
    <x v="0"/>
    <d v="2021-06-01T00:00:00"/>
    <s v="Intel Core i3 (12th Gen) 3.8 Ghz, Octa-Core"/>
    <s v="Windows 10"/>
    <x v="37"/>
    <s v="15.6&quot; (39.62 cm), 1920 x 1080 px, LED Display"/>
    <s v="Web Camera"/>
    <m/>
    <s v="HDMI Port"/>
    <s v="2 USB Ports"/>
    <n v="72"/>
    <x v="5"/>
    <x v="31"/>
    <x v="2"/>
  </r>
  <r>
    <s v="Asus TUF Gaming A15 FA506NF-HN578W Laptop (AMD Hexa Core Ryzen 5/8 GB/512 GB SSD/Windows 11/4 GB)"/>
    <s v="Asus TUF Gaming A15 FA506NF-HN578W Laptop (AMD Hexa Core Ryzen 5/8 GB/512 GB SSD/Windows 11/4 GB) price in India"/>
    <x v="21"/>
    <n v="10"/>
    <n v="84"/>
    <x v="0"/>
    <d v="2024-09-01T00:00:00"/>
    <s v="Intel Core i3 (12th Gen) 3.8 Ghz, Octa-Core"/>
    <s v="Windows 11"/>
    <x v="16"/>
    <s v="15.6&quot; (39.62 cm), 1920 x 1080 px, IPS LCD Display"/>
    <s v="Web Camera"/>
    <m/>
    <s v="HDMI Port"/>
    <m/>
    <n v="84"/>
    <x v="2"/>
    <x v="31"/>
    <x v="2"/>
  </r>
  <r>
    <s v="Asus VivoBook 14 M415DA-EB712WS Laptop (AMD Quad Core Ryzen 5/8 GB/512 GB SSD/Windows 11)"/>
    <s v="Asus VivoBook 14 M415DA-EB712WS Laptop (AMD Quad Core Ryzen 5/8 GB/512 GB SSD/Windows 11) price in India"/>
    <x v="390"/>
    <n v="626"/>
    <n v="84"/>
    <x v="0"/>
    <d v="2022-03-01T00:00:00"/>
    <s v="Intel Core i3 (12th Gen) 3.8 Ghz, Octa-Core"/>
    <s v="Windows 11"/>
    <x v="5"/>
    <s v="14&quot; (35.56 cm), 1920 x 1080 px, IPS LCD Display"/>
    <s v="Web Camera"/>
    <s v="Slim 19.9 mm"/>
    <m/>
    <m/>
    <m/>
    <x v="2"/>
    <x v="31"/>
    <x v="2"/>
  </r>
  <r>
    <s v="Dell Inspiron 15 3511 (D560649WIN9S) Laptop (Core i3 11th Gen/8 GB/256 GB SSD/Windows 11)"/>
    <s v="Dell Inspiron 15 3511 (D560649WIN9S) Laptop (Core i3 11th Gen/8 GB/256 GB SSD/Windows 11) price in India"/>
    <x v="47"/>
    <n v="484"/>
    <n v="84"/>
    <x v="0"/>
    <d v="2021-12-01T00:00:00"/>
    <s v="Intel Core i3 (12th Gen) 3.8 Ghz, Octa-Core"/>
    <s v="Windows 11"/>
    <x v="38"/>
    <s v="15.6&quot; (39.62 cm), 1920 x 1080 px, IPS LCD Display"/>
    <s v="Web Camera"/>
    <s v="Slim 18.9 mm"/>
    <s v="HDMI Port"/>
    <m/>
    <m/>
    <x v="6"/>
    <x v="31"/>
    <x v="2"/>
  </r>
  <r>
    <s v="Asus Chromebook CX1400CKA-NK0488 Laptop (Intel Celeron Dual Core/4 GB/128 GB eMMC/Google Chrome)"/>
    <s v="Asus Chromebook CX1400CKA-NK0488 Laptop (Intel Celeron Dual Core/4 GB/128 GB eMMC/Google Chrome) price in India"/>
    <x v="426"/>
    <n v="13"/>
    <n v="84"/>
    <x v="0"/>
    <d v="2025-03-01T00:00:00"/>
    <s v="Intel Core i3 (12th Gen) 4.2 Ghz, Deca-Core"/>
    <s v="Google Chrome"/>
    <x v="63"/>
    <s v="14&quot; (35.56 cm), 1920 x 1080 px, IPS LCD Display"/>
    <s v="Web Camera"/>
    <s v="Slim 18.7 mm"/>
    <m/>
    <m/>
    <m/>
    <x v="2"/>
    <x v="31"/>
    <x v="7"/>
  </r>
  <r>
    <s v="Lenovo Yoga 7 14AHP9 (83DK009LIN) Laptop (AMD Octa Core Ryzen 7/16 GB/1 TB SSD/Windows 11)"/>
    <s v="Lenovo Yoga 7 14AHP9 (83DK009LIN) Laptop (AMD Octa Core Ryzen 7/16 GB/1 TB SSD/Windows 11) price in India"/>
    <x v="211"/>
    <n v="6"/>
    <n v="84"/>
    <x v="0"/>
    <d v="2024-11-01T00:00:00"/>
    <s v="Intel Core i3 (12th Gen) 4.2 Ghz, Hexa-Core"/>
    <s v="Windows 11"/>
    <x v="3"/>
    <s v="14&quot; (35.56 cm), 1920 x 1200 px, OLED Display"/>
    <s v="Web Camera"/>
    <s v="Slim 16.6 mm"/>
    <s v="HDMI Port"/>
    <m/>
    <n v="87"/>
    <x v="5"/>
    <x v="31"/>
    <x v="0"/>
  </r>
  <r>
    <s v="Gigabyte G5 MF5-52IN353SH Laptop (Core i5 13th Gen/16 GB/512 GB SSD/Windows 11/6 GB)"/>
    <s v="Gigabyte G5 MF5-52IN353SH Laptop (Core i5 13th Gen/16 GB/512 GB SSD/Windows 11/6 GB) price in India"/>
    <x v="427"/>
    <n v="20"/>
    <n v="84"/>
    <x v="0"/>
    <d v="2024-10-01T00:00:00"/>
    <s v="Intel Core i3 (12th Gen) 4.2 Ghz, Hexa-Core"/>
    <s v="Windows 11"/>
    <x v="6"/>
    <s v="15.6&quot; (39.62 cm), 1920 x 1080 px, LCD Display"/>
    <s v="Web Camera"/>
    <m/>
    <s v="HDMI Port"/>
    <m/>
    <m/>
    <x v="11"/>
    <x v="31"/>
    <x v="0"/>
  </r>
  <r>
    <s v="MSI Sword 16 HX B13VFKG-652IN Laptop (Core i9 13th Gen/32 GB/1 TB SSD/Windows 11/8 GB)"/>
    <s v="MSI Sword 16 HX B13VFKG-652IN Laptop (Core i9 13th Gen/32 GB/1 TB SSD/Windows 11/8 GB) price in India"/>
    <x v="206"/>
    <n v="65"/>
    <n v="84"/>
    <x v="0"/>
    <d v="2024-09-01T00:00:00"/>
    <s v="Intel Core i3 (12th Gen) 4.2 Ghz, Hexa-Core"/>
    <s v="Windows 11"/>
    <x v="19"/>
    <s v="16&quot; (40.64 cm), 1920 x 1200 px, IPS LCD Display"/>
    <s v="Web Camera"/>
    <m/>
    <s v="HDMI Port"/>
    <m/>
    <n v="86"/>
    <x v="3"/>
    <x v="31"/>
    <x v="3"/>
  </r>
  <r>
    <s v="Lenovo IdeaPad Slim 5 14IMH9 (83DA0002IN) Laptop (Core Ultra 5/16 GB/512 GB SSD/Windows 11)"/>
    <s v="Lenovo IdeaPad Slim 5 14IMH9 (83DA0002IN) Laptop (Core Ultra 5/16 GB/512 GB SSD/Windows 11) price in India"/>
    <x v="107"/>
    <n v="347"/>
    <n v="84"/>
    <x v="0"/>
    <d v="2024-07-01T00:00:00"/>
    <s v="Intel Core i3 (12th Gen) 4.2 Ghz, Hexa-Core"/>
    <s v="Windows 11"/>
    <x v="8"/>
    <s v="14&quot; (35.56 cm), 1920 x 1200 px, IPS LCD Display"/>
    <s v="Web Camera"/>
    <s v="Slim 16.9 mm"/>
    <s v="HDMI Port"/>
    <m/>
    <n v="84"/>
    <x v="5"/>
    <x v="31"/>
    <x v="0"/>
  </r>
  <r>
    <s v="Lenovo Ideapad 320 (80XH01HAIN) Laptop (Core i3 6th Gen/4 GB/1 TB/DOS/2 GB)"/>
    <s v="Lenovo Ideapad 320 (80XH01HAIN) Laptop (Core i3 6th Gen/4 GB/1 TB/DOS/2 GB) price in India"/>
    <x v="354"/>
    <n v="464"/>
    <n v="84"/>
    <x v="0"/>
    <m/>
    <s v="Intel Core i3 (12th Gen) 4.2 Ghz, Hexa-Core"/>
    <s v="DOS"/>
    <x v="49"/>
    <s v="15.6&quot; (39.62 cm), 1366 x 768 px, LED Display"/>
    <s v="Web Camera"/>
    <m/>
    <s v="HDMI Port"/>
    <s v="2 USB Ports"/>
    <m/>
    <x v="5"/>
    <x v="31"/>
    <x v="7"/>
  </r>
  <r>
    <s v="Lenovo IdeaPad 5 14IRH9 (83KX0059IN) Laptop (Core i5 13th Gen/16 GB/512 GB SSD/Windows 11)"/>
    <s v="Lenovo IdeaPad 5 14IRH9 (83KX0059IN) Laptop (Core i5 13th Gen/16 GB/512 GB SSD/Windows 11) price in India"/>
    <x v="46"/>
    <n v="4"/>
    <n v="84"/>
    <x v="0"/>
    <d v="2025-01-01T00:00:00"/>
    <s v="Intel Core i3 (12th Gen) 4.2 Ghz, Hexa-Core"/>
    <s v="Windows 11"/>
    <x v="8"/>
    <s v="14&quot; (35.56 cm), 1920 x 1200 px, IPS LCD Display"/>
    <s v="Web Camera"/>
    <s v="Slim 17.5 mm"/>
    <s v="HDMI Port"/>
    <m/>
    <n v="82"/>
    <x v="5"/>
    <x v="31"/>
    <x v="0"/>
  </r>
  <r>
    <s v="Asus TUF Gaming A16 FA617NSR-RL083W Laptop (AMD Octa Core Ryzen 7/16 GB/512 GB SSD/Windows 11/8 GB)"/>
    <s v="Asus TUF Gaming A16 FA617NSR-RL083W Laptop (AMD Octa Core Ryzen 7/16 GB/512 GB SSD/Windows 11/8 GB) price in India"/>
    <x v="123"/>
    <n v="43"/>
    <n v="84"/>
    <x v="0"/>
    <d v="2024-08-01T00:00:00"/>
    <s v="Intel Core i3 (12th Gen) 4.4 Ghz, Hexa-Core"/>
    <s v="Windows 11"/>
    <x v="6"/>
    <s v="16&quot; (40.64 cm), 1920 x 1200 px, IPS LCD Display"/>
    <s v="Web Camera"/>
    <m/>
    <s v="HDMI Port"/>
    <m/>
    <m/>
    <x v="2"/>
    <x v="31"/>
    <x v="0"/>
  </r>
  <r>
    <s v="Lenovo IdeaPad 3 14IAU7 (82RJ00FFIN) Laptop (Core i3 12th Gen/16 GB/512 GB SSD/Windows 11)"/>
    <s v="Lenovo IdeaPad 3 14IAU7 (82RJ00FFIN) Laptop (Core i3 12th Gen/16 GB/512 GB SSD/Windows 11) price in India"/>
    <x v="428"/>
    <n v="235"/>
    <n v="84"/>
    <x v="0"/>
    <d v="2024-07-01T00:00:00"/>
    <s v="Intel Core i3 (12th Gen) 4.4 Ghz, Hexa-Core"/>
    <s v="Windows 11"/>
    <x v="2"/>
    <s v="14&quot; (35.56 cm), 1920 x 1080 px, TN LCD Display"/>
    <s v="Web Camera"/>
    <s v="Slim 19.9 mm"/>
    <s v="HDMI Port"/>
    <m/>
    <n v="78"/>
    <x v="5"/>
    <x v="31"/>
    <x v="0"/>
  </r>
  <r>
    <s v="Asus VivoBook S15 OLED S5506MA-MA751WS Laptop (Core Ultra 7/16 GB/1 TB SSD/Windows 11)"/>
    <s v="Asus VivoBook S15 OLED S5506MA-MA751WS Laptop (Core Ultra 7/16 GB/1 TB SSD/Windows 11) price in India"/>
    <x v="235"/>
    <n v="72"/>
    <n v="84"/>
    <x v="0"/>
    <d v="2024-07-01T00:00:00"/>
    <s v="Intel Core i3 (12th Gen) 4.4 Ghz, Hexa-Core"/>
    <s v="Windows 11"/>
    <x v="3"/>
    <s v="15.6&quot; (39.62 cm), 2880 x 1620 px, OLED Display"/>
    <s v="Web Camera"/>
    <s v="Slim 15.9 mm"/>
    <s v="HDMI Port"/>
    <m/>
    <n v="85"/>
    <x v="2"/>
    <x v="31"/>
    <x v="0"/>
  </r>
  <r>
    <s v="Asus VivoBook 15 X515JF-BQ521T Laptop (Core i5 10th Gen/8 GB/512 GB SSD/Windows 10)"/>
    <s v="Asus VivoBook 15 X515JF-BQ521T Laptop (Core i5 10th Gen/8 GB/512 GB SSD/Windows 10) price in India"/>
    <x v="245"/>
    <n v="90"/>
    <n v="84"/>
    <x v="0"/>
    <d v="2021-08-01T00:00:00"/>
    <s v="Intel Core i3 (12th Gen) 4.4 Ghz, Hexa-Core"/>
    <s v="Windows 10"/>
    <x v="5"/>
    <s v="15.6&quot; (39.62 cm), 1920 x 1080 px, LED Display"/>
    <s v="Web Camera"/>
    <s v="Slim 19.9 mm"/>
    <s v="HDMI Port"/>
    <m/>
    <m/>
    <x v="2"/>
    <x v="31"/>
    <x v="2"/>
  </r>
  <r>
    <s v="Lenovo Ideapad (81WA00GLIN) Laptop (Core i3 10th Gen/8 GB/256 GB SSD/Windows 10)"/>
    <s v="Lenovo Ideapad (81WA00GLIN) Laptop (Core i3 10th Gen/8 GB/256 GB SSD/Windows 10) price in India"/>
    <x v="152"/>
    <n v="536"/>
    <n v="84"/>
    <x v="0"/>
    <d v="2021-06-01T00:00:00"/>
    <s v="Intel Core i3 (12th Gen) 4.4 Ghz, Hexa-Core"/>
    <s v="Windows 10"/>
    <x v="38"/>
    <s v="14&quot; (35.56 cm), 1920 x 1080 px, LED Display"/>
    <s v="Web Camera"/>
    <s v="Slim 19.9 mm"/>
    <s v="HDMI Port"/>
    <s v="2 USB Ports"/>
    <m/>
    <x v="5"/>
    <x v="31"/>
    <x v="2"/>
  </r>
  <r>
    <s v="HP Victus 15-fb0158AX Laptop (AMD Hexa Core Ryzen 5/8 GB/512 GB SSD/Windows 11/4 GB)"/>
    <s v="HP Victus 15-fb0158AX Laptop (AMD Hexa Core Ryzen 5/8 GB/512 GB SSD/Windows 11/4 GB) price in India"/>
    <x v="429"/>
    <n v="39"/>
    <n v="84"/>
    <x v="0"/>
    <d v="2024-11-01T00:00:00"/>
    <s v="Intel Core i3 (12th Gen) 4.4 Ghz, Hexa-Core"/>
    <s v="Windows 11"/>
    <x v="5"/>
    <s v="15.6&quot; (39.62 cm), 1920 x 1080 px, IPS LCD Display"/>
    <s v="Web Camera"/>
    <m/>
    <s v="HDMI Port"/>
    <m/>
    <n v="81"/>
    <x v="7"/>
    <x v="31"/>
    <x v="2"/>
  </r>
  <r>
    <s v="Samsung Galaxy Book 4 Pro NP940XGK-LS1IN Laptop (Core Ultra 5/16 GB/512 GB SSD/Windows 11)"/>
    <s v="Samsung Galaxy Book 4 Pro NP940XGK-LS1IN Laptop (Core Ultra 5/16 GB/512 GB SSD/Windows 11) price in India"/>
    <x v="214"/>
    <n v="66"/>
    <n v="84"/>
    <x v="0"/>
    <d v="2024-07-01T00:00:00"/>
    <s v="Intel Core i3 (12th Gen) 4.4 Ghz, Hexa-Core"/>
    <s v="Windows 11"/>
    <x v="8"/>
    <s v="14&quot; (35.56 cm), 2880 x 1800 px, AMOLED Display"/>
    <s v="Web Camera"/>
    <s v="Slim 11.6 mm"/>
    <s v="HDMI Port"/>
    <m/>
    <n v="84"/>
    <x v="8"/>
    <x v="31"/>
    <x v="0"/>
  </r>
  <r>
    <s v="Asus TUF Gaming A14 FA401WV-RG037WS Laptop (AMD Dodeca Core Ryzen 9/32 GB/2 TB SSD/Windows 11/8 GB)"/>
    <s v="Asus TUF Gaming A14 FA401WV-RG037WS Laptop (AMD Dodeca Core Ryzen 9/32 GB/2 TB SSD/Windows 11/8 GB) price in India"/>
    <x v="430"/>
    <n v="5"/>
    <n v="84"/>
    <x v="0"/>
    <d v="2024-07-01T00:00:00"/>
    <s v="Intel Core i3 (12th Gen) 4.4 Ghz, Hexa-Core"/>
    <s v="Windows 11"/>
    <x v="12"/>
    <s v="14&quot; (35.56 cm), 2560 x 1600 px, IPS LCD Display"/>
    <s v="Web Camera"/>
    <s v="Slim 19.9 mm"/>
    <s v="HDMI Port"/>
    <m/>
    <m/>
    <x v="2"/>
    <x v="31"/>
    <x v="3"/>
  </r>
  <r>
    <s v="HP Victus 15-fb0135AX (87B81PA) Laptop (AMD Hexa Core Ryzen 5/8 GB/512 GB SSD/Windows 11/4 GB)"/>
    <s v="HP Victus 15-fb0135AX (87B81PA) Laptop (AMD Hexa Core Ryzen 5/8 GB/512 GB SSD/Windows 11/4 GB) price in India"/>
    <x v="431"/>
    <n v="409"/>
    <n v="84"/>
    <x v="0"/>
    <d v="2024-07-01T00:00:00"/>
    <s v="Intel Core i3 (12th Gen) 4.4 Ghz, Hexa-Core"/>
    <s v="Windows 11"/>
    <x v="5"/>
    <s v="15.6&quot; (39.62 cm), 1920 x 1080 px, IPS LCD Display"/>
    <s v="Web Camera"/>
    <s v="Slim 18 mm"/>
    <s v="HDMI Port"/>
    <m/>
    <n v="79"/>
    <x v="7"/>
    <x v="31"/>
    <x v="2"/>
  </r>
  <r>
    <s v="Acer Aspire Lite AL15-52 (UN.33XSI.008) Laptop (Core i5 12th Gen/16 GB/1 TB SSD/Windows 11)"/>
    <s v="Acer Aspire Lite AL15-52 (UN.33XSI.008) Laptop (Core i5 12th Gen/16 GB/1 TB SSD/Windows 11) price in India"/>
    <x v="315"/>
    <n v="60"/>
    <n v="84"/>
    <x v="0"/>
    <d v="2024-07-01T00:00:00"/>
    <s v="Intel Core i3 (12th Gen) 4.4 Ghz, Hexa-Core"/>
    <s v="Windows 11"/>
    <x v="23"/>
    <s v="15.6&quot; (39.62 cm), 1920 x 1080 px, IPS LCD Display"/>
    <s v="Web Camera"/>
    <s v="Slim 19.9 mm"/>
    <s v="HDMI Port"/>
    <m/>
    <n v="79"/>
    <x v="1"/>
    <x v="31"/>
    <x v="0"/>
  </r>
  <r>
    <s v="Asus VivoBook S15 OLED S5507QAD-MA751WS Laptop (Snapdragon X Elite/16 GB/1 TB SSD/Windows 11)"/>
    <s v="Asus VivoBook S15 OLED S5507QAD-MA751WS Laptop (Snapdragon X Elite/16 GB/1 TB SSD/Windows 11) price in India"/>
    <x v="3"/>
    <n v="24"/>
    <n v="84"/>
    <x v="0"/>
    <d v="2024-07-01T00:00:00"/>
    <s v="Intel Core i3 (12th Gen) 4.4 Ghz, Hexa-Core"/>
    <s v="Windows 11"/>
    <x v="3"/>
    <s v="15.6&quot; (39.62 cm), 2880 x 1620 px, OLED Display"/>
    <s v="Web Camera"/>
    <s v="Slim 15.9 mm"/>
    <s v="HDMI Port"/>
    <m/>
    <n v="84"/>
    <x v="2"/>
    <x v="31"/>
    <x v="0"/>
  </r>
  <r>
    <s v="HP Pavilion x360 14-ba075tx (2FK62PA) Laptop (Core i3 7th Gen/4 GB/1 TB/Windows 10/2 GB)"/>
    <s v="HP Pavilion x360 14-ba075tx (2FK62PA) Laptop (Core i3 7th Gen/4 GB/1 TB/Windows 10/2 GB) price in India"/>
    <x v="377"/>
    <n v="237"/>
    <n v="84"/>
    <x v="0"/>
    <m/>
    <s v="Intel Core i3 (12th Gen) 4.4 Ghz, Hexa-Core"/>
    <s v="Windows 10"/>
    <x v="49"/>
    <s v="14&quot; (35.56 cm), 1920 x 1080 px, LED Display"/>
    <s v="Web Camera"/>
    <s v="Slim 19.9 mm"/>
    <s v="HDMI Port"/>
    <m/>
    <m/>
    <x v="7"/>
    <x v="31"/>
    <x v="7"/>
  </r>
  <r>
    <s v="Dell Vostro 15 3568 (A553505UIN9) Laptop (Core i5 7th Gen/8 GB/1 TB/Linux)"/>
    <s v="Dell Vostro 15 3568 (A553505UIN9) Laptop (Core i5 7th Gen/8 GB/1 TB/Linux) price in India"/>
    <x v="432"/>
    <n v="88"/>
    <n v="84"/>
    <x v="0"/>
    <m/>
    <s v="Intel Core i3 (12th Gen) 4.4 Ghz, Hexa-Core"/>
    <s v="Linux"/>
    <x v="37"/>
    <s v="15.6&quot; (39.62 cm), 1920 x 1080 px, LED Display"/>
    <s v="Web Camera"/>
    <m/>
    <s v="HDMI Port"/>
    <s v="3 USB Ports"/>
    <m/>
    <x v="6"/>
    <x v="31"/>
    <x v="2"/>
  </r>
  <r>
    <s v="Lenovo LOQ 15IAX9 (83GS00CKIN) Laptop (Core i5 12th Gen/24 GB/512 GB SSD/Windows 11/4 GB)"/>
    <s v="Lenovo LOQ 15IAX9 (83GS00CKIN) Laptop (Core i5 12th Gen/24 GB/512 GB SSD/Windows 11/4 GB) price in India"/>
    <x v="433"/>
    <n v="63"/>
    <n v="84"/>
    <x v="0"/>
    <d v="2024-07-01T00:00:00"/>
    <s v="Intel Core i3 (12th Gen) 4.4 Ghz, Hexa-Core"/>
    <s v="Windows 11"/>
    <x v="44"/>
    <s v="15.6&quot; (39.62 cm), 1920 x 1080 px, IPS LCD Display"/>
    <s v="Web Camera"/>
    <m/>
    <s v="HDMI Port"/>
    <m/>
    <n v="83"/>
    <x v="5"/>
    <x v="31"/>
    <x v="1"/>
  </r>
  <r>
    <s v="HP Victus Special Edition (A9NC6PA) Laptop (Core i5 12th Gen/16 GB/1 TB SSD/Windows 11/4 GB RTX)"/>
    <s v="HP Victus Special Edition (A9NC6PA) Laptop (Core i5 12th Gen/16 GB/1 TB SSD/Windows 11/4 GB RTX) price in India"/>
    <x v="108"/>
    <n v="76"/>
    <n v="84"/>
    <x v="0"/>
    <d v="2024-06-01T00:00:00"/>
    <s v="Intel Core i3 (12th Gen) 4.4 Ghz, Hexa-Core"/>
    <s v="Windows 11"/>
    <x v="23"/>
    <s v="15.6&quot; (39.62 cm), 1920 x 1080 px, IPS LCD Display"/>
    <s v="Web Camera"/>
    <m/>
    <s v="HDMI Port"/>
    <m/>
    <n v="86"/>
    <x v="7"/>
    <x v="31"/>
    <x v="0"/>
  </r>
  <r>
    <s v="Lenovo IdeaPad 3 14IAU7 (82RJ00FGIN) Laptop (Core i3 12th Gen/8 GB/512 GB SSD/Windows 11)"/>
    <s v="Lenovo IdeaPad 3 14IAU7 (82RJ00FGIN) Laptop (Core i3 12th Gen/8 GB/512 GB SSD/Windows 11) price in India"/>
    <x v="434"/>
    <n v="1559"/>
    <n v="84"/>
    <x v="0"/>
    <d v="2024-06-01T00:00:00"/>
    <s v="Intel Core i3 (12th Gen) 4.4 Ghz, Hexa-Core"/>
    <s v="Windows 11"/>
    <x v="5"/>
    <s v="14&quot; (35.56 cm), 1920 x 1080 px, TN LCD Display"/>
    <s v="Web Camera"/>
    <s v="Slim 19.9 mm"/>
    <s v="HDMI Port"/>
    <m/>
    <n v="77"/>
    <x v="5"/>
    <x v="31"/>
    <x v="2"/>
  </r>
  <r>
    <s v="Asus VivoBook 16 X1605ZAC-MB741WS Laptop (Core i7 12th Gen/16 GB/512 GB SSD/Windows 11)"/>
    <s v="Asus VivoBook 16 X1605ZAC-MB741WS Laptop (Core i7 12th Gen/16 GB/512 GB SSD/Windows 11) price in India"/>
    <x v="435"/>
    <n v="54"/>
    <n v="84"/>
    <x v="0"/>
    <d v="2024-06-01T00:00:00"/>
    <s v="Intel Core i3 (12th Gen) 4.4 Ghz, Hexa-Core"/>
    <s v="Windows 11"/>
    <x v="2"/>
    <s v="16&quot; (40.64 cm), 1920 x 1200 px, IPS LCD Display"/>
    <s v="Web Camera"/>
    <s v="Slim 19.9 mm"/>
    <s v="HDMI Port"/>
    <m/>
    <n v="82"/>
    <x v="2"/>
    <x v="31"/>
    <x v="0"/>
  </r>
  <r>
    <s v="Dell Inspiron 15 3530 (OIN353034071RINS1M) Laptop (Core i5 13th Gen/16 GB/512 GB SSD/Windows 11)"/>
    <s v="Dell Inspiron 15 3530 (OIN353034071RINS1M) Laptop (Core i5 13th Gen/16 GB/512 GB SSD/Windows 11) price in India"/>
    <x v="436"/>
    <n v="645"/>
    <n v="84"/>
    <x v="0"/>
    <d v="2024-06-01T00:00:00"/>
    <s v="Intel Core i3 (12th Gen) 4.4 Ghz, Hexa-Core"/>
    <s v="Windows 11"/>
    <x v="2"/>
    <s v="15.6&quot; (39.62 cm), 1920 x 1080 px, IPS LCD Display"/>
    <s v="Web Camera"/>
    <s v="Slim 18.9 mm"/>
    <s v="HDMI Port"/>
    <m/>
    <n v="80"/>
    <x v="6"/>
    <x v="31"/>
    <x v="0"/>
  </r>
  <r>
    <s v="Dell Inspiron 15 3530 (OIN353034011RINS1M) Laptop (Core i5 13th Gen/8 GB/512 GB SSD/Windows 11)"/>
    <s v="Dell Inspiron 15 3530 (OIN353034011RINS1M) Laptop (Core i5 13th Gen/8 GB/512 GB SSD/Windows 11) price in India"/>
    <x v="437"/>
    <n v="645"/>
    <n v="84"/>
    <x v="0"/>
    <d v="2024-06-01T00:00:00"/>
    <s v="Intel Core i3 (12th Gen) 4.4 Ghz, Hexa-Core"/>
    <s v="Windows 11"/>
    <x v="5"/>
    <s v="15.6&quot; (39.62 cm), 1920 x 1080 px, IPS LCD Display"/>
    <s v="Web Camera"/>
    <s v="Slim 18.9 mm"/>
    <s v="HDMI Port"/>
    <m/>
    <n v="79"/>
    <x v="6"/>
    <x v="31"/>
    <x v="2"/>
  </r>
  <r>
    <s v="Dell Inspiron 15 3530 (IN3530NM1NN001ORB1) Laptop (Core i5 13th Gen/8 GB/512 GB SSD/Windows 11)"/>
    <s v="Dell Inspiron 15 3530 (IN3530NM1NN001ORB1) Laptop (Core i5 13th Gen/8 GB/512 GB SSD/Windows 11) price in India"/>
    <x v="47"/>
    <n v="289"/>
    <n v="84"/>
    <x v="0"/>
    <d v="2024-06-01T00:00:00"/>
    <s v="Intel Core i3 (12th Gen) 4.4 Ghz, Hexa-Core"/>
    <s v="Windows 11"/>
    <x v="5"/>
    <s v="15.6&quot; (39.62 cm), 1920 x 1080 px, IPS LCD Display"/>
    <s v="Web Camera"/>
    <s v="Slim 18.9 mm"/>
    <s v="HDMI Port"/>
    <m/>
    <n v="79"/>
    <x v="6"/>
    <x v="31"/>
    <x v="2"/>
  </r>
  <r>
    <s v="Lenovo IdeaPad Slim 15AMN7 Gen 7 (82VG00EWIN) Laptop (AMD Quad Core Ryzen 5/8 GB/512 GB SSD/Windows 11)"/>
    <s v="Lenovo IdeaPad Slim 15AMN7 Gen 7 (82VG00EWIN) Laptop (AMD Quad Core Ryzen 5/8 GB/512 GB SSD/Windows 11) price in India"/>
    <x v="133"/>
    <n v="73"/>
    <n v="84"/>
    <x v="0"/>
    <d v="2024-05-01T00:00:00"/>
    <s v="Intel Core i3 (12th Gen) 4.4 Ghz, Hexa-Core"/>
    <s v="Windows 11"/>
    <x v="20"/>
    <s v="15.6&quot; (39.62 cm), 1920 x 1080 px, TN LCD Display"/>
    <s v="Web Camera"/>
    <s v="Slim 17.9 mm"/>
    <s v="HDMI Port"/>
    <m/>
    <n v="76"/>
    <x v="5"/>
    <x v="31"/>
    <x v="2"/>
  </r>
  <r>
    <s v="Dell Vostro 15 3530 (VN3530F19VF001ORB1) Laptop (Core i3 13th Gen/8 GB/512 GB SSD/Windows 11)"/>
    <s v="Dell Vostro 15 3530 (VN3530F19VF001ORB1) Laptop (Core i3 13th Gen/8 GB/512 GB SSD/Windows 11) price in India"/>
    <x v="47"/>
    <n v="25"/>
    <n v="84"/>
    <x v="0"/>
    <d v="2024-05-01T00:00:00"/>
    <s v="Intel Core i3 (12th Gen) 4.4 Ghz, Hexa-Core"/>
    <s v="Windows 11"/>
    <x v="5"/>
    <s v="15.6&quot; (39.62 cm), 1920 x 1080 px, IPS LCD Display"/>
    <s v="Web Camera"/>
    <s v="Slim 18.9 mm"/>
    <s v="HDMI Port"/>
    <m/>
    <n v="73"/>
    <x v="6"/>
    <x v="31"/>
    <x v="2"/>
  </r>
  <r>
    <s v="HP 15-fd0186TU (91Q92PA) Laptop (Core i3 13th Gen/8 GB/512 GB SSD/Windows 11)"/>
    <s v="HP 15-fd0186TU (91Q92PA) Laptop (Core i3 13th Gen/8 GB/512 GB SSD/Windows 11) price in India"/>
    <x v="438"/>
    <n v="210"/>
    <n v="84"/>
    <x v="0"/>
    <d v="2024-04-01T00:00:00"/>
    <s v="Intel Core i3 (12th Gen) 4.4 Ghz, Hexa-Core"/>
    <s v="Windows 11"/>
    <x v="5"/>
    <s v="15.6&quot; (39.62 cm), 1920 x 1080 px, IPS LCD Display"/>
    <s v="Web Camera"/>
    <s v="Slim 18.6 mm"/>
    <s v="HDMI Port"/>
    <m/>
    <n v="76"/>
    <x v="7"/>
    <x v="31"/>
    <x v="2"/>
  </r>
  <r>
    <s v="HP Victus 15-fa1227TX (A1QV2PA) Laptop (Core i5 12th Gen/16 GB/512 GB SSD/Windows 11/4 GB)"/>
    <s v="HP Victus 15-fa1227TX (A1QV2PA) Laptop (Core i5 12th Gen/16 GB/512 GB SSD/Windows 11/4 GB) price in India"/>
    <x v="236"/>
    <n v="998"/>
    <n v="84"/>
    <x v="0"/>
    <d v="2024-04-01T00:00:00"/>
    <s v="Intel Core i3 (12th Gen) 4.4 Ghz, Hexa-Core"/>
    <s v="Windows 11"/>
    <x v="2"/>
    <s v="15.6&quot; (39.62 cm), 1920 x 1080 px, IPS LCD Display"/>
    <s v="Web Camera"/>
    <m/>
    <s v="HDMI Port"/>
    <m/>
    <n v="84"/>
    <x v="7"/>
    <x v="31"/>
    <x v="0"/>
  </r>
  <r>
    <s v="MSI Modern 15 B12MO-818IN Laptop (Core i5 12th Gen/8 GB/512 GB SSD/Windows 11)"/>
    <s v="MSI Modern 15 B12MO-818IN Laptop (Core i5 12th Gen/8 GB/512 GB SSD/Windows 11) price in India"/>
    <x v="6"/>
    <n v="771"/>
    <n v="84"/>
    <x v="0"/>
    <d v="2024-04-01T00:00:00"/>
    <s v="Intel Core i3 (12th Gen) 4.4 Ghz, Hexa-Core"/>
    <s v="Windows 11"/>
    <x v="5"/>
    <s v="15.6&quot; (39.62 cm), 1920 x 1080 px, IPS LCD Display"/>
    <s v="Web Camera"/>
    <s v="Slim 19.9 mm"/>
    <s v="HDMI Port"/>
    <m/>
    <n v="78"/>
    <x v="3"/>
    <x v="31"/>
    <x v="2"/>
  </r>
  <r>
    <s v="Lenovo ThinkBook 16 Gen 6 (21KKA07RIN) Laptop (AMD Hexa Core Ryzen 5/16 GB/512 GB SSD/Windows 11)"/>
    <s v="Lenovo ThinkBook 16 Gen 6 (21KKA07RIN) Laptop (AMD Hexa Core Ryzen 5/16 GB/512 GB SSD/Windows 11) price in India"/>
    <x v="439"/>
    <n v="59"/>
    <n v="84"/>
    <x v="0"/>
    <d v="2024-03-01T00:00:00"/>
    <s v="Intel Core i3 (12th Gen) 4.4 Ghz, Hexa-Core"/>
    <s v="Windows 11"/>
    <x v="2"/>
    <s v="16&quot; (40.64 cm), 1920 x 1200 px, IPS LCD Display"/>
    <s v="Web Camera"/>
    <s v="Slim 17.5 mm"/>
    <s v="HDMI Port"/>
    <m/>
    <n v="76"/>
    <x v="5"/>
    <x v="31"/>
    <x v="0"/>
  </r>
  <r>
    <s v="HP Victus 15-fa1128TX (8U1H6PA) Laptop (Core i5 13th Gen/16 GB/512 GB SSD/Windows 11/4 GB)"/>
    <s v="HP Victus 15-fa1128TX (8U1H6PA) Laptop (Core i5 13th Gen/16 GB/512 GB SSD/Windows 11/4 GB) price in India"/>
    <x v="358"/>
    <n v="25"/>
    <n v="84"/>
    <x v="0"/>
    <d v="2024-02-01T00:00:00"/>
    <s v="Intel Core i3 (12th Gen) 4.4 Ghz, Hexa-Core"/>
    <s v="Windows 11"/>
    <x v="2"/>
    <s v="15.6&quot; (39.62 cm), 1920 x 1080 px, IPS LCD Display"/>
    <s v="Web Camera"/>
    <m/>
    <s v="HDMI Port"/>
    <m/>
    <n v="85"/>
    <x v="7"/>
    <x v="31"/>
    <x v="0"/>
  </r>
  <r>
    <s v="HP 15s-fy5004TU (8K8J2PA) Laptop (Core i3 12th Gen/16 GB/512 GB SSD/Windows 11)"/>
    <s v="HP 15s-fy5004TU (8K8J2PA) Laptop (Core i3 12th Gen/16 GB/512 GB SSD/Windows 11) price in India"/>
    <x v="440"/>
    <n v="5155"/>
    <n v="84"/>
    <x v="0"/>
    <d v="2024-02-01T00:00:00"/>
    <s v="Intel Core i3 (12th Gen) 4.4 Ghz, Hexa-Core"/>
    <s v="Windows 11"/>
    <x v="2"/>
    <s v="15.6&quot; (39.62 cm), 1920 x 1080 px, IPS LCD Display"/>
    <s v="Web Camera"/>
    <s v="Slim 17.9 mm"/>
    <s v="HDMI Port"/>
    <m/>
    <n v="78"/>
    <x v="7"/>
    <x v="31"/>
    <x v="0"/>
  </r>
  <r>
    <s v="HP 15s-fy5002TU (6P132PA) Laptop (Core i5 12th Gen/8 GB/512 GB SSD/Windows 11)"/>
    <s v="HP 15s-fy5002TU (6P132PA) Laptop (Core i5 12th Gen/8 GB/512 GB SSD/Windows 11) price in India"/>
    <x v="441"/>
    <n v="1535"/>
    <n v="84"/>
    <x v="0"/>
    <d v="2024-02-01T00:00:00"/>
    <s v="Intel Core i3 (12th Gen) 4.4 Ghz, Hexa-Core"/>
    <s v="Windows 11"/>
    <x v="5"/>
    <s v="15.6&quot; (39.62 cm), 1920 x 1080 px, IPS LCD Display"/>
    <s v="Web Camera"/>
    <s v="Slim 17.9 mm"/>
    <s v="HDMI Port"/>
    <m/>
    <n v="78"/>
    <x v="7"/>
    <x v="31"/>
    <x v="2"/>
  </r>
  <r>
    <s v="HP 14s-dq5138tu (9D3M7PA) Laptop (Core i3 12th Gen/8 GB/512 GB SSD/Windows 11)"/>
    <s v="HP 14s-dq5138tu (9D3M7PA) Laptop (Core i3 12th Gen/8 GB/512 GB SSD/Windows 11) price in India"/>
    <x v="442"/>
    <n v="5116"/>
    <n v="84"/>
    <x v="0"/>
    <d v="2024-02-01T00:00:00"/>
    <s v="Intel Core i3 (12th Gen) 4.4 Ghz, Hexa-Core"/>
    <s v="Windows 11"/>
    <x v="5"/>
    <s v="14&quot; (35.56 cm), 1920 x 1080 px, IPS LCD Display"/>
    <s v="Web Camera"/>
    <s v="Slim 17.9 mm"/>
    <s v="HDMI Port"/>
    <m/>
    <n v="77"/>
    <x v="7"/>
    <x v="31"/>
    <x v="2"/>
  </r>
  <r>
    <s v="HP Pavilion 15-eh1047AU (9E5B9PA) Laptop (AMD Hexa Core Ryzen 5/16 GB/1 TB SSD/Windows 11)"/>
    <s v="HP Pavilion 15-eh1047AU (9E5B9PA) Laptop (AMD Hexa Core Ryzen 5/16 GB/1 TB SSD/Windows 11) price in India"/>
    <x v="443"/>
    <n v="16"/>
    <n v="84"/>
    <x v="0"/>
    <d v="2024-01-01T00:00:00"/>
    <s v="Intel Core i3 (12th Gen) 4.4 Ghz, Hexa-Core"/>
    <s v="Windows 11"/>
    <x v="23"/>
    <s v="15.6&quot; (39.62 cm), 1920 x 1080 px, IPS LCD Display"/>
    <s v="Web Camera"/>
    <s v="Slim 17.9 mm"/>
    <s v="HDMI Port"/>
    <m/>
    <n v="75"/>
    <x v="7"/>
    <x v="31"/>
    <x v="0"/>
  </r>
  <r>
    <s v="Infinix INBook Y4 Max YL613 Laptop (Core i3 13th Gen/16 GB/512 GB SSD/Windows 11)"/>
    <s v="Infinix INBook Y4 Max YL613 Laptop (Core i3 13th Gen/16 GB/512 GB SSD/Windows 11) price in India"/>
    <x v="147"/>
    <n v="419"/>
    <n v="84"/>
    <x v="0"/>
    <d v="2024-01-01T00:00:00"/>
    <s v="Intel Core i3 (12th Gen) 4.4 Ghz, Hexa-Core"/>
    <s v="Windows 11"/>
    <x v="30"/>
    <s v="16&quot; (40.64 cm), 1920 x 1200 px, IPS LCD Display"/>
    <s v="Web Camera"/>
    <s v="Slim 17.9 mm"/>
    <s v="HDMI Port"/>
    <s v="2 USB Ports"/>
    <n v="79"/>
    <x v="10"/>
    <x v="31"/>
    <x v="0"/>
  </r>
  <r>
    <s v="Lenovo Ideapad Slim 3 15ITL6 (82H803HQIN) Laptop (Core i5 11th Gen/8 GB/512 GB SSD/Windows 11)"/>
    <s v="Lenovo Ideapad Slim 3 15ITL6 (82H803HQIN) Laptop (Core i5 11th Gen/8 GB/512 GB SSD/Windows 11) price in India"/>
    <x v="441"/>
    <n v="5806"/>
    <n v="84"/>
    <x v="0"/>
    <d v="2023-11-01T00:00:00"/>
    <s v="Intel Core i3 (12th Gen) 4.4 Ghz, Hexa-Core"/>
    <s v="Windows 11"/>
    <x v="5"/>
    <s v="15.6&quot; (39.62 cm), 1920 x 1080 px, IPS LCD Display"/>
    <s v="Web Camera"/>
    <s v="Slim 19.9 mm"/>
    <s v="HDMI Port"/>
    <m/>
    <n v="73"/>
    <x v="5"/>
    <x v="31"/>
    <x v="2"/>
  </r>
  <r>
    <s v="Lenovo Ideapad Slim 1 15ALC7 (82R400ERIN) Laptop (AMD Hexa Core Ryzen 5/16 GB/512 GB SSD/Windows 11)"/>
    <s v="Lenovo Ideapad Slim 1 15ALC7 (82R400ERIN) Laptop (AMD Hexa Core Ryzen 5/16 GB/512 GB SSD/Windows 11) price in India"/>
    <x v="444"/>
    <n v="5691"/>
    <n v="84"/>
    <x v="0"/>
    <d v="2023-11-01T00:00:00"/>
    <s v="Intel Core i3 (12th Gen) 4.4 Ghz, Hexa-Core"/>
    <s v="Windows 11"/>
    <x v="2"/>
    <s v="15.6&quot; (39.62 cm), 1920 x 1080 px, IPS LCD Display"/>
    <s v="Web Camera"/>
    <s v="Slim 19.9 mm"/>
    <s v="HDMI Port"/>
    <m/>
    <n v="73"/>
    <x v="5"/>
    <x v="31"/>
    <x v="0"/>
  </r>
  <r>
    <s v="Lenovo Ideapad Slim 3 15ITL6 (82H803LKIN) Laptop (Core i5 11th Gen/16 GB/512 GB SSD/Windows 11)"/>
    <s v="Lenovo Ideapad Slim 3 15ITL6 (82H803LKIN) Laptop (Core i5 11th Gen/16 GB/512 GB SSD/Windows 11) price in India"/>
    <x v="406"/>
    <n v="5833"/>
    <n v="84"/>
    <x v="0"/>
    <d v="2023-11-01T00:00:00"/>
    <s v="Intel Core i3 (12th Gen) 4.7 Ghz, Deca-Core"/>
    <s v="Windows 11"/>
    <x v="2"/>
    <s v="15.6&quot; (39.62 cm), 1920 x 1080 px, TN LCD Display"/>
    <s v="Web Camera"/>
    <s v="Slim 19.9 mm"/>
    <s v="HDMI Port"/>
    <m/>
    <n v="73"/>
    <x v="5"/>
    <x v="31"/>
    <x v="0"/>
  </r>
  <r>
    <s v="Lenovo Ideapad Gaming 3 15IAH7 (82S9017TIN) Laptop (Core i5 12th Gen/16 GB/512 GB SSD/Windows 11/4 GB)"/>
    <s v="Lenovo Ideapad Gaming 3 15IAH7 (82S9017TIN) Laptop (Core i5 12th Gen/16 GB/512 GB SSD/Windows 11/4 GB) price in India"/>
    <x v="445"/>
    <n v="150"/>
    <n v="84"/>
    <x v="0"/>
    <d v="2023-11-01T00:00:00"/>
    <s v="Intel Core i3 (13th Gen) 4.5 Ghz"/>
    <s v="Windows 11"/>
    <x v="2"/>
    <s v="15.6&quot; (39.62 cm), 1920 x 1080 px, IPS LCD Display"/>
    <s v="Web Camera"/>
    <m/>
    <s v="HDMI Port"/>
    <m/>
    <n v="83"/>
    <x v="5"/>
    <x v="32"/>
    <x v="0"/>
  </r>
  <r>
    <s v="Lenovo Ideapad Slim 5i 14IRL8 (82XD006GIN) Laptop (Core i5 13th Gen/16 GB/1 TB SSD/Windows 11)"/>
    <s v="Lenovo Ideapad Slim 5i 14IRL8 (82XD006GIN) Laptop (Core i5 13th Gen/16 GB/1 TB SSD/Windows 11) price in India"/>
    <x v="27"/>
    <n v="11"/>
    <n v="84"/>
    <x v="0"/>
    <d v="2023-11-01T00:00:00"/>
    <s v="Intel Core i3 (13th Gen) 4.5 Ghz"/>
    <s v="Windows 11"/>
    <x v="21"/>
    <s v="14&quot; (35.56 cm), 1920 x 1200 px, OLED Display"/>
    <s v="Web Camera"/>
    <s v="Slim 16.9 mm"/>
    <s v="HDMI Port"/>
    <m/>
    <n v="82"/>
    <x v="5"/>
    <x v="32"/>
    <x v="0"/>
  </r>
  <r>
    <s v="Lenovo Ideapad 1 15AMN7 (82VG00EQIN) Laptop (AMD Dual Core Athlon/8 GB/512 GB SSD/Windows 11)"/>
    <s v="Lenovo Ideapad 1 15AMN7 (82VG00EQIN) Laptop (AMD Dual Core Athlon/8 GB/512 GB SSD/Windows 11) price in India"/>
    <x v="404"/>
    <n v="1588"/>
    <n v="84"/>
    <x v="0"/>
    <d v="2023-11-01T00:00:00"/>
    <s v="Intel Core i3 (13th Gen) 4.5 Ghz"/>
    <s v="Windows 11"/>
    <x v="20"/>
    <s v="15.6&quot; (39.62 cm), 1920 x 1080 px, IPS LCD Display"/>
    <s v="Web Camera"/>
    <s v="Slim 17.9 mm"/>
    <s v="HDMI Port"/>
    <m/>
    <m/>
    <x v="5"/>
    <x v="32"/>
    <x v="2"/>
  </r>
  <r>
    <s v="HP Victus 15-fa1145TX (918A8PA) Laptop (Core i5 12th Gen/16 GB/1 TB SSD/Windows 11/4 GB)"/>
    <s v="HP Victus 15-fa1145TX (918A8PA) Laptop (Core i5 12th Gen/16 GB/1 TB SSD/Windows 11/4 GB) price in India"/>
    <x v="255"/>
    <n v="175"/>
    <n v="84"/>
    <x v="0"/>
    <d v="2023-10-01T00:00:00"/>
    <s v="Intel Core i3 (13th Gen) 4.5 Ghz"/>
    <s v="Windows 11"/>
    <x v="23"/>
    <s v="15.6&quot; (39.62 cm), 1920 x 1080 px, IPS LCD Display"/>
    <s v="Web Camera"/>
    <m/>
    <s v="HDMI Port"/>
    <m/>
    <n v="81"/>
    <x v="7"/>
    <x v="32"/>
    <x v="0"/>
  </r>
  <r>
    <s v="Lenovo Yoga Slim 6i 14IAP8 (82WU0095IN) Laptop (Core i5 12th Gen/16 GB/512 GB SSD/Windows 11)"/>
    <s v="Lenovo Yoga Slim 6i 14IAP8 (82WU0095IN) Laptop (Core i5 12th Gen/16 GB/512 GB SSD/Windows 11) price in India"/>
    <x v="27"/>
    <n v="1151"/>
    <n v="84"/>
    <x v="0"/>
    <d v="2023-10-01T00:00:00"/>
    <s v="Intel Core i3 (13th Gen) 4.5 Ghz"/>
    <s v="Windows 11"/>
    <x v="17"/>
    <s v="14&quot; (35.56 cm), 2240 x 1400 px, IPS LCD Display"/>
    <s v="Web Camera"/>
    <s v="Slim 14.9 mm"/>
    <s v="HDMI Port"/>
    <m/>
    <n v="82"/>
    <x v="5"/>
    <x v="32"/>
    <x v="0"/>
  </r>
  <r>
    <s v="Lenovo Ideapad Gaming 3 (82K2028QIN) Laptop (AMD Quad Core Ryzen 5/8 GB/512 GB SSD/Windows 11/4 GB)"/>
    <s v="Lenovo Ideapad Gaming 3 (82K2028QIN) Laptop (AMD Quad Core Ryzen 5/8 GB/512 GB SSD/Windows 11/4 GB) price in India"/>
    <x v="325"/>
    <n v="199"/>
    <n v="84"/>
    <x v="0"/>
    <d v="2023-10-01T00:00:00"/>
    <s v="Intel Core i3 (13th Gen) 4.5 Ghz"/>
    <s v="Windows 11"/>
    <x v="5"/>
    <s v="15.6&quot; (39.62 cm), 1920 x 1080 px, IPS LCD Display"/>
    <s v="Web Camera"/>
    <m/>
    <s v="HDMI Port"/>
    <m/>
    <m/>
    <x v="5"/>
    <x v="32"/>
    <x v="2"/>
  </r>
  <r>
    <s v="Infinix INBook Y1 Plus XL28 Laptop (Core i5 10th Gen/8 GB/512 GB SSD/Windows 11)"/>
    <s v="Infinix INBook Y1 Plus XL28 Laptop (Core i5 10th Gen/8 GB/512 GB SSD/Windows 11) price in India"/>
    <x v="256"/>
    <n v="448"/>
    <n v="84"/>
    <x v="0"/>
    <d v="2023-10-01T00:00:00"/>
    <s v="Intel Core i3 (13th Gen) 4.5 Ghz"/>
    <s v="Windows 11"/>
    <x v="48"/>
    <s v="15.6&quot; (39.62 cm), 1920 x 1080 px, IPS LCD Display"/>
    <s v="Web Camera"/>
    <s v="Slim 18.2 mm"/>
    <s v="HDMI Port"/>
    <s v="2 USB Ports"/>
    <m/>
    <x v="10"/>
    <x v="32"/>
    <x v="2"/>
  </r>
  <r>
    <s v="HP 15s-eq1580AU (834S2PA) Laptop (AMD Dual Core Ryzen 3/8 GB/512 GB SSD/Windows 11)"/>
    <s v="HP 15s-eq1580AU (834S2PA) Laptop (AMD Dual Core Ryzen 3/8 GB/512 GB SSD/Windows 11) price in India"/>
    <x v="147"/>
    <n v="4549"/>
    <n v="84"/>
    <x v="0"/>
    <d v="2023-10-01T00:00:00"/>
    <s v="Intel Core i3 (13th Gen) 4.5 Ghz"/>
    <s v="Windows 11"/>
    <x v="5"/>
    <s v="15.6&quot; (39.62 cm), 1920 x 1080 px, IPS LCD Display"/>
    <s v="Web Camera"/>
    <s v="Slim 17.9 mm"/>
    <s v="HDMI Port"/>
    <m/>
    <n v="71"/>
    <x v="7"/>
    <x v="32"/>
    <x v="2"/>
  </r>
  <r>
    <s v="MSI Bravo 15 B7ED-012IN Laptop (AMD Hexa Core Ryzen 5/8 GB/512 GB SSD/Windows 11/4 GB)"/>
    <s v="MSI Bravo 15 B7ED-012IN Laptop (AMD Hexa Core Ryzen 5/8 GB/512 GB SSD/Windows 11/4 GB) price in India"/>
    <x v="46"/>
    <n v="134"/>
    <n v="84"/>
    <x v="0"/>
    <d v="2023-10-01T00:00:00"/>
    <s v="Intel Core i3 (13th Gen) 4.5 Ghz"/>
    <s v="Windows 11"/>
    <x v="16"/>
    <s v="15.6&quot; (39.62 cm), 1920 x 1080 px, IPS LCD Display"/>
    <s v="Web Camera"/>
    <m/>
    <m/>
    <m/>
    <n v="79"/>
    <x v="3"/>
    <x v="32"/>
    <x v="2"/>
  </r>
  <r>
    <s v="Lenovo Ideapad Slim 3 Chrome 14IAN8 (83BN001PHA) Laptop (Intel Pentium Quad Core/4 GB/128 GB eMMC/Google Chrome)"/>
    <s v="Lenovo Ideapad Slim 3 Chrome 14IAN8 (83BN001PHA) Laptop (Intel Pentium Quad Core/4 GB/128 GB eMMC/Google Chrome) price in India"/>
    <x v="446"/>
    <n v="4"/>
    <n v="84"/>
    <x v="0"/>
    <d v="2023-10-01T00:00:00"/>
    <s v="Intel Core i3 (13th Gen) 4.5 Ghz"/>
    <s v="Google Chrome"/>
    <x v="64"/>
    <s v="14&quot; (35.56 cm), 1366 x 768 px, TN LCD Display"/>
    <s v="Web Camera"/>
    <s v="Slim 19.3 mm"/>
    <s v="HDMI Port"/>
    <m/>
    <m/>
    <x v="5"/>
    <x v="32"/>
    <x v="7"/>
  </r>
  <r>
    <s v="Asus VivoBook Go 15 E1504FA-NJ321WS Laptop (AMD Quad Core Ryzen 3/8 GB/512 GB SSD/Windows 11)"/>
    <s v="Asus VivoBook Go 15 E1504FA-NJ321WS Laptop (AMD Quad Core Ryzen 3/8 GB/512 GB SSD/Windows 11) price in India"/>
    <x v="354"/>
    <n v="3752"/>
    <n v="84"/>
    <x v="0"/>
    <d v="2023-09-01T00:00:00"/>
    <s v="Intel Core i3 (13th Gen) 4.5 Ghz, Hexa-Core"/>
    <s v="Windows 11"/>
    <x v="20"/>
    <s v="15.6&quot; (39.62 cm), 1920 x 1080 px, IPS LCD Display"/>
    <s v="Web Camera"/>
    <s v="Slim 17.9 mm"/>
    <s v="HDMI Port"/>
    <m/>
    <n v="74"/>
    <x v="2"/>
    <x v="32"/>
    <x v="2"/>
  </r>
  <r>
    <s v="Asus VivoBook 14 X1404VA-NK322WS Laptop (Core i3 13th Gen/8 GB/512 GB SSD/Windows 11)"/>
    <s v="Asus VivoBook 14 X1404VA-NK322WS Laptop (Core i3 13th Gen/8 GB/512 GB SSD/Windows 11) price in India"/>
    <x v="447"/>
    <n v="146"/>
    <n v="84"/>
    <x v="0"/>
    <d v="2023-09-01T00:00:00"/>
    <s v="Intel Core i3 (13th Gen) 4.5 Ghz, Hexa-Core"/>
    <s v="Windows 11"/>
    <x v="5"/>
    <s v="14&quot; (35.56 cm), 1920 x 1080 px, IPS LCD Display"/>
    <s v="Web Camera"/>
    <s v="Slim 17.9 mm"/>
    <s v="HDMI Port"/>
    <m/>
    <n v="76"/>
    <x v="2"/>
    <x v="32"/>
    <x v="2"/>
  </r>
  <r>
    <s v="Asus VivoBook 15 M1502QA-EJ741WS Laptop (AMD Octa Core Ryzen 7/16 GB/512 GB SSD/Windows 11)"/>
    <s v="Asus VivoBook 15 M1502QA-EJ741WS Laptop (AMD Octa Core Ryzen 7/16 GB/512 GB SSD/Windows 11) price in India"/>
    <x v="42"/>
    <n v="1493"/>
    <n v="84"/>
    <x v="0"/>
    <d v="2023-09-01T00:00:00"/>
    <s v="Intel Core i3 (13th Gen) 4.5 Ghz, Hexa-Core"/>
    <s v="Windows 11"/>
    <x v="2"/>
    <s v="15.6&quot; (39.62 cm), 1920 x 1080 px, IPS LCD Display"/>
    <s v="Web Camera"/>
    <s v="Slim 19.9 mm"/>
    <s v="HDMI Port"/>
    <m/>
    <n v="74"/>
    <x v="2"/>
    <x v="32"/>
    <x v="0"/>
  </r>
  <r>
    <s v="Asus ROG Strix G16 G614JJ-N3088WS Laptop (Core i5 13th Gen/16 GB/1 TB SSD/Windows 11/6 GB)"/>
    <s v="Asus ROG Strix G16 G614JJ-N3088WS Laptop (Core i5 13th Gen/16 GB/1 TB SSD/Windows 11/6 GB) price in India"/>
    <x v="448"/>
    <n v="52"/>
    <n v="84"/>
    <x v="0"/>
    <d v="2023-09-01T00:00:00"/>
    <s v="Intel Core i3 (13th Gen) 4.5 Ghz, Hexa-Core"/>
    <s v="Windows 11"/>
    <x v="10"/>
    <s v="16&quot; (40.64 cm), 1920 x 1200 px, IPS LCD Display"/>
    <s v="Web Camera"/>
    <m/>
    <s v="HDMI Port"/>
    <m/>
    <n v="84"/>
    <x v="2"/>
    <x v="32"/>
    <x v="0"/>
  </r>
  <r>
    <s v="Infinix INBook X2 Slim XL23 Laptop (Core i5 11th Gen/16 GB/1 TB SSD/Windows 11)"/>
    <s v="Infinix INBook X2 Slim XL23 Laptop (Core i5 11th Gen/16 GB/1 TB SSD/Windows 11) price in India"/>
    <x v="107"/>
    <n v="303"/>
    <n v="84"/>
    <x v="0"/>
    <d v="2023-09-01T00:00:00"/>
    <s v="Intel Core i3 (13th Gen) 4.5 Ghz, Hexa-Core"/>
    <s v="Windows 11"/>
    <x v="36"/>
    <s v="14&quot; (35.56 cm), 1920 x 1020 px, IPS LCD Display"/>
    <s v="Web Camera"/>
    <s v="Slim 14.8 mm"/>
    <s v="HDMI Port"/>
    <s v="2 USB Ports"/>
    <n v="74"/>
    <x v="10"/>
    <x v="32"/>
    <x v="0"/>
  </r>
  <r>
    <s v="MSI Katana 15 B12VEK-400IN Laptop (Core i7 12th Gen/16 GB/1 TB SSD/Windows 11/6 GB)"/>
    <s v="MSI Katana 15 B12VEK-400IN Laptop (Core i7 12th Gen/16 GB/1 TB SSD/Windows 11/6 GB) price in India"/>
    <x v="449"/>
    <n v="24"/>
    <n v="84"/>
    <x v="0"/>
    <d v="2023-09-01T00:00:00"/>
    <s v="Intel Core i3 (13th Gen) 4.5 Ghz, Hexa-Core"/>
    <s v="Windows 11"/>
    <x v="10"/>
    <s v="15.6&quot; (39.62 cm), 1920 x 1080 px, IPS LCD Display"/>
    <s v="Web Camera"/>
    <m/>
    <s v="HDMI Port"/>
    <m/>
    <m/>
    <x v="3"/>
    <x v="32"/>
    <x v="0"/>
  </r>
  <r>
    <s v="Asus VivoBook 15 X1500EA-EJ311W Laptop (Core i3 11th Gen/8 GB/256 GB SSD/Windows 11)"/>
    <s v="Asus VivoBook 15 X1500EA-EJ311W Laptop (Core i3 11th Gen/8 GB/256 GB SSD/Windows 11) price in India"/>
    <x v="450"/>
    <n v="1384"/>
    <n v="84"/>
    <x v="0"/>
    <d v="2023-09-01T00:00:00"/>
    <s v="Intel Core i3 (13th Gen) 4.5 Ghz, Hexa-Core"/>
    <s v="Windows 11"/>
    <x v="38"/>
    <s v="15.6&quot; (39.62 cm), 1920 x 1080 px, IPS LCD Display"/>
    <s v="Web Camera"/>
    <s v="Slim 19.9 mm"/>
    <s v="HDMI Port"/>
    <m/>
    <m/>
    <x v="2"/>
    <x v="32"/>
    <x v="2"/>
  </r>
  <r>
    <s v="Acer Swift Go OLED (NX.KPZSI.002) Laptop (Core i5 13th Gen/16 GB/512 GB SSD/Windows 11)"/>
    <s v="Acer Swift Go OLED (NX.KPZSI.002) Laptop (Core i5 13th Gen/16 GB/512 GB SSD/Windows 11) price in India"/>
    <x v="451"/>
    <n v="10"/>
    <n v="84"/>
    <x v="0"/>
    <d v="2023-09-01T00:00:00"/>
    <s v="Intel Core i3 (13th Gen) 4.5 Ghz, Hexa-Core"/>
    <s v="Windows 11"/>
    <x v="17"/>
    <s v="14&quot; (35.56 cm), 2880 x 1800 px, OLED Display"/>
    <s v="Web Camera"/>
    <s v="Slim 14.9 mm"/>
    <s v="HDMI Port"/>
    <m/>
    <n v="78"/>
    <x v="1"/>
    <x v="32"/>
    <x v="0"/>
  </r>
  <r>
    <s v="Lenovo Ideapad Slim 3 15IAU7 (82RK00XDIN) Laptop (Core i3 12th Gen/8 GB/256 GB SSD/Windows 11)"/>
    <s v="Lenovo Ideapad Slim 3 15IAU7 (82RK00XDIN) Laptop (Core i3 12th Gen/8 GB/256 GB SSD/Windows 11) price in India"/>
    <x v="452"/>
    <n v="1209"/>
    <n v="84"/>
    <x v="0"/>
    <d v="2023-09-01T00:00:00"/>
    <s v="Intel Core i3 (13th Gen) 4.5 Ghz, Hexa-Core"/>
    <s v="Windows 11"/>
    <x v="38"/>
    <s v="15.6&quot; (39.62 cm), 1920 x 1080 px, TN LCD Display"/>
    <s v="Web Camera"/>
    <s v="Slim 19.9 mm"/>
    <s v="HDMI Port"/>
    <m/>
    <n v="71"/>
    <x v="5"/>
    <x v="32"/>
    <x v="2"/>
  </r>
  <r>
    <s v="Dell Inspiron 15 3530 (IN3530XCMNV001ORS1) Laptop (Core i3 13th Gen/8 GB/1 TB SSD/Windows 11)"/>
    <s v="Dell Inspiron 15 3530 (IN3530XCMNV001ORS1) Laptop (Core i3 13th Gen/8 GB/1 TB SSD/Windows 11) price in India"/>
    <x v="352"/>
    <n v="73"/>
    <n v="84"/>
    <x v="0"/>
    <d v="2023-09-01T00:00:00"/>
    <s v="Intel Core i3 (13th Gen) 4.5 Ghz, Hexa-Core"/>
    <s v="Windows 11"/>
    <x v="65"/>
    <s v="15.6&quot; (39.62 cm), 1920 x 1080 px, IPS LCD Display"/>
    <s v="Web Camera"/>
    <s v="Slim 21 mm"/>
    <s v="HDMI Port"/>
    <m/>
    <n v="76"/>
    <x v="6"/>
    <x v="32"/>
    <x v="2"/>
  </r>
  <r>
    <s v="Lenovo Legion Pro 7i 16IRX8H (82WQ007TIN) Laptop (Core i9 13th Gen/32 GB/1 TB SSD/Windows 11/12 GB)"/>
    <s v="Lenovo Legion Pro 7i 16IRX8H (82WQ007TIN) Laptop (Core i9 13th Gen/32 GB/1 TB SSD/Windows 11/12 GB) price in India"/>
    <x v="453"/>
    <n v="5"/>
    <n v="84"/>
    <x v="0"/>
    <d v="2023-09-01T00:00:00"/>
    <s v="Intel Core i3 (13th Gen) 4.5 Ghz, Hexa-Core"/>
    <s v="Windows 11"/>
    <x v="19"/>
    <s v="16&quot; (40.64 cm), 2560 x 1600 px, IPS LCD Display"/>
    <s v="Web Camera"/>
    <m/>
    <s v="HDMI Port"/>
    <m/>
    <m/>
    <x v="5"/>
    <x v="32"/>
    <x v="3"/>
  </r>
  <r>
    <s v="HP 15s-eq2132AU (8H968PA) Laptop (AMD Hexa Core Ryzen 5/16 GB/512 GB SSD/Windows 11)"/>
    <s v="HP 15s-eq2132AU (8H968PA) Laptop (AMD Hexa Core Ryzen 5/16 GB/512 GB SSD/Windows 11) price in India"/>
    <x v="169"/>
    <n v="847"/>
    <n v="84"/>
    <x v="0"/>
    <d v="2023-09-01T00:00:00"/>
    <s v="Intel Core i3 (13th Gen) 4.5 Ghz, Hexa-Core"/>
    <s v="Windows 11"/>
    <x v="2"/>
    <s v="15.6&quot; (39.62 cm), 1920 x 1080 px, IPS LCD Display"/>
    <s v="Web Camera"/>
    <s v="Slim 17.9 mm"/>
    <s v="HDMI Port"/>
    <m/>
    <n v="74"/>
    <x v="7"/>
    <x v="32"/>
    <x v="0"/>
  </r>
  <r>
    <s v="Lenovo Ideapad Gaming 3 15IHU6 (82K101PCIN) Laptop (Core i5 11th Gen/8 GB/512 GB SSD/Windows 11/4 GB)"/>
    <s v="Lenovo Ideapad Gaming 3 15IHU6 (82K101PCIN) Laptop (Core i5 11th Gen/8 GB/512 GB SSD/Windows 11/4 GB) price in India"/>
    <x v="247"/>
    <n v="716"/>
    <n v="84"/>
    <x v="0"/>
    <d v="2023-08-01T00:00:00"/>
    <s v="Intel Core i3 (13th Gen) 4.5 Ghz, Hexa-Core"/>
    <s v="Windows 11"/>
    <x v="5"/>
    <s v="15.6&quot; (39.62 cm), 1920 x 1080 px, IPS LCD Display"/>
    <s v="Web Camera"/>
    <m/>
    <s v="HDMI Port"/>
    <m/>
    <n v="81"/>
    <x v="5"/>
    <x v="32"/>
    <x v="2"/>
  </r>
  <r>
    <s v="Lenovo IdeaPad Slim 5 14IRL8 (82XD005RIN) Laptop (Core i5 13th Gen/16 GB/512 GB SSD/Windows 11)"/>
    <s v="Lenovo IdeaPad Slim 5 14IRL8 (82XD005RIN) Laptop (Core i5 13th Gen/16 GB/512 GB SSD/Windows 11) price in India"/>
    <x v="188"/>
    <n v="11"/>
    <n v="84"/>
    <x v="0"/>
    <d v="2023-08-01T00:00:00"/>
    <s v="Intel Core i3 (13th Gen) 4.5 Ghz, Hexa-Core"/>
    <s v="Windows 11"/>
    <x v="17"/>
    <s v="14&quot; (35.56 cm), 1920 x 1200 px, OLED Display"/>
    <s v="Web Camera"/>
    <m/>
    <s v="HDMI Port"/>
    <m/>
    <n v="79"/>
    <x v="5"/>
    <x v="32"/>
    <x v="0"/>
  </r>
  <r>
    <s v="Lenovo Ideapad Slim 3 15ALC6 (82KU024JIN) Laptop (AMD Octa Core Ryzen 7/16 GB/512 GB SSD/Windows 11)"/>
    <s v="Lenovo Ideapad Slim 3 15ALC6 (82KU024JIN) Laptop (AMD Octa Core Ryzen 7/16 GB/512 GB SSD/Windows 11) price in India"/>
    <x v="169"/>
    <n v="477"/>
    <n v="84"/>
    <x v="0"/>
    <d v="2023-08-01T00:00:00"/>
    <s v="Intel Core i3 (13th Gen) 4.5 Ghz, Hexa-Core"/>
    <s v="Windows 11"/>
    <x v="2"/>
    <s v="15.6&quot; (39.62 cm), 1920 x 1080 px, IPS LCD Display"/>
    <s v="Web Camera"/>
    <s v="Slim 19.9 mm"/>
    <s v="HDMI Port"/>
    <m/>
    <n v="75"/>
    <x v="5"/>
    <x v="32"/>
    <x v="0"/>
  </r>
  <r>
    <s v="Dell Inspiron 15 3520 (IN3520RVTGV001ORB1) Laptop (Core i3 11th Gen/8 GB/512 GB SSD/Windows 11)"/>
    <s v="Dell Inspiron 15 3520 (IN3520RVTGV001ORB1) Laptop (Core i3 11th Gen/8 GB/512 GB SSD/Windows 11) price in India"/>
    <x v="454"/>
    <n v="262"/>
    <n v="84"/>
    <x v="0"/>
    <d v="2023-08-01T00:00:00"/>
    <s v="Intel Core i3 (13th Gen) 4.5 Ghz, Hexa-Core"/>
    <s v="Windows 11"/>
    <x v="5"/>
    <s v="15.6&quot; (39.62 cm), 1920 x 1080 px, IPS LCD Display"/>
    <s v="Web Camera"/>
    <m/>
    <s v="HDMI Port"/>
    <m/>
    <m/>
    <x v="6"/>
    <x v="32"/>
    <x v="2"/>
  </r>
  <r>
    <s v="MSI GF63 Thin 11UCX-1491IN Laptop (Core i7 11th Gen/16 GB/1 TB 512 GB SSD/Windows 11/4 GB)"/>
    <s v="MSI GF63 Thin 11UCX-1491IN Laptop (Core i7 11th Gen/16 GB/1 TB 512 GB SSD/Windows 11/4 GB) price in India"/>
    <x v="455"/>
    <n v="48"/>
    <n v="84"/>
    <x v="0"/>
    <d v="2023-08-01T00:00:00"/>
    <s v="Intel Core i3 (13th Gen) 4.5 Ghz, Hexa-Core"/>
    <s v="Windows 11"/>
    <x v="34"/>
    <s v="15.6&quot; (39.62 cm), 1920 x 1080 px, IPS LCD Display"/>
    <s v="Web Camera"/>
    <s v="Slim 21.7 mm"/>
    <s v="HDMI Port"/>
    <m/>
    <n v="79"/>
    <x v="3"/>
    <x v="32"/>
    <x v="0"/>
  </r>
  <r>
    <s v="Lenovo Ideapad Slim 5 14IAH8 (83BF000UIN) Laptop (Core i5 12th Gen/16 GB/512 GB SSD/Windows 11)"/>
    <s v="Lenovo Ideapad Slim 5 14IAH8 (83BF000UIN) Laptop (Core i5 12th Gen/16 GB/512 GB SSD/Windows 11) price in India"/>
    <x v="456"/>
    <n v="198"/>
    <n v="84"/>
    <x v="0"/>
    <d v="2023-08-01T00:00:00"/>
    <s v="Intel Core i3 (13th Gen) 4.5 Ghz, Hexa-Core"/>
    <s v="Windows 11"/>
    <x v="17"/>
    <s v="14&quot; (35.56 cm), 1920 x 1200 px, IPS LCD Display"/>
    <s v="Web Camera"/>
    <s v="Slim 17.9 mm"/>
    <s v="HDMI Port"/>
    <m/>
    <n v="80"/>
    <x v="5"/>
    <x v="32"/>
    <x v="0"/>
  </r>
  <r>
    <s v="Lenovo LOQ 15IRH8 (82XV00BRIN) Laptop (Core i7 13th Gen/16 GB/512 GB SSD/Windows 11/8 GB)"/>
    <s v="Lenovo LOQ 15IRH8 (82XV00BRIN) Laptop (Core i7 13th Gen/16 GB/512 GB SSD/Windows 11/8 GB) price in India"/>
    <x v="457"/>
    <n v="156"/>
    <n v="84"/>
    <x v="0"/>
    <d v="2023-08-01T00:00:00"/>
    <s v="Intel Core i3 (13th Gen) 4.5 Ghz, Hexa-Core"/>
    <s v="Windows 11"/>
    <x v="6"/>
    <s v="15.6&quot; (39.62 cm), 1920 x 1080 px, IPS LCD Display"/>
    <s v="Web Camera"/>
    <m/>
    <s v="HDMI Port"/>
    <m/>
    <n v="85"/>
    <x v="5"/>
    <x v="32"/>
    <x v="0"/>
  </r>
  <r>
    <s v="Lenovo LOQ 15IRH8 (82XV00F6IN) Laptop (Core i5 12th Gen/16 GB/512 GB SSD/Windows 11/6 GB)"/>
    <s v="Lenovo LOQ 15IRH8 (82XV00F6IN) Laptop (Core i5 12th Gen/16 GB/512 GB SSD/Windows 11/6 GB) price in India"/>
    <x v="280"/>
    <n v="62"/>
    <n v="84"/>
    <x v="0"/>
    <d v="2023-08-01T00:00:00"/>
    <s v="Intel Core i3 (13th Gen) 4.5 Ghz, Hexa-Core"/>
    <s v="Windows 11"/>
    <x v="6"/>
    <s v="15.6&quot; (39.62 cm), 1920 x 1080 px, IPS LCD Display"/>
    <s v="Web Camera"/>
    <m/>
    <s v="HDMI Port"/>
    <m/>
    <n v="83"/>
    <x v="5"/>
    <x v="32"/>
    <x v="0"/>
  </r>
  <r>
    <s v="Asus VivoBook 15 X1504ZA-NJ325WS Laptop (Core i3 12th Gen/8 GB/512 GB SSD/Windows 11)"/>
    <s v="Asus VivoBook 15 X1504ZA-NJ325WS Laptop (Core i3 12th Gen/8 GB/512 GB SSD/Windows 11) price in India"/>
    <x v="356"/>
    <n v="549"/>
    <n v="84"/>
    <x v="0"/>
    <d v="2023-07-01T00:00:00"/>
    <s v="Intel Core i3 (13th Gen) 4.5 Ghz, Hexa-Core"/>
    <s v="Windows 11"/>
    <x v="5"/>
    <s v="15.6&quot; (39.62 cm), 1920 x 1080 px, IPS LCD Display"/>
    <s v="Web Camera"/>
    <s v="Slim 17.9 mm"/>
    <s v="HDMI Port"/>
    <m/>
    <n v="77"/>
    <x v="2"/>
    <x v="32"/>
    <x v="2"/>
  </r>
  <r>
    <s v="Lenovo Ideapad Slim 5 14ABR8 (82XE004RIN) Laptop (AMD Hexa Core Ryzen 5/16 GB/512 GB SSD/Windows 11)"/>
    <s v="Lenovo Ideapad Slim 5 14ABR8 (82XE004RIN) Laptop (AMD Hexa Core Ryzen 5/16 GB/512 GB SSD/Windows 11) price in India"/>
    <x v="458"/>
    <n v="61"/>
    <n v="84"/>
    <x v="0"/>
    <d v="2023-07-01T00:00:00"/>
    <s v="Intel Core i3 (13th Gen) 4.5 Ghz, Hexa-Core"/>
    <s v="Windows 11"/>
    <x v="2"/>
    <s v="14&quot; (35.56 cm), 1920 x 1200 px, OLED Display"/>
    <s v="Web Camera"/>
    <m/>
    <s v="HDMI Port"/>
    <m/>
    <n v="75"/>
    <x v="5"/>
    <x v="32"/>
    <x v="0"/>
  </r>
  <r>
    <s v="Lenovo Ideapad Slim 5 14IRL8 (82XD003NIN) Laptop (Core i5 13th Gen/16 GB/512 GB SSD/Windows 11)"/>
    <s v="Lenovo Ideapad Slim 5 14IRL8 (82XD003NIN) Laptop (Core i5 13th Gen/16 GB/512 GB SSD/Windows 11) price in India"/>
    <x v="108"/>
    <n v="133"/>
    <n v="84"/>
    <x v="0"/>
    <d v="2023-07-01T00:00:00"/>
    <s v="Intel Core i3 (13th Gen) 4.5 Ghz, Hexa-Core"/>
    <s v="Windows 11"/>
    <x v="17"/>
    <s v="14&quot; (35.56 cm), 1920 x 1200 px, IPS LCD Display"/>
    <s v="Web Camera"/>
    <s v="Slim 16.9 mm"/>
    <s v="HDMI Port"/>
    <m/>
    <n v="81"/>
    <x v="5"/>
    <x v="32"/>
    <x v="0"/>
  </r>
  <r>
    <s v="Lenovo IdeaPad Flex 5 14ALC7 (82R900D9IN) Laptop (AMD Octa Core Ryzen 7/16 GB/512 GB SSD/Windows 11)"/>
    <s v="Lenovo IdeaPad Flex 5 14ALC7 (82R900D9IN) Laptop (AMD Octa Core Ryzen 7/16 GB/512 GB SSD/Windows 11) price in India"/>
    <x v="459"/>
    <n v="57"/>
    <n v="84"/>
    <x v="0"/>
    <d v="2023-07-01T00:00:00"/>
    <s v="Intel Core i3 (13th Gen) 4.5 Ghz, Hexa-Core"/>
    <s v="Windows 11"/>
    <x v="30"/>
    <s v="14&quot; (35.56 cm), 1920 x 1200 px, IPS LCD Display"/>
    <s v="Web Camera"/>
    <m/>
    <s v="HDMI Port"/>
    <m/>
    <n v="71"/>
    <x v="5"/>
    <x v="32"/>
    <x v="0"/>
  </r>
  <r>
    <s v="HP Victus 15-fb0108AX (7K8N1PA) Laptop (AMD Hexa Core Ryzen 5/8 GB/512 GB SSD/Windows 11/4 GB)"/>
    <s v="HP Victus 15-fb0108AX (7K8N1PA) Laptop (AMD Hexa Core Ryzen 5/8 GB/512 GB SSD/Windows 11/4 GB) price in India"/>
    <x v="460"/>
    <n v="1244"/>
    <n v="84"/>
    <x v="0"/>
    <d v="2023-07-01T00:00:00"/>
    <s v="Intel Core i3 (13th Gen) 4.5 Ghz, Hexa-Core"/>
    <s v="Windows 11"/>
    <x v="5"/>
    <s v="15.6&quot; (39.62 cm), 1920 x 1080 px, IPS LCD Display"/>
    <s v="Web Camera"/>
    <m/>
    <s v="HDMI Port"/>
    <m/>
    <n v="78"/>
    <x v="7"/>
    <x v="32"/>
    <x v="2"/>
  </r>
  <r>
    <s v="Infinix Zero Book 13 ZL513 Laptop (Core i7 13th Gen/32 GB/1 TB SSD/Windows 11)"/>
    <s v="Infinix Zero Book 13 ZL513 Laptop (Core i7 13th Gen/32 GB/1 TB SSD/Windows 11) price in India"/>
    <x v="365"/>
    <n v="136"/>
    <n v="84"/>
    <x v="0"/>
    <d v="2023-07-01T00:00:00"/>
    <s v="Intel Core i3 (4th Gen) 1.7 Ghz, Dual-Core"/>
    <s v="Windows 11"/>
    <x v="7"/>
    <s v="15.6&quot; (39.62 cm), 1920 x 1080 px, IPS LCD Display"/>
    <s v="Web Camera"/>
    <s v="Slim 16.9 mm"/>
    <s v="HDMI Port"/>
    <s v="2 USB Ports"/>
    <n v="81"/>
    <x v="10"/>
    <x v="33"/>
    <x v="3"/>
  </r>
  <r>
    <s v="HP 15s-ey2001AU (8H969PA) Laptop (AMD Octa Core Ryzen 7/16 GB/512 GB SSD/Windows 11)"/>
    <s v="HP 15s-ey2001AU (8H969PA) Laptop (AMD Octa Core Ryzen 7/16 GB/512 GB SSD/Windows 11) price in India"/>
    <x v="15"/>
    <n v="883"/>
    <n v="84"/>
    <x v="0"/>
    <d v="2023-07-01T00:00:00"/>
    <s v="Intel Core i3 (6th Gen) 2.0 Ghz"/>
    <s v="Windows 11"/>
    <x v="2"/>
    <s v="15.6&quot; (39.62 cm), 1920 x 1080 px, IPS LCD Display"/>
    <s v="Web Camera"/>
    <s v="Slim 17.9 mm"/>
    <s v="HDMI Port"/>
    <m/>
    <n v="71"/>
    <x v="7"/>
    <x v="34"/>
    <x v="0"/>
  </r>
  <r>
    <s v="HP 14-gr0000TU (8K8J1PA) Laptop (Core i3 13th Gen/8 GB/512 GB SSD/Windows 11)"/>
    <s v="HP 14-gr0000TU (8K8J1PA) Laptop (Core i3 13th Gen/8 GB/512 GB SSD/Windows 11) price in India"/>
    <x v="329"/>
    <n v="1071"/>
    <n v="84"/>
    <x v="0"/>
    <d v="2023-07-01T00:00:00"/>
    <s v="Intel Core i3 (6th Gen) 2.0 Ghz"/>
    <s v="Windows 11"/>
    <x v="5"/>
    <s v="14&quot; (35.56 cm), 1920 x 1080 px, IPS LCD Display"/>
    <s v="Web Camera"/>
    <s v="Slim 17.9 mm"/>
    <s v="HDMI Port"/>
    <m/>
    <n v="78"/>
    <x v="7"/>
    <x v="34"/>
    <x v="2"/>
  </r>
  <r>
    <s v="HP Pavilion Plus 14-eh1022TU (81B19PA) Laptop (Core i5 13th Gen/16 GB/512 GB SSD/Windows 11)"/>
    <s v="HP Pavilion Plus 14-eh1022TU (81B19PA) Laptop (Core i5 13th Gen/16 GB/512 GB SSD/Windows 11) price in India"/>
    <x v="461"/>
    <n v="58"/>
    <n v="84"/>
    <x v="0"/>
    <d v="2023-07-01T00:00:00"/>
    <s v="Intel Core i3 (6th Gen) 2.0 Ghz"/>
    <s v="Windows 11"/>
    <x v="2"/>
    <s v="14&quot; (35.56 cm), 2240 x 1400 px, IPS LCD Display"/>
    <s v="Web Camera"/>
    <s v="Slim 18.4 mm"/>
    <s v="HDMI Port"/>
    <m/>
    <n v="77"/>
    <x v="7"/>
    <x v="34"/>
    <x v="0"/>
  </r>
  <r>
    <s v="MSI Modern 14 C12M-670IN Laptop (Core i7 12th Gen/8 GB/512 GB SSD/Windows 11)"/>
    <s v="MSI Modern 14 C12M-670IN Laptop (Core i7 12th Gen/8 GB/512 GB SSD/Windows 11) price in India"/>
    <x v="311"/>
    <n v="85"/>
    <n v="84"/>
    <x v="0"/>
    <d v="2023-06-01T00:00:00"/>
    <s v="Intel Core i3 (6th Gen) 2.0 Ghz"/>
    <s v="Windows 11"/>
    <x v="5"/>
    <s v="14&quot; (35.56 cm), 1920 x 1080 px, IPS LCD Display"/>
    <s v="Web Camera"/>
    <s v="Slim 19.3 mm"/>
    <s v="HDMI Port"/>
    <m/>
    <n v="75"/>
    <x v="3"/>
    <x v="34"/>
    <x v="2"/>
  </r>
  <r>
    <s v="Acer Aspire 7 A715-76G (UN.QMESI.003) Laptop (Core i5 12th Gen/16 GB/512 GB SSD/Windows 11/4 GB)"/>
    <s v="Acer Aspire 7 A715-76G (UN.QMESI.003) Laptop (Core i5 12th Gen/16 GB/512 GB SSD/Windows 11/4 GB) price in India"/>
    <x v="15"/>
    <n v="566"/>
    <n v="84"/>
    <x v="0"/>
    <d v="2023-06-01T00:00:00"/>
    <s v="Intel Core i3 (6th Gen) 2.0 Ghz"/>
    <s v="Windows 11"/>
    <x v="2"/>
    <s v="15.6&quot; (39.62 cm), 1920 x 1080 px, IPS LCD Display"/>
    <s v="Web Camera"/>
    <s v="Slim 19.9 mm"/>
    <s v="HDMI Port"/>
    <m/>
    <n v="77"/>
    <x v="1"/>
    <x v="34"/>
    <x v="0"/>
  </r>
  <r>
    <s v="Acer Aspire 7 A715-76G (UN.QMESI.004) Laptop (Core i5 12th Gen/16 GB/512 GB SSD/Windows 11/4 GB)"/>
    <s v="Acer Aspire 7 A715-76G (UN.QMESI.004) Laptop (Core i5 12th Gen/16 GB/512 GB SSD/Windows 11/4 GB) price in India"/>
    <x v="189"/>
    <n v="1599"/>
    <n v="84"/>
    <x v="0"/>
    <d v="2023-06-01T00:00:00"/>
    <s v="Intel Core i3 (6th Gen) 2.0 Ghz"/>
    <s v="Windows 11"/>
    <x v="2"/>
    <s v="15.6&quot; (39.62 cm), 1920 x 1080 px, IPS LCD Display"/>
    <s v="Web Camera"/>
    <s v="Slim 19.9 mm"/>
    <s v="HDMI Port"/>
    <m/>
    <n v="77"/>
    <x v="1"/>
    <x v="34"/>
    <x v="0"/>
  </r>
  <r>
    <s v="Infinix INBook X2 Slim XL23 Laptop (Core i3 11th Gen/8 GB/256 GB SSD/Windows 11)"/>
    <s v="Infinix INBook X2 Slim XL23 Laptop (Core i3 11th Gen/8 GB/256 GB SSD/Windows 11) price in India"/>
    <x v="454"/>
    <n v="358"/>
    <n v="84"/>
    <x v="0"/>
    <d v="2023-06-01T00:00:00"/>
    <s v="Intel Core i3 (6th Gen) 2.0 Ghz"/>
    <s v="Windows 11"/>
    <x v="30"/>
    <s v="14&quot; (35.56 cm), 1920 x 1080 px Display"/>
    <s v="Web Camera"/>
    <s v="Slim 14.8 mm"/>
    <s v="HDMI Port"/>
    <s v="2 USB Ports"/>
    <n v="73"/>
    <x v="10"/>
    <x v="34"/>
    <x v="0"/>
  </r>
  <r>
    <s v="HP Omen 17-cm2003TX (7K4K0PA) Laptop (Core i7 13th Gen/16 GB/1 TB SSD/Windows 11/8 GB)"/>
    <s v="HP Omen 17-cm2003TX (7K4K0PA) Laptop (Core i7 13th Gen/16 GB/1 TB SSD/Windows 11/8 GB) price in India"/>
    <x v="462"/>
    <n v="28"/>
    <n v="84"/>
    <x v="0"/>
    <d v="2023-06-01T00:00:00"/>
    <s v="Intel Core i3 (6th Gen) 2.0 Ghz, Dual-Core"/>
    <s v="Windows 11"/>
    <x v="10"/>
    <s v="17.3&quot; (43.94 cm), 2560 x 1440 px, IPS LCD Display"/>
    <s v="Web Camera"/>
    <m/>
    <s v="HDMI Port"/>
    <m/>
    <m/>
    <x v="7"/>
    <x v="34"/>
    <x v="0"/>
  </r>
  <r>
    <s v="Infinix INBook X2 Slim XL23 Laptop (Core i3 11th Gen/8 GB/256 GB SSD/Windows 11)"/>
    <s v="Infinix INBook X2 Slim XL23 Laptop (Core i3 11th Gen/8 GB/256 GB SSD/Windows 11) price in India"/>
    <x v="247"/>
    <n v="416"/>
    <n v="84"/>
    <x v="0"/>
    <d v="2023-06-01T00:00:00"/>
    <s v="Intel Core i3 (6th Gen) 2.0 Ghz, Dual-Core"/>
    <s v="Windows 11"/>
    <x v="57"/>
    <s v="14&quot; (35.56 cm), 1920 x 1080 px, IPS LCD Display"/>
    <s v="Web Camera"/>
    <s v="Slim 14.8 mm"/>
    <s v="HDMI Port"/>
    <s v="2 USB Ports"/>
    <m/>
    <x v="10"/>
    <x v="34"/>
    <x v="2"/>
  </r>
  <r>
    <s v="Lenovo Thinkpad E14 Gen 5 (21JRS00U00) Laptop (AMD Hexa Core Ryzen 5/16 GB/512 GB SSD/Windows 11)"/>
    <s v="Lenovo Thinkpad E14 Gen 5 (21JRS00U00) Laptop (AMD Hexa Core Ryzen 5/16 GB/512 GB SSD/Windows 11) price in India"/>
    <x v="463"/>
    <n v="106"/>
    <n v="84"/>
    <x v="0"/>
    <d v="2023-06-01T00:00:00"/>
    <s v="Intel Core i3 (6th Gen) 2.1 Ghz"/>
    <s v="Windows 11"/>
    <x v="2"/>
    <s v="14&quot; (35.56 cm), 1920 x 1200 px, IPS LCD Display"/>
    <s v="Web Camera"/>
    <s v="Slim 18 mm"/>
    <s v="HDMI Port"/>
    <m/>
    <n v="76"/>
    <x v="5"/>
    <x v="34"/>
    <x v="0"/>
  </r>
  <r>
    <s v="Lenovo V15 G4 (82YU00W7IN) Laptop (AMD Quad Core Ryzen 3/8 GB/512 GB SSD/Windows 11)"/>
    <s v="Lenovo V15 G4 (82YU00W7IN) Laptop (AMD Quad Core Ryzen 3/8 GB/512 GB SSD/Windows 11) price in India"/>
    <x v="464"/>
    <n v="898"/>
    <n v="84"/>
    <x v="0"/>
    <d v="2023-06-01T00:00:00"/>
    <s v="Intel Core i3 (7th Gen) 2.0 Ghz, Dual-Core"/>
    <s v="Windows 11"/>
    <x v="20"/>
    <s v="15.6&quot; (39.62 cm), 1920 x 1080 px, IPS LCD Display"/>
    <s v="Web Camera"/>
    <s v="Slim 19.9 mm"/>
    <s v="HDMI Port"/>
    <m/>
    <n v="72"/>
    <x v="5"/>
    <x v="35"/>
    <x v="2"/>
  </r>
  <r>
    <s v="Lenovo V15 G4 (82YU00W6IN) Laptop (AMD Quad Core Ryzen 3/8 GB/512 GB SSD/DOS)"/>
    <s v="Lenovo V15 G4 (82YU00W6IN) Laptop (AMD Quad Core Ryzen 3/8 GB/512 GB SSD/DOS) price in India"/>
    <x v="465"/>
    <n v="56"/>
    <n v="84"/>
    <x v="0"/>
    <d v="2023-06-01T00:00:00"/>
    <s v="Intel Core i3 (7th Gen) 2.4 Ghz"/>
    <s v="DOS"/>
    <x v="20"/>
    <s v="15.6&quot; (39.62 cm), 1920 x 1080 px, IPS LCD Display"/>
    <s v="Web Camera"/>
    <s v="Slim 19.9 mm"/>
    <s v="HDMI Port"/>
    <m/>
    <m/>
    <x v="5"/>
    <x v="35"/>
    <x v="2"/>
  </r>
  <r>
    <s v="Acer Aspire 7 A715-76G (NH.QMESI.002) Laptop (Core i5 12th Gen/8 GB/512 GB SSD/Windows 11/4 GB)"/>
    <s v="Acer Aspire 7 A715-76G (NH.QMESI.002) Laptop (Core i5 12th Gen/8 GB/512 GB SSD/Windows 11/4 GB) price in India"/>
    <x v="21"/>
    <n v="1591"/>
    <n v="84"/>
    <x v="0"/>
    <d v="2023-05-01T00:00:00"/>
    <s v="Intel Core i3 (7th Gen) 2.4 Ghz"/>
    <s v="Windows 11"/>
    <x v="5"/>
    <s v="15.6&quot; (39.62 cm), 1920 x 1080 px Display"/>
    <s v="Web Camera"/>
    <s v="Slim 19.9 mm"/>
    <s v="HDMI Port"/>
    <m/>
    <n v="77"/>
    <x v="1"/>
    <x v="35"/>
    <x v="2"/>
  </r>
  <r>
    <s v="Acer Aspire 7 A715-76G (NH.QMESI.003) Laptop (Core i5 12th Gen/8 GB/512 GB SSD/Windows 11/4 GB)"/>
    <s v="Acer Aspire 7 A715-76G (NH.QMESI.003) Laptop (Core i5 12th Gen/8 GB/512 GB SSD/Windows 11/4 GB) price in India"/>
    <x v="263"/>
    <n v="566"/>
    <n v="84"/>
    <x v="0"/>
    <d v="2023-05-01T00:00:00"/>
    <s v="Intel Core i3 (7th Gen) 2.4 Ghz"/>
    <s v="Windows 11"/>
    <x v="5"/>
    <s v="15.6&quot; (39.62 cm), 1920 x 1080 px Display"/>
    <s v="Web Camera"/>
    <s v="Slim 19.9 mm"/>
    <m/>
    <m/>
    <n v="76"/>
    <x v="1"/>
    <x v="35"/>
    <x v="2"/>
  </r>
  <r>
    <s v="MSI GF63 Thin 11SC-1477IN Laptop (Core i5 11th Gen/8 GB/512 GB SSD/Windows 11/4 GB)"/>
    <s v="MSI GF63 Thin 11SC-1477IN Laptop (Core i5 11th Gen/8 GB/512 GB SSD/Windows 11/4 GB) price in India"/>
    <x v="169"/>
    <n v="388"/>
    <n v="84"/>
    <x v="0"/>
    <d v="2023-05-01T00:00:00"/>
    <s v="Intel Core i3 (7th Gen) 2.4 Ghz"/>
    <s v="Windows 11"/>
    <x v="5"/>
    <s v="15.6&quot; (39.62 cm), 1920 x 1080 px, IPS LCD Display"/>
    <s v="Web Camera"/>
    <m/>
    <s v="HDMI Port"/>
    <s v="3 USB Ports"/>
    <n v="76"/>
    <x v="3"/>
    <x v="35"/>
    <x v="2"/>
  </r>
  <r>
    <s v="MSI GF63 Thin 11UCX-1471IN Laptop (Core i5 11th Gen/8 GB/512 GB SSD/Windows 11/4 GB)"/>
    <s v="MSI GF63 Thin 11UCX-1471IN Laptop (Core i5 11th Gen/8 GB/512 GB SSD/Windows 11/4 GB) price in India"/>
    <x v="437"/>
    <n v="100"/>
    <n v="84"/>
    <x v="0"/>
    <d v="2023-05-01T00:00:00"/>
    <s v="Intel Core i3 (7th Gen) 2.4 Ghz"/>
    <s v="Windows 11"/>
    <x v="5"/>
    <s v="15.6&quot; (39.62 cm), 1920 x 1080 px, IPS LCD Display"/>
    <s v="Web Camera"/>
    <m/>
    <m/>
    <s v="4 USB Ports"/>
    <n v="77"/>
    <x v="3"/>
    <x v="35"/>
    <x v="2"/>
  </r>
  <r>
    <s v="Dell Inspiron 15 3530 (IN3530NM1NN001ORS1) Laptop (Core i5 13th Gen/8 GB/512 GB SSD/Windows 11)"/>
    <s v="Dell Inspiron 15 3530 (IN3530NM1NN001ORS1) Laptop (Core i5 13th Gen/8 GB/512 GB SSD/Windows 11) price in India"/>
    <x v="466"/>
    <n v="10"/>
    <n v="84"/>
    <x v="0"/>
    <d v="2023-05-01T00:00:00"/>
    <s v="Intel Core i3 (7th Gen) 2.7 Ghz"/>
    <s v="Windows 11"/>
    <x v="5"/>
    <s v="15.6&quot; (39.62 cm), 1920 x 1080 px Display"/>
    <s v="Web Camera"/>
    <s v="Slim 18.7 mm"/>
    <s v="HDMI Port"/>
    <m/>
    <n v="75"/>
    <x v="6"/>
    <x v="35"/>
    <x v="2"/>
  </r>
  <r>
    <s v="Asus TUF Gaming A16 FA617XS-N3026WS Laptop (AMD Octa Core Ryzen 9/16 GB/1 TB SSD/Windows 11/8 GB)"/>
    <s v="Asus TUF Gaming A16 FA617XS-N3026WS Laptop (AMD Octa Core Ryzen 9/16 GB/1 TB SSD/Windows 11/8 GB) price in India"/>
    <x v="66"/>
    <n v="4"/>
    <n v="84"/>
    <x v="0"/>
    <d v="2023-05-01T00:00:00"/>
    <s v="Intel Core i3 (8th Gen) 2.2 Ghz"/>
    <s v="Windows 11"/>
    <x v="10"/>
    <s v="16&quot; (40.64 cm), 1920 x 1200 px, IPS LCD Display"/>
    <s v="Web Camera"/>
    <s v="Slim 10.4 mm"/>
    <s v="HDMI Port"/>
    <m/>
    <n v="86"/>
    <x v="2"/>
    <x v="36"/>
    <x v="0"/>
  </r>
  <r>
    <s v="Acer Predator Helios 16 PH16-71 (NH.QJQSI.003) Laptop (Core i7 13th Gen/16 GB/512 GB SSD/Windows 11/8 GB)"/>
    <s v="Acer Predator Helios 16 PH16-71 (NH.QJQSI.003) Laptop (Core i7 13th Gen/16 GB/512 GB SSD/Windows 11/8 GB) price in India"/>
    <x v="467"/>
    <n v="41"/>
    <n v="84"/>
    <x v="0"/>
    <d v="2023-05-01T00:00:00"/>
    <s v="Intel Core i3 (8th Gen) 2.2 Ghz"/>
    <s v="Windows 11"/>
    <x v="6"/>
    <s v="16&quot; (40.64 cm), 2560 x 1600 px, LCD Display"/>
    <s v="Web Camera"/>
    <m/>
    <s v="HDMI Port"/>
    <m/>
    <n v="86"/>
    <x v="1"/>
    <x v="36"/>
    <x v="0"/>
  </r>
  <r>
    <s v="Dell Inspiron 15 3530 (IN3530GH7Y2001ORS1) Laptop (Core i3 13th Gen/8 GB/512 GB SSD/Windows 11)"/>
    <s v="Dell Inspiron 15 3530 (IN3530GH7Y2001ORS1) Laptop (Core i3 13th Gen/8 GB/512 GB SSD/Windows 11) price in India"/>
    <x v="468"/>
    <n v="10"/>
    <n v="84"/>
    <x v="0"/>
    <d v="2023-05-01T00:00:00"/>
    <s v="Intel Core i3 (8th Gen) 2.2 Ghz"/>
    <s v="Windows 11"/>
    <x v="5"/>
    <s v="15.6&quot; (39.62 cm), 1920 x 1080 px, IPS LCD Display"/>
    <s v="Web Camera"/>
    <s v="Slim 18.9 mm"/>
    <s v="HDMI Port"/>
    <m/>
    <n v="75"/>
    <x v="6"/>
    <x v="36"/>
    <x v="2"/>
  </r>
  <r>
    <s v="Asus Vivobook 16X K3605ZC-MB541WS Laptop (Core i5 12th Gen/16 GB/512 GB SSD/Windows 11/4 GB)"/>
    <s v="Asus Vivobook 16X K3605ZC-MB541WS Laptop (Core i5 12th Gen/16 GB/512 GB SSD/Windows 11/4 GB) price in India"/>
    <x v="210"/>
    <n v="736"/>
    <n v="84"/>
    <x v="0"/>
    <d v="2023-05-01T00:00:00"/>
    <s v="Intel Core i3 (8th Gen) 2.2 Ghz"/>
    <s v="Windows 11"/>
    <x v="2"/>
    <s v="16&quot; (40.64 cm), 1920 x 1200 px, IPS LCD Display"/>
    <s v="Web Camera"/>
    <s v="Slim 18.9 mm"/>
    <m/>
    <m/>
    <n v="80"/>
    <x v="2"/>
    <x v="36"/>
    <x v="0"/>
  </r>
  <r>
    <s v="Asus TUF Gaming A15 FA577NU-LP082W Laptop (AMD Octa Core Ryzen 7/16 GB/512 GB SSD/Windows 11/6 GB)"/>
    <s v="Asus TUF Gaming A15 FA577NU-LP082W Laptop (AMD Octa Core Ryzen 7/16 GB/512 GB SSD/Windows 11/6 GB) price in India"/>
    <x v="207"/>
    <n v="77"/>
    <n v="84"/>
    <x v="0"/>
    <d v="2023-05-01T00:00:00"/>
    <s v="Intel Core i5 (10th Gen) 1.0 Ghz, Quad-Core"/>
    <s v="Windows 11"/>
    <x v="6"/>
    <s v="15.6&quot; (39.62 cm), 1920 x 1080 px, IPS LCD Display"/>
    <s v="Web Camera"/>
    <s v="Slim 10.2 mm"/>
    <s v="HDMI Port"/>
    <m/>
    <n v="85"/>
    <x v="2"/>
    <x v="37"/>
    <x v="0"/>
  </r>
  <r>
    <s v="Asus TUF Gaming F17 FX706HF-HX018W Laptop (Core i5 11th Gen/8 GB/512 GB SSD/Windows 11/4 GB)"/>
    <s v="Asus TUF Gaming F17 FX706HF-HX018W Laptop (Core i5 11th Gen/8 GB/512 GB SSD/Windows 11/4 GB) price in India"/>
    <x v="469"/>
    <n v="1333"/>
    <n v="84"/>
    <x v="0"/>
    <d v="2023-05-01T00:00:00"/>
    <s v="Intel Core i5 (10th Gen) 1.0 Ghz, Quad-Core"/>
    <s v="Windows 11"/>
    <x v="5"/>
    <s v="17.3&quot; (43.94 cm), 1920 x 1080 px, IPS LCD Display"/>
    <s v="Web Camera"/>
    <m/>
    <s v="HDMI Port"/>
    <m/>
    <n v="82"/>
    <x v="2"/>
    <x v="38"/>
    <x v="2"/>
  </r>
  <r>
    <s v="HP 15-fd0013TU (7P705PA) Laptop (Core i5 13th Gen/16 GB/512 GB SSD/Windows 11)"/>
    <s v="HP 15-fd0013TU (7P705PA) Laptop (Core i5 13th Gen/16 GB/512 GB SSD/Windows 11) price in India"/>
    <x v="266"/>
    <n v="369"/>
    <n v="84"/>
    <x v="0"/>
    <d v="2023-05-01T00:00:00"/>
    <s v="Intel Core i5 (10th Gen) 1.0 Ghz, Quad-Core"/>
    <s v="Windows 11"/>
    <x v="2"/>
    <s v="15.6&quot; (39.62 cm), 1920 x 1080 px, IPS LCD Display"/>
    <s v="Web Camera"/>
    <s v="Slim 19.9 mm"/>
    <s v="HDMI Port"/>
    <m/>
    <n v="75"/>
    <x v="7"/>
    <x v="38"/>
    <x v="0"/>
  </r>
  <r>
    <s v="HP 15-fd0006TU (7P6Z8PA) Laptop (Core i3 13th Gen/8 GB/512 GB SSD/Windows 11)"/>
    <s v="HP 15-fd0006TU (7P6Z8PA) Laptop (Core i3 13th Gen/8 GB/512 GB SSD/Windows 11) price in India"/>
    <x v="470"/>
    <n v="120"/>
    <n v="84"/>
    <x v="0"/>
    <d v="2023-05-01T00:00:00"/>
    <s v="Intel Core i5 (10th Gen) 1.0 Ghz, Quad-Core"/>
    <s v="Windows 11"/>
    <x v="5"/>
    <s v="15.6&quot; (39.62 cm), 1920 x 1080 px, IPS LCD Display"/>
    <s v="Web Camera"/>
    <s v="Slim 19.9 mm"/>
    <s v="HDMI Port"/>
    <m/>
    <n v="72"/>
    <x v="7"/>
    <x v="38"/>
    <x v="2"/>
  </r>
  <r>
    <s v="HP 15-fc0030AU (7L034PA) Laptop (AMD Quad Core Ryzen 5/16 GB/512 GB SSD/Windows 11)"/>
    <s v="HP 15-fc0030AU (7L034PA) Laptop (AMD Quad Core Ryzen 5/16 GB/512 GB SSD/Windows 11) price in India"/>
    <x v="471"/>
    <n v="64"/>
    <n v="84"/>
    <x v="0"/>
    <d v="2023-04-01T00:00:00"/>
    <s v="Intel Core i5 (10th Gen) 1.0 Ghz, Quad-Core"/>
    <s v="Windows 11"/>
    <x v="17"/>
    <s v="15.6&quot; (39.62 cm), 1920 x 1080 px, IPS LCD Display"/>
    <s v="Web Camera"/>
    <s v="Slim 19.9 mm"/>
    <s v="HDMI Port"/>
    <m/>
    <n v="71"/>
    <x v="7"/>
    <x v="38"/>
    <x v="0"/>
  </r>
  <r>
    <s v="HP 15-fd0011TU (7P703PA) Laptop (Core i5 13th Gen/8 GB/512 GB SSD/Windows 11)"/>
    <s v="HP 15-fd0011TU (7P703PA) Laptop (Core i5 13th Gen/8 GB/512 GB SSD/Windows 11) price in India"/>
    <x v="472"/>
    <n v="369"/>
    <n v="84"/>
    <x v="0"/>
    <d v="2023-04-01T00:00:00"/>
    <s v="Intel Core i5 (10th Gen) 1.0 Ghz, Quad-Core"/>
    <s v="Windows 11"/>
    <x v="5"/>
    <s v="15.6&quot; (39.62 cm), 1920 x 1080 px, IPS LCD Display"/>
    <s v="Web Camera"/>
    <s v="Slim 18.6 mm"/>
    <s v="HDMI Port"/>
    <m/>
    <m/>
    <x v="7"/>
    <x v="38"/>
    <x v="2"/>
  </r>
  <r>
    <s v="MSI GF63 Thin 11UC-1295IN Laptop (Core i5 11th Gen/16 GB/1 TB 256 GB SSD/Windows 11/4 GB)"/>
    <s v="MSI GF63 Thin 11UC-1295IN Laptop (Core i5 11th Gen/16 GB/1 TB 256 GB SSD/Windows 11/4 GB) price in India"/>
    <x v="473"/>
    <n v="103"/>
    <n v="84"/>
    <x v="0"/>
    <d v="2023-04-01T00:00:00"/>
    <s v="Intel Core i5 (10th Gen) 1.2 Ghz, Dual-Core"/>
    <s v="Windows 11"/>
    <x v="34"/>
    <s v="15.6&quot; (39.62 cm), 1920 x 1080 px, IPS LCD Display"/>
    <s v="Web Camera"/>
    <m/>
    <s v="HDMI Port"/>
    <m/>
    <n v="76"/>
    <x v="3"/>
    <x v="38"/>
    <x v="0"/>
  </r>
  <r>
    <s v="Asus VivoBook Go 14 E1404GA-NK322WS Laptop (Core i3 12th Gen/8 GB/512 GB SSD/Windows 11)"/>
    <s v="Asus VivoBook Go 14 E1404GA-NK322WS Laptop (Core i3 12th Gen/8 GB/512 GB SSD/Windows 11) price in India"/>
    <x v="147"/>
    <n v="395"/>
    <n v="84"/>
    <x v="0"/>
    <d v="2023-04-01T00:00:00"/>
    <s v="Intel Core i5 (10th Gen) 1.6 Ghz"/>
    <s v="Windows 11"/>
    <x v="5"/>
    <s v="14&quot; (35.56 cm), 1920 x 1080 px, IPS LCD Display"/>
    <s v="Web Camera"/>
    <s v="Slim 17.9 mm"/>
    <s v="HDMI Port"/>
    <m/>
    <n v="72"/>
    <x v="2"/>
    <x v="38"/>
    <x v="2"/>
  </r>
  <r>
    <s v="MSI GF63 Thin 11UC-1293IN Laptop (Core i7 11th Gen/16 GB/512 GB SSD/Windows 11/4 GB)"/>
    <s v="MSI GF63 Thin 11UC-1293IN Laptop (Core i7 11th Gen/16 GB/512 GB SSD/Windows 11/4 GB) price in India"/>
    <x v="66"/>
    <n v="1067"/>
    <n v="84"/>
    <x v="0"/>
    <d v="2023-04-01T00:00:00"/>
    <s v="Intel Core i5 (10th Gen) 1.6 Ghz, Quad-Core"/>
    <s v="Windows 11"/>
    <x v="2"/>
    <s v="15.6&quot; (39.62 cm), 1920 x 1080 px, IPS LCD Display"/>
    <s v="Web Camera"/>
    <m/>
    <s v="HDMI Port"/>
    <m/>
    <n v="78"/>
    <x v="3"/>
    <x v="38"/>
    <x v="0"/>
  </r>
  <r>
    <s v="MSI GF63 Thin 11UC-1297IN Laptop (Core i5 11th Gen/8 GB/1 TB 256 GB SSD/Windows 11/4 GB)"/>
    <s v="MSI GF63 Thin 11UC-1297IN Laptop (Core i5 11th Gen/8 GB/1 TB 256 GB SSD/Windows 11/4 GB) price in India"/>
    <x v="474"/>
    <n v="103"/>
    <n v="84"/>
    <x v="0"/>
    <d v="2023-04-01T00:00:00"/>
    <s v="Intel Core i5 (10th Gen) 1.7 Ghz, Quad-Core"/>
    <s v="Windows 11"/>
    <x v="37"/>
    <s v="15.6&quot; (39.62 cm), 1920 x 1080 px, IPS LCD Display"/>
    <s v="Web Camera"/>
    <m/>
    <s v="HDMI Port"/>
    <m/>
    <n v="76"/>
    <x v="3"/>
    <x v="38"/>
    <x v="2"/>
  </r>
  <r>
    <s v="MSI GF63 Thin 11SC-1299IN Laptop (Core i5 11th Gen/8 GB/1 TB 256 GB SSD/Windows 11/4 GB)"/>
    <s v="MSI GF63 Thin 11SC-1299IN Laptop (Core i5 11th Gen/8 GB/1 TB 256 GB SSD/Windows 11/4 GB) price in India"/>
    <x v="475"/>
    <n v="96"/>
    <n v="84"/>
    <x v="0"/>
    <d v="2023-04-01T00:00:00"/>
    <s v="Intel Core i5 (10th Gen) 2.5 Ghz, Quad-Core"/>
    <s v="Windows 11"/>
    <x v="37"/>
    <s v="15.6&quot; (39.62 cm), 1920 x 1080 px, IPS LCD Display"/>
    <s v="Web Camera"/>
    <m/>
    <s v="HDMI Port"/>
    <m/>
    <n v="73"/>
    <x v="3"/>
    <x v="38"/>
    <x v="2"/>
  </r>
  <r>
    <s v="MSI Katana 15 B12UDXK-1006IN Laptop (Core i5 12th Gen/8 GB/512 GB SSD/Windows 11/6 GB)"/>
    <s v="MSI Katana 15 B12UDXK-1006IN Laptop (Core i5 12th Gen/8 GB/512 GB SSD/Windows 11/6 GB) price in India"/>
    <x v="476"/>
    <n v="138"/>
    <n v="84"/>
    <x v="0"/>
    <d v="2023-04-01T00:00:00"/>
    <s v="Intel Core i5 (10th Gen) 2.5 Ghz, Quad-Core"/>
    <s v="Windows 11"/>
    <x v="16"/>
    <s v="15.6&quot; (39.62 cm), 1920 x 1080 px, IPS LCD Display"/>
    <s v="Web Camera"/>
    <m/>
    <s v="HDMI Port"/>
    <m/>
    <n v="85"/>
    <x v="3"/>
    <x v="38"/>
    <x v="2"/>
  </r>
  <r>
    <s v="MSI Katana 15 B12UDXK-1005IN Laptop (Core i5 12th Gen/16 GB/512 GB SSD/Windows 11/6 GB)"/>
    <s v="MSI Katana 15 B12UDXK-1005IN Laptop (Core i5 12th Gen/16 GB/512 GB SSD/Windows 11/6 GB) price in India"/>
    <x v="477"/>
    <n v="131"/>
    <n v="84"/>
    <x v="0"/>
    <d v="2023-04-01T00:00:00"/>
    <s v="Intel Core i5 (10th Gen) 2.5 Ghz, Quad-Core"/>
    <s v="Windows 11"/>
    <x v="6"/>
    <s v="15.6&quot; (39.62 cm), 1920 x 1080 px, IPS LCD Display"/>
    <s v="Web Camera"/>
    <m/>
    <s v="HDMI Port"/>
    <m/>
    <n v="86"/>
    <x v="3"/>
    <x v="38"/>
    <x v="0"/>
  </r>
  <r>
    <s v="HP 15s-fy5003TU (7Q700PA) Laptop (Core i3 12th Gen/8 GB/512 GB SSD/Windows 11)"/>
    <s v="HP 15s-fy5003TU (7Q700PA) Laptop (Core i3 12th Gen/8 GB/512 GB SSD/Windows 11) price in India"/>
    <x v="133"/>
    <n v="3269"/>
    <n v="84"/>
    <x v="0"/>
    <d v="2023-04-01T00:00:00"/>
    <s v="Intel Core i5 (10th Gen) 2.5 Ghz, Quad-Core"/>
    <s v="Windows 11"/>
    <x v="5"/>
    <s v="15.6&quot; (39.62 cm), 1920 x 1080 px, IPS LCD Display"/>
    <s v="Web Camera"/>
    <m/>
    <s v="HDMI Port"/>
    <m/>
    <n v="75"/>
    <x v="7"/>
    <x v="38"/>
    <x v="2"/>
  </r>
  <r>
    <s v="Asus VivoBook Go 14 E1404GA-NK321WS Laptop (Core i3 12th Gen/8 GB/512 GB SSD/Windows 11)"/>
    <s v="Asus VivoBook Go 14 E1404GA-NK321WS Laptop (Core i3 12th Gen/8 GB/512 GB SSD/Windows 11) price in India"/>
    <x v="348"/>
    <n v="394"/>
    <n v="84"/>
    <x v="0"/>
    <d v="2023-04-01T00:00:00"/>
    <s v="Intel Core i5 (10th Gen) 3.4 Ghz, Quad-Core"/>
    <s v="Windows 11"/>
    <x v="5"/>
    <s v="14&quot; (35.56 cm), 1920 x 1080 px, IPS LCD Display"/>
    <s v="Web Camera"/>
    <s v="Slim 17.9 mm"/>
    <s v="HDMI Port"/>
    <m/>
    <n v="73"/>
    <x v="2"/>
    <x v="38"/>
    <x v="2"/>
  </r>
  <r>
    <s v="Asus VivoBook 14 X1400EA-EK322WS Laptop (Core i3 11th Gen/8 GB/512 GB SSD/Windows 11)"/>
    <s v="Asus VivoBook 14 X1400EA-EK322WS Laptop (Core i3 11th Gen/8 GB/512 GB SSD/Windows 11) price in India"/>
    <x v="478"/>
    <n v="247"/>
    <n v="84"/>
    <x v="0"/>
    <d v="2023-04-01T00:00:00"/>
    <s v="Intel Core i5 (10th Gen) 4.1 Ghz, Quad-Core"/>
    <s v="Windows 11"/>
    <x v="5"/>
    <s v="14&quot; (35.56 cm), 1920 x 1080 px, IPS LCD Display"/>
    <s v="Web Camera"/>
    <m/>
    <s v="HDMI Port"/>
    <m/>
    <n v="73"/>
    <x v="2"/>
    <x v="38"/>
    <x v="2"/>
  </r>
  <r>
    <s v="Asus VivoBook S15 OLED K5504VA-LK542WS Laptop (Core i5 13th Gen/16 GB/512 GB SSD/Windows 11)"/>
    <s v="Asus VivoBook S15 OLED K5504VA-LK542WS Laptop (Core i5 13th Gen/16 GB/512 GB SSD/Windows 11) price in India"/>
    <x v="479"/>
    <n v="91"/>
    <n v="84"/>
    <x v="0"/>
    <d v="2023-04-01T00:00:00"/>
    <s v="Intel Core i5 (10th Gen) 4.5 Ghz, Quad-Core"/>
    <s v="Windows 11"/>
    <x v="17"/>
    <s v="15.6&quot; (39.62 cm), 1920 x 1080 px, OLED Display"/>
    <s v="Web Camera"/>
    <s v="Slim 17.9 mm"/>
    <s v="HDMI Port"/>
    <m/>
    <n v="77"/>
    <x v="2"/>
    <x v="38"/>
    <x v="0"/>
  </r>
  <r>
    <s v="Asus VivoBook Go 14 E1404FA-NK321WS Laptop (AMD Quad Core Ryzen 3/8 GB/512 GB SSD/Windows 11)"/>
    <s v="Asus VivoBook Go 14 E1404FA-NK321WS Laptop (AMD Quad Core Ryzen 3/8 GB/512 GB SSD/Windows 11) price in India"/>
    <x v="480"/>
    <n v="5"/>
    <n v="84"/>
    <x v="0"/>
    <d v="2023-04-01T00:00:00"/>
    <s v="Intel Core i5 (11th Gen) 2.3 Ghz, Quad-Core"/>
    <s v="Windows 11"/>
    <x v="16"/>
    <s v="14&quot; (35.56 cm), x px Display"/>
    <s v="Web Camera"/>
    <m/>
    <s v="HDMI Port"/>
    <m/>
    <m/>
    <x v="2"/>
    <x v="38"/>
    <x v="2"/>
  </r>
  <r>
    <s v="Asus VivoBook 14 X1404VA-NK321WS Laptop (Core i3 13th Gen/8 GB/512 GB SSD/Windows 11)"/>
    <s v="Asus VivoBook 14 X1404VA-NK321WS Laptop (Core i3 13th Gen/8 GB/512 GB SSD/Windows 11) price in India"/>
    <x v="481"/>
    <n v="146"/>
    <n v="84"/>
    <x v="0"/>
    <d v="2023-04-01T00:00:00"/>
    <s v="Intel Core i5 (11th Gen) 2.4 Ghz, Quad-Core"/>
    <s v="Windows 11"/>
    <x v="5"/>
    <s v="14&quot; (35.56 cm), 1920 x 1080 px, IPS LCD Display"/>
    <s v="Web Camera"/>
    <s v="Slim 17.9 mm"/>
    <s v="HDMI Port"/>
    <m/>
    <n v="72"/>
    <x v="2"/>
    <x v="39"/>
    <x v="2"/>
  </r>
  <r>
    <s v="Asus VivoBook S15 OLED S5504VA-MA543WS Laptop (Core i5 13th Gen/16 GB/512 GB SSD/Windows 11)"/>
    <s v="Asus VivoBook S15 OLED S5504VA-MA543WS Laptop (Core i5 13th Gen/16 GB/512 GB SSD/Windows 11) price in India"/>
    <x v="482"/>
    <n v="75"/>
    <n v="84"/>
    <x v="0"/>
    <d v="2023-04-01T00:00:00"/>
    <s v="Intel Core i5 (11th Gen) 2.4 Ghz, Quad-Core"/>
    <s v="Windows 11"/>
    <x v="17"/>
    <s v="15.6&quot; (39.62 cm), 2880 x 1620 px, OLED Display"/>
    <s v="Web Camera"/>
    <m/>
    <s v="HDMI Port"/>
    <m/>
    <n v="78"/>
    <x v="2"/>
    <x v="39"/>
    <x v="0"/>
  </r>
  <r>
    <s v="Lenovo V15 G2 (82KDA022IH) Laptop (AMD Hexa Core Ryzen 5/8 GB/512 GB SSD/Windows 11)"/>
    <s v="Lenovo V15 G2 (82KDA022IH) Laptop (AMD Hexa Core Ryzen 5/8 GB/512 GB SSD/Windows 11) price in India"/>
    <x v="406"/>
    <n v="1316"/>
    <n v="84"/>
    <x v="0"/>
    <d v="2023-04-01T00:00:00"/>
    <s v="Intel Core i5 (11th Gen) 2.4 Ghz, Quad-Core"/>
    <s v="Windows 11"/>
    <x v="5"/>
    <s v="15.6&quot; (39.62 cm), 1920 x 1080 px, IPS LCD Display"/>
    <s v="Web Camera"/>
    <m/>
    <s v="HDMI Port"/>
    <m/>
    <m/>
    <x v="5"/>
    <x v="39"/>
    <x v="2"/>
  </r>
  <r>
    <s v="Dell Vostro 3510 (ICC-D585064WIN8) Laptop (Core i3 11th Gen/8 GB/1 TB 256 GB SSD/Windows 11)"/>
    <s v="Dell Vostro 3510 (ICC-D585064WIN8) Laptop (Core i3 11th Gen/8 GB/1 TB 256 GB SSD/Windows 11) price in India"/>
    <x v="483"/>
    <n v="982"/>
    <n v="84"/>
    <x v="0"/>
    <d v="2023-04-01T00:00:00"/>
    <s v="Intel Core i5 (11th Gen) 2.4 Ghz, Quad-Core"/>
    <s v="Windows 11"/>
    <x v="37"/>
    <s v="15.6&quot; (39.62 cm), 1920 x 1080 px, IPS LCD Display"/>
    <s v="Web Camera"/>
    <s v="Slim 18.9 mm"/>
    <s v="HDMI Port"/>
    <m/>
    <m/>
    <x v="6"/>
    <x v="39"/>
    <x v="2"/>
  </r>
  <r>
    <s v="Asus VivoBook Pro 15 M6500QC-HN741WS Laptop (AMD Octa Core Ryzen 7/16 GB/512 GB SSD/Windows 11/4 GB)"/>
    <s v="Asus VivoBook Pro 15 M6500QC-HN741WS Laptop (AMD Octa Core Ryzen 7/16 GB/512 GB SSD/Windows 11/4 GB) price in India"/>
    <x v="256"/>
    <n v="268"/>
    <n v="84"/>
    <x v="0"/>
    <d v="2023-04-01T00:00:00"/>
    <s v="Intel Core i5 (11th Gen) 2.4 Ghz, Quad-Core"/>
    <s v="Windows 11"/>
    <x v="2"/>
    <s v="15.6&quot; (39.62 cm), 1920 x 1080 px, IPS LCD Display"/>
    <s v="Web Camera"/>
    <m/>
    <s v="HDMI Port"/>
    <m/>
    <n v="80"/>
    <x v="2"/>
    <x v="39"/>
    <x v="0"/>
  </r>
  <r>
    <s v="Dell G15-5530 (GN5530VMMD9002ORB1) Laptop (Core i7 13th Gen/16 GB/512 GB SSD/Windows 11/6 GB)"/>
    <s v="Dell G15-5530 (GN5530VMMD9002ORB1) Laptop (Core i7 13th Gen/16 GB/512 GB SSD/Windows 11/6 GB) price in India"/>
    <x v="484"/>
    <n v="11"/>
    <n v="84"/>
    <x v="0"/>
    <d v="2023-04-01T00:00:00"/>
    <s v="Intel Core i5 (11th Gen) 2.4 Ghz, Quad-Core"/>
    <s v="Windows 11"/>
    <x v="6"/>
    <s v="15.6&quot; (39.62 cm), x px Display"/>
    <s v="Web Camera"/>
    <m/>
    <s v="HDMI Port"/>
    <m/>
    <n v="80"/>
    <x v="6"/>
    <x v="39"/>
    <x v="0"/>
  </r>
  <r>
    <s v="Asus VivoBook Go 15 OLED E1504GA-NJ321WS Laptop (Core i3 12th Gen/8 GB/512 GB SSD/Windows 11)"/>
    <s v="Asus VivoBook Go 15 OLED E1504GA-NJ321WS Laptop (Core i3 12th Gen/8 GB/512 GB SSD/Windows 11) price in India"/>
    <x v="337"/>
    <n v="122"/>
    <n v="84"/>
    <x v="0"/>
    <d v="2023-04-01T00:00:00"/>
    <s v="Intel Core i5 (11th Gen) 2.4 Ghz, Quad-Core"/>
    <s v="Windows 11"/>
    <x v="5"/>
    <s v="15.6&quot; (39.62 cm), 1920 x 1080 px, IPS LCD Display"/>
    <s v="Web Camera"/>
    <s v="Slim 17.9 mm"/>
    <s v="HDMI Port"/>
    <m/>
    <n v="73"/>
    <x v="2"/>
    <x v="39"/>
    <x v="2"/>
  </r>
  <r>
    <s v="Asus Vivobook 15X K3504VAB-NJ322WS Laptop (Core i3 13th Gen/8 GB/512 GB SSD/Windows 11)"/>
    <s v="Asus Vivobook 15X K3504VAB-NJ322WS Laptop (Core i3 13th Gen/8 GB/512 GB SSD/Windows 11) price in India"/>
    <x v="176"/>
    <n v="84"/>
    <n v="84"/>
    <x v="0"/>
    <d v="2023-04-01T00:00:00"/>
    <s v="Intel Core i5 (11th Gen) 2.4 Ghz, Quad-Core"/>
    <s v="Windows 11"/>
    <x v="5"/>
    <s v="15.6&quot; (39.62 cm), 1920 x 1080 px, IPS LCD Display"/>
    <s v="Web Camera"/>
    <s v="Slim 17.9 mm"/>
    <s v="HDMI Port"/>
    <m/>
    <n v="73"/>
    <x v="2"/>
    <x v="39"/>
    <x v="2"/>
  </r>
  <r>
    <s v="Asus VivoBook S15 OLED S5504VA-MA554WS Laptop (Core i5 13th Gen/16 GB/1 TB SSD/Windows 11)"/>
    <s v="Asus VivoBook S15 OLED S5504VA-MA554WS Laptop (Core i5 13th Gen/16 GB/1 TB SSD/Windows 11) price in India"/>
    <x v="485"/>
    <n v="75"/>
    <n v="84"/>
    <x v="0"/>
    <d v="2023-04-01T00:00:00"/>
    <s v="Intel Core i5 (11th Gen) 2.4 Ghz, Quad-Core"/>
    <s v="Windows 11"/>
    <x v="21"/>
    <s v="15.6&quot; (39.62 cm), 2880 x 1620 px, OLED Display"/>
    <s v="Web Camera"/>
    <s v="Slim 17 mm"/>
    <s v="HDMI Port"/>
    <m/>
    <n v="79"/>
    <x v="2"/>
    <x v="39"/>
    <x v="0"/>
  </r>
  <r>
    <s v="Asus Vivobook 15X K3504VAB-NJ321WS Laptop (Core i3 13th Gen/8 GB/512 GB SSD/Windows 11)"/>
    <s v="Asus Vivobook 15X K3504VAB-NJ321WS Laptop (Core i3 13th Gen/8 GB/512 GB SSD/Windows 11) price in India"/>
    <x v="486"/>
    <n v="28"/>
    <n v="84"/>
    <x v="0"/>
    <d v="2023-04-01T00:00:00"/>
    <s v="Intel Core i5 (11th Gen) 2.4 Ghz, Quad-Core"/>
    <s v="Windows 11"/>
    <x v="5"/>
    <s v="15.6&quot; (39.62 cm), 1920 x 1080 px, IPS LCD Display"/>
    <s v="Web Camera"/>
    <m/>
    <s v="HDMI Port"/>
    <m/>
    <n v="72"/>
    <x v="2"/>
    <x v="39"/>
    <x v="2"/>
  </r>
  <r>
    <s v="Acer Aspire 5 A515-57 (NX.K3JSI.003) Laptop (Core i5 12th Gen/8 GB/512 GB SSD/Windows 11)"/>
    <s v="Acer Aspire 5 A515-57 (NX.K3JSI.003) Laptop (Core i5 12th Gen/8 GB/512 GB SSD/Windows 11) price in India"/>
    <x v="414"/>
    <n v="84"/>
    <n v="84"/>
    <x v="0"/>
    <d v="2023-04-01T00:00:00"/>
    <s v="Intel Core i5 (11th Gen) 2.4 Ghz, Quad-Core"/>
    <s v="Windows 11"/>
    <x v="5"/>
    <s v="15.6&quot; (39.62 cm), 1920 x 1080 px, IPS LCD Display"/>
    <s v="Web Camera"/>
    <s v="Slim 17.9 mm"/>
    <s v="HDMI Port"/>
    <m/>
    <n v="74"/>
    <x v="1"/>
    <x v="39"/>
    <x v="2"/>
  </r>
  <r>
    <s v="Asus VivoBook Go 14 E1404GA-NK323WS Laptop (Core i3 12th Gen/8 GB/512 GB SSD/Windows 11)"/>
    <s v="Asus VivoBook Go 14 E1404GA-NK323WS Laptop (Core i3 12th Gen/8 GB/512 GB SSD/Windows 11) price in India"/>
    <x v="337"/>
    <n v="396"/>
    <n v="84"/>
    <x v="0"/>
    <d v="2023-04-01T00:00:00"/>
    <s v="Intel Core i5 (11th Gen) 2.4 Ghz, Quad-Core"/>
    <s v="Windows 11"/>
    <x v="5"/>
    <s v="14&quot; (35.56 cm), 1920 x 1080 px, IPS LCD Display"/>
    <s v="Web Camera"/>
    <s v="Slim 17.9 mm"/>
    <s v="HDMI Port"/>
    <m/>
    <n v="78"/>
    <x v="2"/>
    <x v="39"/>
    <x v="2"/>
  </r>
  <r>
    <s v="Asus VivoBook S14 Flip TN3402YAB-LZ541WS Laptop (AMD Hexa Core Ryzen 5/16 GB/512 GB SSD/Windows 11)"/>
    <s v="Asus VivoBook S14 Flip TN3402YAB-LZ541WS Laptop (AMD Hexa Core Ryzen 5/16 GB/512 GB SSD/Windows 11) price in India"/>
    <x v="266"/>
    <n v="144"/>
    <n v="84"/>
    <x v="0"/>
    <d v="2023-03-01T00:00:00"/>
    <s v="Intel Core i5 (11th Gen) 2.4 Ghz, Quad-Core"/>
    <s v="Windows 11"/>
    <x v="2"/>
    <s v="14&quot; (35.56 cm), 1920 x 1200 px, IPS LCD Display"/>
    <s v="Web Camera"/>
    <s v="Slim 18.9 mm"/>
    <m/>
    <m/>
    <m/>
    <x v="2"/>
    <x v="39"/>
    <x v="0"/>
  </r>
  <r>
    <s v="MSI Modern 14 C12M-440IN Laptop (Core i5 12th Gen/8 GB/512 GB SSD/Windows 11)"/>
    <s v="MSI Modern 14 C12M-440IN Laptop (Core i5 12th Gen/8 GB/512 GB SSD/Windows 11) price in India"/>
    <x v="487"/>
    <n v="773"/>
    <n v="84"/>
    <x v="0"/>
    <d v="2023-03-01T00:00:00"/>
    <s v="Intel Core i5 (11th Gen) 2.4 Ghz, Quad-Core"/>
    <s v="Windows 11"/>
    <x v="5"/>
    <s v="14&quot; (35.56 cm), 1920 x 1080 px, IPS LCD Display"/>
    <s v="Web Camera"/>
    <s v="Slim 19.3 mm"/>
    <s v="HDMI Port"/>
    <m/>
    <n v="74"/>
    <x v="3"/>
    <x v="39"/>
    <x v="2"/>
  </r>
  <r>
    <s v="MSI Modern 14 C11M-030IN Laptop (Core i5 11th Gen/8 GB/512 GB SSD/Windows 11)"/>
    <s v="MSI Modern 14 C11M-030IN Laptop (Core i5 11th Gen/8 GB/512 GB SSD/Windows 11) price in India"/>
    <x v="413"/>
    <n v="1324"/>
    <n v="84"/>
    <x v="0"/>
    <d v="2023-03-01T00:00:00"/>
    <s v="Intel Core i5 (11th Gen) 2.4 Ghz, Quad-Core"/>
    <s v="Windows 11"/>
    <x v="5"/>
    <s v="14&quot; (35.56 cm), 1920 x 1080 px, IPS LCD Display"/>
    <s v="Web Camera"/>
    <s v="Slim 19.3 mm"/>
    <s v="HDMI Port"/>
    <m/>
    <n v="72"/>
    <x v="3"/>
    <x v="39"/>
    <x v="2"/>
  </r>
  <r>
    <s v="Dell Vostro 5620 (M552319WIN9S) Laptop (Core i7 12th Gen/16 GB/512 GB SSD/Windows 11/2 GB)"/>
    <s v="Dell Vostro 5620 (M552319WIN9S) Laptop (Core i7 12th Gen/16 GB/512 GB SSD/Windows 11/2 GB) price in India"/>
    <x v="488"/>
    <n v="5"/>
    <n v="84"/>
    <x v="0"/>
    <d v="2023-03-01T00:00:00"/>
    <s v="Intel Core i5 (11th Gen) 2.4 Ghz, Quad-Core"/>
    <s v="Windows 11"/>
    <x v="2"/>
    <s v="16&quot; (40.64 cm), 1920 x 1080 px, IPS LCD Display"/>
    <s v="Web Camera"/>
    <s v="Slim 18.3 mm"/>
    <m/>
    <m/>
    <n v="80"/>
    <x v="6"/>
    <x v="39"/>
    <x v="0"/>
  </r>
  <r>
    <s v="Asus VivoBook Go 15 E1504FA-NJ322WS Laptop (AMD Quad Core Ryzen 3/8 GB/512 GB SSD/Windows 11)"/>
    <s v="Asus VivoBook Go 15 E1504FA-NJ322WS Laptop (AMD Quad Core Ryzen 3/8 GB/512 GB SSD/Windows 11) price in India"/>
    <x v="489"/>
    <n v="3752"/>
    <n v="84"/>
    <x v="0"/>
    <d v="2023-03-01T00:00:00"/>
    <s v="Intel Core i5 (11th Gen) 2.5 Ghz, Quad-Core"/>
    <s v="Windows 11"/>
    <x v="20"/>
    <s v="15.6&quot; (39.62 cm), 1920 x 1080 px, IPS LCD Display"/>
    <s v="Web Camera"/>
    <s v="Slim 17.9 mm"/>
    <s v="HDMI Port"/>
    <m/>
    <n v="74"/>
    <x v="2"/>
    <x v="39"/>
    <x v="2"/>
  </r>
  <r>
    <s v="Asus VivoBook Go 15 E1504FA-NJ323WS Laptop (AMD Quad Core Ryzen 3/8 GB/512 GB SSD/Windows 11)"/>
    <s v="Asus VivoBook Go 15 E1504FA-NJ323WS Laptop (AMD Quad Core Ryzen 3/8 GB/512 GB SSD/Windows 11) price in India"/>
    <x v="490"/>
    <n v="3752"/>
    <n v="84"/>
    <x v="0"/>
    <d v="2023-03-01T00:00:00"/>
    <s v="Intel Core i5 (11th Gen) 2.5 Ghz, Quad-Core"/>
    <s v="Windows 11"/>
    <x v="20"/>
    <s v="15.6&quot; (39.62 cm), 1920 x 1080 px, IPS LCD Display"/>
    <s v="Web Camera"/>
    <s v="Slim 17.9 mm"/>
    <s v="HDMI Port"/>
    <m/>
    <m/>
    <x v="2"/>
    <x v="39"/>
    <x v="2"/>
  </r>
  <r>
    <s v="Primebook 4G Laptop (MediaTek Octa Core/4 GB/64 GB eMMC/Prime OS)"/>
    <s v="Primebook 4G Laptop (MediaTek Octa Core/4 GB/64 GB eMMC/Prime OS) price in India"/>
    <x v="404"/>
    <n v="2837"/>
    <n v="84"/>
    <x v="0"/>
    <d v="2023-03-01T00:00:00"/>
    <s v="Intel Core i5 (11th Gen) 2.5 Ghz, Quad-Core"/>
    <s v="Prime OS"/>
    <x v="66"/>
    <s v="11.6&quot; (29.46 cm), 1366 x 768 px, IPS LCD Display"/>
    <s v="Web Camera"/>
    <s v="Slim 19.3 mm"/>
    <s v="HDMI Port"/>
    <s v="2 USB Ports"/>
    <m/>
    <x v="13"/>
    <x v="39"/>
    <x v="7"/>
  </r>
  <r>
    <s v="Primebook 4G Laptop (MediaTek Octa Core/4 GB/128 GB eMMC/Prime OS)"/>
    <s v="Primebook 4G Laptop (MediaTek Octa Core/4 GB/128 GB eMMC/Prime OS) price in India"/>
    <x v="491"/>
    <n v="1922"/>
    <n v="84"/>
    <x v="0"/>
    <d v="2023-03-01T00:00:00"/>
    <s v="Intel Core i5 (11th Gen) 2.5 Ghz, Quad-Core"/>
    <s v="Prime OS"/>
    <x v="66"/>
    <s v="11.6&quot; (29.46 cm), 1366 x 768 px, IPS LCD Display"/>
    <s v="Web Camera"/>
    <s v="Slim 19.3 mm"/>
    <s v="HDMI Port"/>
    <s v="2 USB Ports"/>
    <m/>
    <x v="13"/>
    <x v="39"/>
    <x v="7"/>
  </r>
  <r>
    <s v="Asus VivoBook 14 X415EA-EK326WS Laptop (Core i3 11th Gen/8 GB/512 GB SSD/Windows 11)"/>
    <s v="Asus VivoBook 14 X415EA-EK326WS Laptop (Core i3 11th Gen/8 GB/512 GB SSD/Windows 11) price in India"/>
    <x v="425"/>
    <n v="491"/>
    <n v="84"/>
    <x v="0"/>
    <d v="2023-03-01T00:00:00"/>
    <s v="Intel Core i5 (11th Gen) 2.5 Ghz, Quad-Core"/>
    <s v="Windows 11"/>
    <x v="5"/>
    <s v="14&quot; (35.56 cm), 1920 x 1080 px, IPS LCD Display"/>
    <s v="Web Camera"/>
    <m/>
    <s v="HDMI Port"/>
    <m/>
    <m/>
    <x v="2"/>
    <x v="39"/>
    <x v="2"/>
  </r>
  <r>
    <s v="Infinix INBook Y1 Plus XL28 Laptop (Core i3 10th Gen/8 GB/256 GB SSD/Windows 11)"/>
    <s v="Infinix INBook Y1 Plus XL28 Laptop (Core i3 10th Gen/8 GB/256 GB SSD/Windows 11) price in India"/>
    <x v="492"/>
    <n v="4516"/>
    <n v="84"/>
    <x v="0"/>
    <d v="2023-02-01T00:00:00"/>
    <s v="Intel Core i5 (11th Gen) 2.5 Ghz, Quad-Core"/>
    <s v="Windows 11"/>
    <x v="57"/>
    <s v="15.6&quot; (39.62 cm), 1920 x 1080 px, IPS LCD Display"/>
    <s v="Web Camera"/>
    <s v="Slim 18.2 mm"/>
    <s v="HDMI Port"/>
    <s v="2 USB Ports"/>
    <n v="71"/>
    <x v="10"/>
    <x v="39"/>
    <x v="2"/>
  </r>
  <r>
    <s v="HP 14s-ef1002TU (6Q121PA) Laptop (Core i3 11th Gen/8 GB/512 GB SSD/Windows 11)"/>
    <s v="HP 14s-ef1002TU (6Q121PA) Laptop (Core i3 11th Gen/8 GB/512 GB SSD/Windows 11) price in India"/>
    <x v="155"/>
    <n v="73"/>
    <n v="84"/>
    <x v="0"/>
    <d v="2023-02-01T00:00:00"/>
    <s v="Intel Core i5 (11th Gen) 2.5 Ghz, Quad-Core"/>
    <s v="Windows 11"/>
    <x v="5"/>
    <s v="14&quot; (35.56 cm), 1920 x 1080 px, IPS LCD Display"/>
    <s v="Web Camera"/>
    <s v="Slim 19.9 mm"/>
    <s v="HDMI Port"/>
    <m/>
    <m/>
    <x v="7"/>
    <x v="39"/>
    <x v="2"/>
  </r>
  <r>
    <s v="HP Victus 16-d0310TX (7K4X0PA) Laptop (Core i5 11th Gen/8 GB/512 GB SSD/Windows 11/4 GB)"/>
    <s v="HP Victus 16-d0310TX (7K4X0PA) Laptop (Core i5 11th Gen/8 GB/512 GB SSD/Windows 11/4 GB) price in India"/>
    <x v="266"/>
    <n v="892"/>
    <n v="84"/>
    <x v="0"/>
    <d v="2023-02-01T00:00:00"/>
    <s v="Intel Core i5 (11th Gen) 2.5 Ghz, Quad-Core"/>
    <s v="Windows 11"/>
    <x v="5"/>
    <s v="16.1&quot; (40.89 cm), 1920 x 1080 px, IPS LCD Display"/>
    <s v="Web Camera"/>
    <m/>
    <s v="HDMI Port"/>
    <m/>
    <n v="76"/>
    <x v="7"/>
    <x v="39"/>
    <x v="2"/>
  </r>
  <r>
    <s v="HP Victus 16-e0333TX (7K4H5PA) Laptop (AMD Hexa Core Ryzen 5/16 GB/512 GB SSD/Windows 11/6 GB)"/>
    <s v="HP Victus 16-e0333TX (7K4H5PA) Laptop (AMD Hexa Core Ryzen 5/16 GB/512 GB SSD/Windows 11/6 GB) price in India"/>
    <x v="255"/>
    <n v="25"/>
    <n v="84"/>
    <x v="0"/>
    <d v="2023-02-01T00:00:00"/>
    <s v="Intel Core i5 (11th Gen) 2.7 Ghz, Hexa-Core"/>
    <s v="Windows 11"/>
    <x v="2"/>
    <s v="16.1&quot; (40.89 cm), 1920 x 1080 px, IPS LCD Display"/>
    <s v="Web Camera"/>
    <m/>
    <s v="HDMI Port"/>
    <m/>
    <n v="82"/>
    <x v="7"/>
    <x v="39"/>
    <x v="0"/>
  </r>
  <r>
    <s v="MSI Katana 17 B13VFK-253IN Laptop (Core i7 13th Gen/16 GB/1 TB SSD/Windows 11/8 GB)"/>
    <s v="MSI Katana 17 B13VFK-253IN Laptop (Core i7 13th Gen/16 GB/1 TB SSD/Windows 11/8 GB) price in India"/>
    <x v="165"/>
    <n v="32"/>
    <n v="84"/>
    <x v="0"/>
    <d v="2023-02-01T00:00:00"/>
    <s v="Intel Core i5 (11th Gen) 2.7 Ghz, Hexa-Core"/>
    <s v="Windows 11"/>
    <x v="10"/>
    <s v="17.3&quot; (43.94 cm), 1920 x 1080 px Display"/>
    <s v="Web Camera"/>
    <m/>
    <s v="HDMI Port"/>
    <m/>
    <m/>
    <x v="3"/>
    <x v="39"/>
    <x v="0"/>
  </r>
  <r>
    <s v="Infinix Zero Book ZL12 Laptop (Core i5 12th Gen/16 GB/512 GB SSD/Windows 11)"/>
    <s v="Infinix Zero Book ZL12 Laptop (Core i5 12th Gen/16 GB/512 GB SSD/Windows 11) price in India"/>
    <x v="349"/>
    <n v="123"/>
    <n v="84"/>
    <x v="0"/>
    <d v="2023-02-01T00:00:00"/>
    <s v="Intel Core i5 (11th Gen) 2.7 Ghz, Hexa-Core"/>
    <s v="Windows 11"/>
    <x v="17"/>
    <s v="15.6&quot; (39.62 cm), 1920 x 1080 px, IPS LCD Display"/>
    <s v="Web Camera"/>
    <s v="Slim 16.9 mm"/>
    <s v="HDMI Port"/>
    <s v="2 USB Ports"/>
    <n v="77"/>
    <x v="10"/>
    <x v="39"/>
    <x v="0"/>
  </r>
  <r>
    <s v="Infinix Zero Book Ultra ZL12 Laptop (Core i9 12th Gen/32 GB/1 TB SSD/Windows 11)"/>
    <s v="Infinix Zero Book Ultra ZL12 Laptop (Core i9 12th Gen/32 GB/1 TB SSD/Windows 11) price in India"/>
    <x v="151"/>
    <n v="66"/>
    <n v="84"/>
    <x v="0"/>
    <d v="2023-02-01T00:00:00"/>
    <s v="Intel Core i5 (11th Gen) 2.7 Ghz, Hexa-Core"/>
    <s v="Windows 11"/>
    <x v="46"/>
    <s v="15.6&quot; (39.62 cm), 1920 x 1080 px, IPS LCD Display"/>
    <s v="Web Camera"/>
    <s v="Slim 16.9 mm"/>
    <s v="HDMI Port"/>
    <s v="2 USB Ports"/>
    <n v="80"/>
    <x v="10"/>
    <x v="39"/>
    <x v="3"/>
  </r>
  <r>
    <s v="Asus VivoBook Go 14 E1404FA-NK331W Laptop (AMD Quad Core Ryzen 3/8 GB/1 TB SSD/Windows 11)"/>
    <s v="Asus VivoBook Go 14 E1404FA-NK331W Laptop (AMD Quad Core Ryzen 3/8 GB/1 TB SSD/Windows 11) price in India"/>
    <x v="493"/>
    <n v="23"/>
    <n v="84"/>
    <x v="0"/>
    <d v="2023-02-01T00:00:00"/>
    <s v="Intel Core i5 (11th Gen) 2.7 Ghz, Hexa-Core"/>
    <s v="Windows 11"/>
    <x v="65"/>
    <s v="14&quot; (35.56 cm), 1920 x 1080 px, IPS LCD Display"/>
    <s v="Web Camera"/>
    <s v="Slim 17.9 mm"/>
    <s v="HDMI Port"/>
    <m/>
    <n v="77"/>
    <x v="2"/>
    <x v="39"/>
    <x v="2"/>
  </r>
  <r>
    <s v="Samsung Galaxy Book 3 Pro 360 NP960QFG-KA1IN Laptop (Core i7 13th Gen/16 GB/512 GB SSD/Windows 11)"/>
    <s v="Samsung Galaxy Book 3 Pro 360 NP960QFG-KA1IN Laptop (Core i7 13th Gen/16 GB/512 GB SSD/Windows 11) price in India"/>
    <x v="494"/>
    <n v="25"/>
    <n v="84"/>
    <x v="0"/>
    <d v="2023-02-01T00:00:00"/>
    <s v="Intel Core i5 (11th Gen) 2.7 Ghz, Hexa-Core"/>
    <s v="Windows 11"/>
    <x v="28"/>
    <s v="16&quot; (40.64 cm), 2880 x 1800 px, AMOLED Display"/>
    <s v="Web Camera"/>
    <s v="Slim 12.7 mm"/>
    <s v="HDMI Port"/>
    <m/>
    <n v="77"/>
    <x v="8"/>
    <x v="39"/>
    <x v="0"/>
  </r>
  <r>
    <s v="Samsung Galaxy Book 3 Pro 360 NP960QFG-KA2IN Laptop (Core i5 13th Gen/16 GB/512 GB SSD/Windows 11)"/>
    <s v="Samsung Galaxy Book 3 Pro 360 NP960QFG-KA2IN Laptop (Core i5 13th Gen/16 GB/512 GB SSD/Windows 11) price in India"/>
    <x v="495"/>
    <n v="25"/>
    <n v="84"/>
    <x v="0"/>
    <d v="2023-02-01T00:00:00"/>
    <s v="Intel Core i5 (11th Gen) 2.7 Ghz, Hexa-Core"/>
    <s v="Windows 11"/>
    <x v="28"/>
    <s v="16&quot; (40.64 cm), 2880 x 1800 px, AMOLED Display"/>
    <s v="Web Camera"/>
    <s v="Slim 13 mm"/>
    <s v="HDMI Port"/>
    <m/>
    <n v="75"/>
    <x v="8"/>
    <x v="39"/>
    <x v="0"/>
  </r>
  <r>
    <s v="HP 14s-dq5007TU (695R9PA) Laptop (Core i5 12th Gen/8 GB/512 GB SSD/Windows 11)"/>
    <s v="HP 14s-dq5007TU (695R9PA) Laptop (Core i5 12th Gen/8 GB/512 GB SSD/Windows 11) price in India"/>
    <x v="236"/>
    <n v="918"/>
    <n v="84"/>
    <x v="0"/>
    <d v="2023-01-01T00:00:00"/>
    <s v="Intel Core i5 (11th Gen) 2.7 Ghz, Hexa-Core"/>
    <s v="Windows 11"/>
    <x v="5"/>
    <s v="14&quot; (35.56 cm), 1920 x 1080 px, IPS LCD Display"/>
    <s v="Web Camera"/>
    <s v="Slim 17.9 mm"/>
    <s v="HDMI Port"/>
    <m/>
    <n v="76"/>
    <x v="7"/>
    <x v="39"/>
    <x v="2"/>
  </r>
  <r>
    <s v="Infinix Zero Book Ultra Laptop (Core i9 12th Gen/16 GB/512 GB SSD/Windows 11)"/>
    <s v="Infinix Zero Book Ultra Laptop (Core i9 12th Gen/16 GB/512 GB SSD/Windows 11) price in India"/>
    <x v="134"/>
    <n v="66"/>
    <n v="84"/>
    <x v="0"/>
    <d v="2023-01-01T00:00:00"/>
    <s v="Intel Core i5 (11th Gen) 2.7 Ghz, Hexa-Core"/>
    <s v="Windows 11"/>
    <x v="17"/>
    <s v="15.6&quot; (39.62 cm), 1920 x 1080 px, IPS LCD Display"/>
    <s v="Web Camera"/>
    <s v="Slim 16.9 mm"/>
    <s v="HDMI Port"/>
    <s v="2 USB Ports"/>
    <n v="79"/>
    <x v="10"/>
    <x v="39"/>
    <x v="0"/>
  </r>
  <r>
    <s v="Asus VivoBook 15 X515EA-EJ701WS Laptop (Core i7 11th Gen/16 GB/512 GB SSD/Windows 11)"/>
    <s v="Asus VivoBook 15 X515EA-EJ701WS Laptop (Core i7 11th Gen/16 GB/512 GB SSD/Windows 11) price in India"/>
    <x v="496"/>
    <n v="567"/>
    <n v="84"/>
    <x v="0"/>
    <d v="2023-01-01T00:00:00"/>
    <s v="Intel Core i5 (11th Gen) 2.7 Ghz, Hexa-Core"/>
    <s v="Windows 11"/>
    <x v="2"/>
    <s v="15.6&quot; (39.62 cm), 1920 x 1080 px, IPS LCD Display"/>
    <s v="Web Camera"/>
    <s v="Slim 19.9 mm"/>
    <s v="HDMI Port"/>
    <m/>
    <n v="73"/>
    <x v="2"/>
    <x v="39"/>
    <x v="0"/>
  </r>
  <r>
    <s v="HP 15s-fq2717TU (7G6H3PA) Laptop (Core i3 11th Gen/8 GB/512 GB SSD/Windows 11)"/>
    <s v="HP 15s-fq2717TU (7G6H3PA) Laptop (Core i3 11th Gen/8 GB/512 GB SSD/Windows 11) price in India"/>
    <x v="497"/>
    <n v="1278"/>
    <n v="84"/>
    <x v="0"/>
    <d v="2023-01-01T00:00:00"/>
    <s v="Intel Core i5 (11th Gen) 2.7 Ghz, Hexa-Core"/>
    <s v="Windows 11"/>
    <x v="5"/>
    <s v="15.6&quot; (39.62 cm), 1920 x 1080 px, IPS LCD Display"/>
    <s v="Web Camera"/>
    <s v="Slim 17.9 mm"/>
    <s v="HDMI Port"/>
    <m/>
    <n v="74"/>
    <x v="7"/>
    <x v="39"/>
    <x v="2"/>
  </r>
  <r>
    <s v="HP Victus 16-d0311TX (7K4X1PA) Laptop (Core i5 11th Gen/16 GB/512 GB SSD/Windows 11/4 GB)"/>
    <s v="HP Victus 16-d0311TX (7K4X1PA) Laptop (Core i5 11th Gen/16 GB/512 GB SSD/Windows 11/4 GB) price in India"/>
    <x v="365"/>
    <n v="892"/>
    <n v="84"/>
    <x v="0"/>
    <d v="2023-01-01T00:00:00"/>
    <s v="Intel Core i5 (11th Gen) 2.7 Ghz, Hexa-Core"/>
    <s v="Windows 11"/>
    <x v="2"/>
    <s v="16.1&quot; (40.89 cm), 1920 x 1080 px, IPS LCD Display"/>
    <s v="Web Camera"/>
    <m/>
    <s v="HDMI Port"/>
    <m/>
    <n v="77"/>
    <x v="7"/>
    <x v="39"/>
    <x v="0"/>
  </r>
  <r>
    <s v="HP Envy x360 Intel Evo 15-ew0040TU (7G6F2PA) Laptop (Core i5 12th Gen/16 GB/512 GB SSD/Windows 11)"/>
    <s v="HP Envy x360 Intel Evo 15-ew0040TU (7G6F2PA) Laptop (Core i5 12th Gen/16 GB/512 GB SSD/Windows 11) price in India"/>
    <x v="254"/>
    <n v="26"/>
    <n v="84"/>
    <x v="0"/>
    <d v="2023-01-01T00:00:00"/>
    <s v="Intel Core i5 (11th Gen) 2.7 Ghz, Hexa-Core"/>
    <s v="Windows 11"/>
    <x v="2"/>
    <s v="15.6&quot; (39.62 cm), 1920 x 1080 px, IPS LCD Display"/>
    <s v="Web Camera"/>
    <s v="Slim 18.6 mm"/>
    <s v="HDMI Port"/>
    <m/>
    <n v="75"/>
    <x v="7"/>
    <x v="39"/>
    <x v="0"/>
  </r>
  <r>
    <s v="Dell Inspiron 15 3520 (D560869WIN9B) Laptop (Core i3 12th Gen/8 GB/256 GB SSD/Windows 11)"/>
    <s v="Dell Inspiron 15 3520 (D560869WIN9B) Laptop (Core i3 12th Gen/8 GB/256 GB SSD/Windows 11) price in India"/>
    <x v="498"/>
    <n v="26"/>
    <n v="84"/>
    <x v="0"/>
    <d v="2022-12-01T00:00:00"/>
    <s v="Intel Core i5 (11th Gen) 2.9 Ghz, Hexa-Core"/>
    <s v="Windows 11"/>
    <x v="38"/>
    <s v="15.6&quot; (39.62 cm), 1920 x 1080 px, IPS LCD Display"/>
    <s v="Web Camera"/>
    <s v="Slim 17 mm"/>
    <s v="HDMI Port"/>
    <s v="1 USB Ports"/>
    <n v="71"/>
    <x v="6"/>
    <x v="39"/>
    <x v="2"/>
  </r>
  <r>
    <s v="Lenovo V15 (82KBA03HIH) Laptop (Core i3 11th Gen/8 GB/1 TB 256 GB SSD/Windows 11)"/>
    <s v="Lenovo V15 (82KBA03HIH) Laptop (Core i3 11th Gen/8 GB/1 TB 256 GB SSD/Windows 11) price in India"/>
    <x v="499"/>
    <n v="224"/>
    <n v="84"/>
    <x v="0"/>
    <d v="2022-12-01T00:00:00"/>
    <s v="Intel Core i5 (11th Gen) 2.9 Ghz, Hexa-Core"/>
    <s v="Windows 11"/>
    <x v="37"/>
    <s v="15.6&quot; (39.62 cm), 1920 x 1080 px, IPS LCD Display"/>
    <s v="Web Camera"/>
    <s v="Slim 19.9 mm"/>
    <s v="HDMI Port"/>
    <m/>
    <m/>
    <x v="5"/>
    <x v="39"/>
    <x v="2"/>
  </r>
  <r>
    <s v="HP 15s-fq5007TU (67V50PA) Laptop (Core i3 12th Gen/8 GB/512 GB SSD/Windows 11)"/>
    <s v="HP 15s-fq5007TU (67V50PA) Laptop (Core i3 12th Gen/8 GB/512 GB SSD/Windows 11) price in India"/>
    <x v="500"/>
    <n v="6051"/>
    <n v="84"/>
    <x v="0"/>
    <d v="2022-12-01T00:00:00"/>
    <s v="Intel Core i5 (11th Gen) 3.0 Ghz, Quad-Core"/>
    <s v="Windows 11"/>
    <x v="5"/>
    <s v="15.6&quot; (39.62 cm), 1920 x 1080 px, IPS LCD Display"/>
    <s v="Web Camera"/>
    <s v="Slim 17.9 mm"/>
    <s v="HDMI Port"/>
    <m/>
    <n v="77"/>
    <x v="7"/>
    <x v="39"/>
    <x v="2"/>
  </r>
  <r>
    <s v="HP Envy x360 Intel Evo 13-bf0085TU (726X6PA) Laptop (Core i5 12th Gen/8 GB/512 GB SSD/Windows 11)"/>
    <s v="HP Envy x360 Intel Evo 13-bf0085TU (726X6PA) Laptop (Core i5 12th Gen/8 GB/512 GB SSD/Windows 11) price in India"/>
    <x v="254"/>
    <n v="112"/>
    <n v="84"/>
    <x v="0"/>
    <d v="2022-12-01T00:00:00"/>
    <s v="Intel Core i5 (11th Gen) 3.1 Ghz, Quad-Core"/>
    <s v="Windows 11"/>
    <x v="48"/>
    <s v="13.3&quot; (33.78 cm), 1920 x 1200 px, IPS LCD Display"/>
    <s v="Web Camera"/>
    <s v="Slim 16.1 mm"/>
    <s v="HDMI Port"/>
    <s v="2 USB Ports"/>
    <n v="75"/>
    <x v="7"/>
    <x v="39"/>
    <x v="2"/>
  </r>
  <r>
    <s v="Acer Aspire 5 A515-56 (NX.A1GSI.00D) Laptop (Core i5 11th Gen/8 GB/512 GB SSD/Windows 11)"/>
    <s v="Acer Aspire 5 A515-56 (NX.A1GSI.00D) Laptop (Core i5 11th Gen/8 GB/512 GB SSD/Windows 11) price in India"/>
    <x v="21"/>
    <n v="369"/>
    <n v="84"/>
    <x v="0"/>
    <d v="2022-11-01T00:00:00"/>
    <s v="Intel Core i5 (11th Gen) 3.1 Ghz, Quad-Core"/>
    <s v="Windows 11"/>
    <x v="5"/>
    <s v="15.6&quot; (39.62 cm), 1920 x 1080 px, LED Display"/>
    <s v="Web Camera"/>
    <s v="Slim 17.9 mm"/>
    <s v="HDMI Port"/>
    <s v="1 USB Ports"/>
    <n v="71"/>
    <x v="1"/>
    <x v="39"/>
    <x v="2"/>
  </r>
  <r>
    <s v="Asus TUF Gaming F15 FX566HM-AZ096TS Laptop (Core i9 11th Gen/16 GB/1 TB SSD/Windows 10/6 GB)"/>
    <s v="Asus TUF Gaming F15 FX566HM-AZ096TS Laptop (Core i9 11th Gen/16 GB/1 TB SSD/Windows 10/6 GB) price in India"/>
    <x v="116"/>
    <n v="26"/>
    <n v="84"/>
    <x v="0"/>
    <d v="2022-11-01T00:00:00"/>
    <s v="Intel Core i5 (11th Gen) 3.1 Ghz, Quad-Core"/>
    <s v="Windows 10"/>
    <x v="23"/>
    <s v="15.6&quot; (39.62 cm), 1920 x 1080 px, LED Display"/>
    <s v="Web Camera"/>
    <m/>
    <s v="HDMI Port"/>
    <s v="3 USB Ports"/>
    <n v="82"/>
    <x v="2"/>
    <x v="39"/>
    <x v="0"/>
  </r>
  <r>
    <s v="Lenovo Legion 5 Pro 16ACH6H (82JQ011EIN) Laptop (AMD Octa Core Ryzen 7/32 GB/1 TB SSD/Windows 11/8 GB)"/>
    <s v="Lenovo Legion 5 Pro 16ACH6H (82JQ011EIN) Laptop (AMD Octa Core Ryzen 7/32 GB/1 TB SSD/Windows 11/8 GB) price in India"/>
    <x v="501"/>
    <n v="111"/>
    <n v="84"/>
    <x v="0"/>
    <d v="2022-11-01T00:00:00"/>
    <s v="Intel Core i5 (11th Gen) 3.1 Ghz, Quad-Core"/>
    <s v="Windows 11"/>
    <x v="67"/>
    <s v="16&quot; (40.64 cm), 2560 x 1600 px, IPS LCD Display"/>
    <s v="Web Camera"/>
    <m/>
    <s v="HDMI Port"/>
    <m/>
    <n v="84"/>
    <x v="5"/>
    <x v="39"/>
    <x v="3"/>
  </r>
  <r>
    <s v="Asus VivoBook Pro 15 OLED M3500QC-L1502WS Laptop (AMD Hexa Core Ryzen 5/16 GB/512 SSD/Windows 11)"/>
    <s v="Asus VivoBook Pro 15 OLED M3500QC-L1502WS Laptop (AMD Hexa Core Ryzen 5/16 GB/512 SSD/Windows 11) price in India"/>
    <x v="106"/>
    <n v="63"/>
    <n v="84"/>
    <x v="0"/>
    <d v="2022-11-01T00:00:00"/>
    <s v="Intel Core i5 (11th Gen) 3.1 Ghz, Quad-Core"/>
    <s v="Windows 11"/>
    <x v="68"/>
    <s v="15.6&quot; (39.62 cm), 1920 x 1080 px, OLED Display"/>
    <s v="Web Camera"/>
    <s v="Slim 19.9 mm"/>
    <s v="HDMI Port"/>
    <s v="4 USB Ports"/>
    <m/>
    <x v="2"/>
    <x v="39"/>
    <x v="0"/>
  </r>
  <r>
    <s v="Lenovo V15 Gen 2 (82KBA02UIH) Laptop (Core i3 11th Gen/8 GB/256 GB SSD/Windows 11)"/>
    <s v="Lenovo V15 Gen 2 (82KBA02UIH) Laptop (Core i3 11th Gen/8 GB/256 GB SSD/Windows 11) price in India"/>
    <x v="502"/>
    <n v="20"/>
    <n v="84"/>
    <x v="0"/>
    <d v="2022-11-01T00:00:00"/>
    <s v="Intel Core i5 (11th Gen) 3.3 Ghz, Quad-Core"/>
    <s v="Windows 11"/>
    <x v="38"/>
    <s v="15.6&quot; (39.62 cm), 1920 x 1080 px, TN LCD Display"/>
    <s v="Web Camera"/>
    <s v="Slim 20 mm"/>
    <s v="HDMI Port"/>
    <m/>
    <m/>
    <x v="5"/>
    <x v="39"/>
    <x v="2"/>
  </r>
  <r>
    <s v="Asus ROG Zephyrus G14 GA401QM-K2330TS Laptop (AMD Octa Core Ryzen 9/16 GB/1 TB SSD/Windows 10/6 GB)"/>
    <s v="Asus ROG Zephyrus G14 GA401QM-K2330TS Laptop (AMD Octa Core Ryzen 9/16 GB/1 TB SSD/Windows 10/6 GB) price in India"/>
    <x v="503"/>
    <n v="23"/>
    <n v="84"/>
    <x v="0"/>
    <d v="2022-11-01T00:00:00"/>
    <s v="Intel Core i5 (11th Gen) 3.3 Ghz, Quad-Core"/>
    <s v="Windows 10"/>
    <x v="23"/>
    <s v="14&quot; (35.56 cm), 2560 x 1440 px, IPS LCD Display"/>
    <m/>
    <s v="Slim 19.9 mm"/>
    <s v="HDMI Port"/>
    <s v="3 USB Ports"/>
    <n v="84"/>
    <x v="2"/>
    <x v="39"/>
    <x v="0"/>
  </r>
  <r>
    <s v="Acer Swift Go SFG14-41 (NX.KG3SI.002) Laptop (AMD Hexa Core Ryzen 5/8 GB/512 GB SSD/Windows 11)"/>
    <s v="Acer Swift Go SFG14-41 (NX.KG3SI.002) Laptop (AMD Hexa Core Ryzen 5/8 GB/512 GB SSD/Windows 11) price in India"/>
    <x v="504"/>
    <n v="34"/>
    <n v="84"/>
    <x v="0"/>
    <d v="2022-10-01T00:00:00"/>
    <s v="Intel Core i5 (11th Gen) 3.3 Ghz, Quad-Core"/>
    <s v="Windows 11"/>
    <x v="48"/>
    <s v="14&quot; (35.56 cm), 1920 x 1080 px, IPS LCD Display"/>
    <s v="Web Camera"/>
    <s v="Slim 15.9 mm"/>
    <s v="HDMI Port"/>
    <m/>
    <m/>
    <x v="1"/>
    <x v="39"/>
    <x v="2"/>
  </r>
  <r>
    <s v="Infinix INBook X2 Plus XL25 Laptop (Core i3 11th Gen/8 GB/256 GB SSD/Windows 11)"/>
    <s v="Infinix INBook X2 Plus XL25 Laptop (Core i3 11th Gen/8 GB/256 GB SSD/Windows 11) price in India"/>
    <x v="505"/>
    <n v="618"/>
    <n v="84"/>
    <x v="0"/>
    <d v="2022-10-01T00:00:00"/>
    <s v="Intel Core i5 (11th Gen) 4.2 Ghz, Hexa-Core"/>
    <s v="Windows 11"/>
    <x v="57"/>
    <s v="15.6&quot; (39.62 cm), 1920 x 1080 px, IPS LCD Display"/>
    <s v="Web Camera"/>
    <m/>
    <s v="HDMI Port"/>
    <s v="2 USB Ports"/>
    <m/>
    <x v="10"/>
    <x v="39"/>
    <x v="2"/>
  </r>
  <r>
    <s v="Dell Vostro 3425 (D552306WIN9BE) Laptop (AMD Hexa Core Ryzen 5/8 GB/512 GB SSD/Windows 11)"/>
    <s v="Dell Vostro 3425 (D552306WIN9BE) Laptop (AMD Hexa Core Ryzen 5/8 GB/512 GB SSD/Windows 11) price in India"/>
    <x v="506"/>
    <n v="34"/>
    <n v="84"/>
    <x v="0"/>
    <d v="2022-10-01T00:00:00"/>
    <s v="Intel Core i5 (11th Gen) 4.2 Ghz, Hexa-Core"/>
    <s v="Windows 11"/>
    <x v="5"/>
    <s v="14&quot; (35.56 cm), 1920 x 1080 px, IPS LCD Display"/>
    <s v="Web Camera"/>
    <m/>
    <s v="HDMI Port"/>
    <m/>
    <m/>
    <x v="6"/>
    <x v="39"/>
    <x v="2"/>
  </r>
  <r>
    <s v="Dell Vostro 5625 (D552295WIN9S) Laptop (AMD Hexa Core Ryzen 5/8 GB/512 GB SSD/Windows 11)"/>
    <s v="Dell Vostro 5625 (D552295WIN9S) Laptop (AMD Hexa Core Ryzen 5/8 GB/512 GB SSD/Windows 11) price in India"/>
    <x v="507"/>
    <n v="4"/>
    <n v="84"/>
    <x v="0"/>
    <d v="2022-10-01T00:00:00"/>
    <s v="Intel Core i5 (11th Gen) 4.2 Ghz, Hexa-Core"/>
    <s v="Windows 11"/>
    <x v="5"/>
    <s v="16&quot; (40.64 cm), 1920 x 1080 px, IPS LCD Display"/>
    <s v="Web Camera"/>
    <s v="Slim 18 mm"/>
    <s v="HDMI Port"/>
    <m/>
    <m/>
    <x v="6"/>
    <x v="39"/>
    <x v="2"/>
  </r>
  <r>
    <s v="Gigabyte G5 GD-51IN123SE (RC45GD) Laptop (Core i5 11th Gen/16 GB/512 GB SSD/Windows 11/4 GB)"/>
    <s v="Gigabyte G5 GD-51IN123SE (RC45GD) Laptop (Core i5 11th Gen/16 GB/512 GB SSD/Windows 11/4 GB) price in India"/>
    <x v="329"/>
    <n v="60"/>
    <n v="84"/>
    <x v="0"/>
    <d v="2022-10-01T00:00:00"/>
    <s v="Intel Core i5 (11th Gen) 4.2 Ghz, Hexa-Core"/>
    <s v="Windows 11"/>
    <x v="2"/>
    <s v="15.6&quot; (39.62 cm), 1920 x 1080 px, IPS LCD Display"/>
    <s v="Web Camera"/>
    <m/>
    <s v="HDMI Port"/>
    <m/>
    <n v="78"/>
    <x v="11"/>
    <x v="39"/>
    <x v="0"/>
  </r>
  <r>
    <s v="Dell Inspiron 15 3521 (D560757WIN9S) Laptop (Intel Pentium Quad Core/8 GB/256 GB SSD/Windows 11)"/>
    <s v="Dell Inspiron 15 3521 (D560757WIN9S) Laptop (Intel Pentium Quad Core/8 GB/256 GB SSD/Windows 11) price in India"/>
    <x v="47"/>
    <n v="22"/>
    <n v="84"/>
    <x v="0"/>
    <d v="2022-10-01T00:00:00"/>
    <s v="Intel Core i5 (11th Gen) 4.2 Ghz, Hexa-Core"/>
    <s v="Windows 11"/>
    <x v="38"/>
    <s v="15.6&quot; (39.62 cm), 1366 x 768 px, IPS LCD Display"/>
    <s v="Web Camera"/>
    <s v="Slim 18.9 mm"/>
    <s v="HDMI Port"/>
    <m/>
    <m/>
    <x v="6"/>
    <x v="39"/>
    <x v="2"/>
  </r>
  <r>
    <s v="Fujitsu UH-X 4ZR1K06212 Laptop (Core i7 12th Gen/16 GB/512 GB SSD/Windows 11)"/>
    <s v="Fujitsu UH-X 4ZR1K06212 Laptop (Core i7 12th Gen/16 GB/512 GB SSD/Windows 11) price in India"/>
    <x v="123"/>
    <n v="148"/>
    <n v="84"/>
    <x v="0"/>
    <d v="2022-10-01T00:00:00"/>
    <s v="Intel Core i5 (11th Gen) 4.2 Ghz, Hexa-Core"/>
    <s v="Windows 11"/>
    <x v="30"/>
    <s v="13.3&quot; (33.78 cm), 1920 x 1080 px Display"/>
    <s v="Web Camera"/>
    <s v="Slim 15.5 mm"/>
    <s v="HDMI Port"/>
    <m/>
    <n v="77"/>
    <x v="9"/>
    <x v="39"/>
    <x v="0"/>
  </r>
  <r>
    <s v="Dell Inspiron 15 3520 (D560879WIN9S) Laptop (Core i5 12th Gen/16 GB/512 GB SSD/Windows 11)"/>
    <s v="Dell Inspiron 15 3520 (D560879WIN9S) Laptop (Core i5 12th Gen/16 GB/512 GB SSD/Windows 11) price in India"/>
    <x v="349"/>
    <n v="189"/>
    <n v="84"/>
    <x v="0"/>
    <d v="2022-09-01T00:00:00"/>
    <s v="Intel Core i5 (11th Gen) 4.2 Ghz, Hexa-Core"/>
    <s v="Windows 11"/>
    <x v="2"/>
    <s v="15.6&quot; (39.62 cm), 1920 x 1080 px Display"/>
    <s v="Web Camera"/>
    <s v="Slim 18.7 mm"/>
    <s v="HDMI Port"/>
    <m/>
    <n v="75"/>
    <x v="6"/>
    <x v="39"/>
    <x v="0"/>
  </r>
  <r>
    <s v="Lenovo V14 (82KA00LKIH) Laptop (Core i5 11th Gen/8 GB/256 GB SSD/Windows 10)"/>
    <s v="Lenovo V14 (82KA00LKIH) Laptop (Core i5 11th Gen/8 GB/256 GB SSD/Windows 10) price in India"/>
    <x v="508"/>
    <n v="18"/>
    <n v="84"/>
    <x v="0"/>
    <d v="2022-09-01T00:00:00"/>
    <s v="Intel Core i5 (11th Gen) 4.2 Ghz, Hexa-Core"/>
    <s v="Windows 10"/>
    <x v="38"/>
    <s v="14&quot; (35.56 cm), 1920 x 1080 px, LED Display"/>
    <s v="Web Camera"/>
    <s v="Slim 19.9 mm"/>
    <s v="HDMI Port"/>
    <m/>
    <m/>
    <x v="5"/>
    <x v="39"/>
    <x v="2"/>
  </r>
  <r>
    <s v="Dell Vostro 3401 (D552224WIN9D) Laptop (Core i3 10th Gen/8 GB/512 GB SSD/Windows 11)"/>
    <s v="Dell Vostro 3401 (D552224WIN9D) Laptop (Core i3 10th Gen/8 GB/512 GB SSD/Windows 11) price in India"/>
    <x v="509"/>
    <n v="80"/>
    <n v="84"/>
    <x v="0"/>
    <d v="2022-09-01T00:00:00"/>
    <s v="Intel Core i5 (11th Gen) 4.2 Ghz, Hexa-Core"/>
    <s v="Windows 11"/>
    <x v="5"/>
    <s v="14&quot; (35.56 cm), 1920 x 1080 px, IPS LCD Display"/>
    <s v="Web Camera"/>
    <s v="Slim 19.9 mm"/>
    <s v="HDMI Port"/>
    <m/>
    <m/>
    <x v="6"/>
    <x v="39"/>
    <x v="2"/>
  </r>
  <r>
    <s v="MSI CreatorPro M16 A12UIS-634IN Laptop (Core i7 12th Gen/16 GB/1 TB SSD/Windows 11/4 GB)"/>
    <s v="MSI CreatorPro M16 A12UIS-634IN Laptop (Core i7 12th Gen/16 GB/1 TB SSD/Windows 11/4 GB) price in India"/>
    <x v="510"/>
    <n v="45"/>
    <n v="84"/>
    <x v="0"/>
    <d v="2022-09-01T00:00:00"/>
    <s v="Intel Core i5 (11th Gen) 4.2 Ghz, Hexa-Core"/>
    <s v="Windows 11"/>
    <x v="23"/>
    <s v="16&quot; (40.64 cm), 2560 x 1660 px Display"/>
    <s v="Web Camera"/>
    <m/>
    <s v="HDMI Port"/>
    <m/>
    <n v="83"/>
    <x v="3"/>
    <x v="39"/>
    <x v="0"/>
  </r>
  <r>
    <s v="MSI Vector GP76 12UGSO-868IN Laptop (Core i7 12th Gen/16 GB/1 TB SSD/Windows 11/8 GB)"/>
    <s v="MSI Vector GP76 12UGSO-868IN Laptop (Core i7 12th Gen/16 GB/1 TB SSD/Windows 11/8 GB) price in India"/>
    <x v="511"/>
    <n v="13"/>
    <n v="84"/>
    <x v="0"/>
    <d v="2022-09-01T00:00:00"/>
    <s v="Intel Core i5 (11th Gen) 4.2 Ghz, Hexa-Core"/>
    <s v="Windows 11"/>
    <x v="10"/>
    <s v="17.3&quot; (43.94 cm), 1920 x 1080 px Display"/>
    <s v="Web Camera"/>
    <m/>
    <s v="HDMI Port"/>
    <m/>
    <n v="86"/>
    <x v="3"/>
    <x v="39"/>
    <x v="0"/>
  </r>
  <r>
    <s v="Lenovo Thinkpad E14 (21E3S04W00) Laptop (Core i5 12th Gen/16 GB/512 GB SSD/Windows 11)"/>
    <s v="Lenovo Thinkpad E14 (21E3S04W00) Laptop (Core i5 12th Gen/16 GB/512 GB SSD/Windows 11) price in India"/>
    <x v="512"/>
    <n v="184"/>
    <n v="84"/>
    <x v="0"/>
    <d v="2022-09-01T00:00:00"/>
    <s v="Intel Core i5 (11th Gen) 4.2 Ghz, Hexa-Core"/>
    <s v="Windows 11"/>
    <x v="2"/>
    <s v="14&quot; (35.56 cm), 1920 x 1080 px, IPS LCD Display"/>
    <s v="Web Camera"/>
    <s v="Slim 19 mm"/>
    <s v="HDMI Port"/>
    <m/>
    <m/>
    <x v="5"/>
    <x v="39"/>
    <x v="0"/>
  </r>
  <r>
    <s v="Lenovo Thinkpad E14 Gen 4 (21E3S04U00) Laptop (Core i5 12th Gen/16 GB/1 TB SSD/Windows 11)"/>
    <s v="Lenovo Thinkpad E14 Gen 4 (21E3S04U00) Laptop (Core i5 12th Gen/16 GB/1 TB SSD/Windows 11) price in India"/>
    <x v="513"/>
    <n v="166"/>
    <n v="84"/>
    <x v="0"/>
    <d v="2022-09-01T00:00:00"/>
    <s v="Intel Core i5 (11th Gen) 4.2 Ghz, Quad-Core"/>
    <s v="Windows 11"/>
    <x v="23"/>
    <s v="14&quot; (35.56 cm), 1920 x 1080 px, TN LCD Display"/>
    <s v="Web Camera"/>
    <s v="Slim 19 mm"/>
    <s v="HDMI Port"/>
    <m/>
    <n v="80"/>
    <x v="5"/>
    <x v="39"/>
    <x v="0"/>
  </r>
  <r>
    <s v="Lenovo Ideapad Gaming 3 (82SA00B2IN) Laptop (Core i7 12th Gen/16 GB/512 GB SSD/Windows 11/6 GB)"/>
    <s v="Lenovo Ideapad Gaming 3 (82SA00B2IN) Laptop (Core i7 12th Gen/16 GB/512 GB SSD/Windows 11/6 GB) price in India"/>
    <x v="235"/>
    <n v="46"/>
    <n v="84"/>
    <x v="0"/>
    <d v="2022-09-01T00:00:00"/>
    <s v="Intel Core i5 (11th Gen) 4.2 Ghz, Quad-Core"/>
    <s v="Windows 11"/>
    <x v="2"/>
    <s v="16&quot; (40.64 cm), 1920 x 1200 px Display"/>
    <s v="Web Camera"/>
    <s v="Slim 21 mm"/>
    <s v="HDMI Port"/>
    <s v="2 USB Ports"/>
    <n v="83"/>
    <x v="5"/>
    <x v="39"/>
    <x v="0"/>
  </r>
  <r>
    <s v="Asus VivoBook 14 X1402ZA-MW311WS Laptop (Core i3 12th Gen/8 GB/512 GB SSD/Windows 11)"/>
    <s v="Asus VivoBook 14 X1402ZA-MW311WS Laptop (Core i3 12th Gen/8 GB/512 GB SSD/Windows 11) price in India"/>
    <x v="356"/>
    <n v="245"/>
    <n v="84"/>
    <x v="0"/>
    <d v="2022-09-01T00:00:00"/>
    <s v="Intel Core i5 (11th Gen) 4.2 Ghz, Quad-Core"/>
    <s v="Windows 11"/>
    <x v="5"/>
    <s v="14&quot; (35.56 cm), 1920 x 1080 px, IPS LCD Display"/>
    <s v="Web Camera"/>
    <s v="Slim 19.9 mm"/>
    <s v="HDMI Port"/>
    <m/>
    <n v="73"/>
    <x v="2"/>
    <x v="39"/>
    <x v="2"/>
  </r>
  <r>
    <s v="Lenovo Ideapad Slim 5 Gen 6 (82LN00JSIN) Laptop (AMD Octa Core Ryzen 7/16 GB/512 GB SSD/Windows 11)"/>
    <s v="Lenovo Ideapad Slim 5 Gen 6 (82LN00JSIN) Laptop (AMD Octa Core Ryzen 7/16 GB/512 GB SSD/Windows 11) price in India"/>
    <x v="514"/>
    <n v="141"/>
    <n v="84"/>
    <x v="0"/>
    <d v="2022-08-01T00:00:00"/>
    <s v="Intel Core i5 (11th Gen) 4.2 Ghz, Quad-Core"/>
    <s v="Windows 11"/>
    <x v="2"/>
    <s v="15.6&quot; (39.62 cm), 1920 x 1080 px, IPS LCD Display"/>
    <s v="Web Camera"/>
    <s v="Slim 17.9 mm"/>
    <s v="HDMI Port"/>
    <m/>
    <n v="71"/>
    <x v="5"/>
    <x v="39"/>
    <x v="0"/>
  </r>
  <r>
    <s v="Dell Inspiron 15 3515 (D560702WIN9BE) Laptop (AMD Dual Core Athlon/4 GB/256 GB SSD/Windows 11)"/>
    <s v="Dell Inspiron 15 3515 (D560702WIN9BE) Laptop (AMD Dual Core Athlon/4 GB/256 GB SSD/Windows 11) price in India"/>
    <x v="515"/>
    <n v="845"/>
    <n v="84"/>
    <x v="0"/>
    <d v="2022-08-01T00:00:00"/>
    <s v="Intel Core i5 (11th Gen) 4.2 Ghz, Quad-Core"/>
    <s v="Windows 11"/>
    <x v="52"/>
    <s v="15.6&quot; (39.62 cm), 1920 x 1080 px Display"/>
    <s v="Web Camera"/>
    <m/>
    <s v="HDMI Port"/>
    <m/>
    <m/>
    <x v="6"/>
    <x v="39"/>
    <x v="7"/>
  </r>
  <r>
    <s v="Asus VivoBook Gaming F571LH-AL434T Laptop (Core i7 10th Gen/16 GB/1 TB 256 GB SSD/Windows 10/4 GB)"/>
    <s v="Asus VivoBook Gaming F571LH-AL434T Laptop (Core i7 10th Gen/16 GB/1 TB 256 GB SSD/Windows 10/4 GB) price in India"/>
    <x v="516"/>
    <n v="166"/>
    <n v="84"/>
    <x v="0"/>
    <d v="2022-08-01T00:00:00"/>
    <s v="Intel Core i5 (11th Gen) 4.2 Ghz, Quad-Core"/>
    <s v="Windows 10"/>
    <x v="34"/>
    <s v="15.6&quot; (39.62 cm), 1920 x 1080 px, LED Display"/>
    <s v="Web Camera"/>
    <s v="Slim 21 mm"/>
    <s v="HDMI Port"/>
    <m/>
    <n v="76"/>
    <x v="2"/>
    <x v="39"/>
    <x v="0"/>
  </r>
  <r>
    <s v="HP Pavilion x360 14-dy0212TU (6N0L9PA) Laptop (Core i3 11th Gen/8 GB/256 GB SSD/Windows 11)"/>
    <s v="HP Pavilion x360 14-dy0212TU (6N0L9PA) Laptop (Core i3 11th Gen/8 GB/256 GB SSD/Windows 11) price in India"/>
    <x v="180"/>
    <n v="235"/>
    <n v="84"/>
    <x v="0"/>
    <d v="2022-08-01T00:00:00"/>
    <s v="Intel Core i5 (11th Gen) 4.2 Ghz, Quad-Core"/>
    <s v="Windows 11"/>
    <x v="38"/>
    <s v="14&quot; (35.56 cm), 1366 x 768 px, IPS LCD Display"/>
    <s v="Web Camera"/>
    <s v="Slim 19.1 mm"/>
    <s v="HDMI Port"/>
    <m/>
    <m/>
    <x v="7"/>
    <x v="39"/>
    <x v="2"/>
  </r>
  <r>
    <s v="HP 15s-ey1508AU (6Q0N0PA) Laptop (AMD Dual Core Ryzen 3/8 GB/256 GB SSD/Windows 11)"/>
    <s v="HP 15s-ey1508AU (6Q0N0PA) Laptop (AMD Dual Core Ryzen 3/8 GB/256 GB SSD/Windows 11) price in India"/>
    <x v="317"/>
    <n v="4496"/>
    <n v="84"/>
    <x v="0"/>
    <d v="2022-08-01T00:00:00"/>
    <s v="Intel Core i5 (11th Gen) 4.2 Ghz, Quad-Core"/>
    <s v="Windows 11"/>
    <x v="38"/>
    <s v="15.6&quot; (39.62 cm), 1366 x 768 px Display"/>
    <s v="Web Camera"/>
    <s v="Slim 17.9 mm"/>
    <s v="HDMI Port"/>
    <m/>
    <m/>
    <x v="7"/>
    <x v="39"/>
    <x v="2"/>
  </r>
  <r>
    <s v="Asus Vivobook S14 Flip TN3402QA-LZ511WS Laptop (AMD Hexa Core Ryzen 5/16 GB/512 GB SSD/Windows 11)"/>
    <s v="Asus Vivobook S14 Flip TN3402QA-LZ511WS Laptop (AMD Hexa Core Ryzen 5/16 GB/512 GB SSD/Windows 11) price in India"/>
    <x v="159"/>
    <n v="77"/>
    <n v="84"/>
    <x v="0"/>
    <d v="2022-08-01T00:00:00"/>
    <s v="Intel Core i5 (11th Gen) 4.2 Ghz, Quad-Core"/>
    <s v="Windows 11"/>
    <x v="2"/>
    <s v="14&quot; (35.56 cm), 1920 x 1200 px, IPS LCD Display"/>
    <s v="Web Camera"/>
    <s v="Slim 19 mm"/>
    <s v="HDMI Port"/>
    <m/>
    <m/>
    <x v="2"/>
    <x v="39"/>
    <x v="0"/>
  </r>
  <r>
    <s v="Asus VivoBook 15 X1502ZA-EZ311WS Laptop (Core i3 12th Gen/8 GB/512 GB SSD/Windows 11)"/>
    <s v="Asus VivoBook 15 X1502ZA-EZ311WS Laptop (Core i3 12th Gen/8 GB/512 GB SSD/Windows 11) price in India"/>
    <x v="517"/>
    <n v="76"/>
    <n v="84"/>
    <x v="0"/>
    <d v="2022-08-01T00:00:00"/>
    <s v="Intel Core i5 (11th Gen) 4.2 Ghz, Quad-Core"/>
    <s v="Windows 11"/>
    <x v="5"/>
    <s v="15.6&quot; (39.62 cm), 1920 x 1080 px, IPS LCD Display"/>
    <s v="Web Camera"/>
    <s v="Slim 20 mm"/>
    <s v="HDMI Port"/>
    <s v="4 USB Ports"/>
    <n v="71"/>
    <x v="2"/>
    <x v="39"/>
    <x v="2"/>
  </r>
  <r>
    <s v="Asus VivoBook 15 X1500EA-EJ322WS Laptop (Core i3 11th Gen/8 GB/512 GB SSD/Windows 11)"/>
    <s v="Asus VivoBook 15 X1500EA-EJ322WS Laptop (Core i3 11th Gen/8 GB/512 GB SSD/Windows 11) price in India"/>
    <x v="518"/>
    <n v="99"/>
    <n v="84"/>
    <x v="0"/>
    <d v="2022-08-01T00:00:00"/>
    <s v="Intel Core i5 (11th Gen) 4.2 Ghz, Quad-Core"/>
    <s v="Windows 11"/>
    <x v="5"/>
    <s v="15.6&quot; (39.62 cm), 1920 x 1080 px Display"/>
    <s v="Web Camera"/>
    <m/>
    <s v="HDMI Port"/>
    <s v="3 USB Ports"/>
    <m/>
    <x v="2"/>
    <x v="39"/>
    <x v="2"/>
  </r>
  <r>
    <s v="Asus ROG Flow X13 GV301RE-LJ199WS Laptop (AMD Octa Core Ryzen 7/32 GB/1 TB SSD/Windows 11/4 GB)"/>
    <s v="Asus ROG Flow X13 GV301RE-LJ199WS Laptop (AMD Octa Core Ryzen 7/32 GB/1 TB SSD/Windows 11/4 GB) price in India"/>
    <x v="519"/>
    <n v="9"/>
    <n v="84"/>
    <x v="0"/>
    <d v="2022-07-01T00:00:00"/>
    <s v="Intel Core i5 (11th Gen) 4.2 Ghz, Quad-Core"/>
    <s v="Windows 11"/>
    <x v="46"/>
    <s v="13.4&quot; (34.04 cm), 1920 x 1080 px, IPS LCD Display"/>
    <s v="Web Camera"/>
    <s v="Slim 16.9 mm"/>
    <s v="HDMI Port"/>
    <m/>
    <n v="84"/>
    <x v="2"/>
    <x v="39"/>
    <x v="3"/>
  </r>
  <r>
    <s v="Lenovo Legion 5i Gen 7 (82RB00K8IN) Laptop (Core i7 12th Gen/16 GB/512 GB SSD/Windows 11/6 GB)"/>
    <s v="Lenovo Legion 5i Gen 7 (82RB00K8IN) Laptop (Core i7 12th Gen/16 GB/512 GB SSD/Windows 11/6 GB) price in India"/>
    <x v="520"/>
    <n v="30"/>
    <n v="84"/>
    <x v="0"/>
    <d v="2022-07-01T00:00:00"/>
    <s v="Intel Core i5 (11th Gen) 4.2 Ghz, Quad-Core"/>
    <s v="Windows 11"/>
    <x v="6"/>
    <s v="15.6&quot; (39.62 cm), 2560 x 1440 px, IPS LCD Display"/>
    <s v="Web Camera"/>
    <s v="Slim 20 mm"/>
    <s v="HDMI Port"/>
    <m/>
    <n v="86"/>
    <x v="5"/>
    <x v="39"/>
    <x v="0"/>
  </r>
  <r>
    <s v="Lenovo Ideapad 3 15IAU7 (82RK00EEIN) Laptop (Core i3 12th Gen/8 GB/512 GB SSD/Windows 11)"/>
    <s v="Lenovo Ideapad 3 15IAU7 (82RK00EEIN) Laptop (Core i3 12th Gen/8 GB/512 GB SSD/Windows 11) price in India"/>
    <x v="348"/>
    <n v="1142"/>
    <n v="84"/>
    <x v="0"/>
    <d v="2022-07-01T00:00:00"/>
    <s v="Intel Core i5 (11th Gen) 4.2 Ghz, Quad-Core"/>
    <s v="Windows 11"/>
    <x v="5"/>
    <s v="15.6&quot; (39.62 cm), 1920 x 1080 px, TN LCD Display"/>
    <s v="Web Camera"/>
    <s v="Slim 20 mm"/>
    <s v="HDMI Port"/>
    <m/>
    <n v="73"/>
    <x v="5"/>
    <x v="39"/>
    <x v="2"/>
  </r>
  <r>
    <s v="Lenovo Legion 5 Pro (82RG00AGIN) Laptop (AMD Octa Core Ryzen 7/32 GB/1 TB SSD/Windows 11/8 GB)"/>
    <s v="Lenovo Legion 5 Pro (82RG00AGIN) Laptop (AMD Octa Core Ryzen 7/32 GB/1 TB SSD/Windows 11/8 GB) price in India"/>
    <x v="521"/>
    <n v="43"/>
    <n v="84"/>
    <x v="0"/>
    <d v="2022-07-01T00:00:00"/>
    <s v="Intel Core i5 (11th Gen) 4.5 Ghz, Hexa-Core"/>
    <s v="Windows 11"/>
    <x v="19"/>
    <s v="16&quot; (40.64 cm), 2560 x 1600 px, IPS LCD Display"/>
    <s v="Web Camera"/>
    <s v="Slim 20 mm"/>
    <s v="HDMI Port"/>
    <m/>
    <n v="87"/>
    <x v="5"/>
    <x v="39"/>
    <x v="3"/>
  </r>
  <r>
    <s v="HP Pavilion x360 14-ek0086TU (6Q0Z5PA) Laptop (Core i5 12th Gen/8 GB/512 GB SSD/Windows 11)"/>
    <s v="HP Pavilion x360 14-ek0086TU (6Q0Z5PA) Laptop (Core i5 12th Gen/8 GB/512 GB SSD/Windows 11) price in India"/>
    <x v="522"/>
    <n v="345"/>
    <n v="84"/>
    <x v="0"/>
    <d v="2022-07-01T00:00:00"/>
    <s v="Intel Core i5 (11th Gen) 4.5 Ghz, Hexa-Core"/>
    <s v="Windows 11"/>
    <x v="5"/>
    <s v="14&quot; (35.56 cm), 1920 x 1080 px, IPS LCD Display"/>
    <s v="Web Camera"/>
    <s v="Slim 17 mm"/>
    <s v="HDMI Port"/>
    <m/>
    <n v="76"/>
    <x v="7"/>
    <x v="39"/>
    <x v="2"/>
  </r>
  <r>
    <s v="Infinix INBook X1 Neo XL22 Laptop (Intel Celeron Quad Core/8 GB/256 GB SSD/Windows 11)"/>
    <s v="Infinix INBook X1 Neo XL22 Laptop (Intel Celeron Quad Core/8 GB/256 GB SSD/Windows 11) price in India"/>
    <x v="523"/>
    <n v="4413"/>
    <n v="84"/>
    <x v="0"/>
    <d v="2022-07-01T00:00:00"/>
    <s v="Intel Core i5 (11th Gen) 4.5 Ghz, Hexa-Core"/>
    <s v="Windows 11"/>
    <x v="69"/>
    <s v="14&quot; (35.56 cm), 1920 x 1080 px Display"/>
    <s v="Web Camera"/>
    <s v="Slim 14.8 mm"/>
    <s v="HDMI Port"/>
    <s v="2 USB Ports"/>
    <m/>
    <x v="10"/>
    <x v="39"/>
    <x v="7"/>
  </r>
  <r>
    <s v="HP Victus 15-fa0070TX (6Z2P5PA) Laptop (Core i5 12th Gen/8 GB/512 GB SSD/Windows 11/4 GB)"/>
    <s v="HP Victus 15-fa0070TX (6Z2P5PA) Laptop (Core i5 12th Gen/8 GB/512 GB SSD/Windows 11/4 GB) price in India"/>
    <x v="148"/>
    <n v="2095"/>
    <n v="84"/>
    <x v="0"/>
    <d v="2022-07-01T00:00:00"/>
    <s v="Intel Core i5 (11th Gen) 4.5 Ghz, Hexa-Core"/>
    <s v="Windows 11"/>
    <x v="5"/>
    <s v="15.6&quot; (39.62 cm), 1920 x 1080 px Display"/>
    <s v="Web Camera"/>
    <m/>
    <s v="HDMI Port"/>
    <m/>
    <n v="82"/>
    <x v="7"/>
    <x v="39"/>
    <x v="2"/>
  </r>
  <r>
    <s v="HP 15s-fq5111TU (6P129PA) Laptop (Core i5 12th Gen/8 GB/512 GB SSD/Windows 11)"/>
    <s v="HP 15s-fq5111TU (6P129PA) Laptop (Core i5 12th Gen/8 GB/512 GB SSD/Windows 11) price in India"/>
    <x v="524"/>
    <n v="3129"/>
    <n v="84"/>
    <x v="0"/>
    <d v="2022-07-01T00:00:00"/>
    <s v="Intel Core i5 (11th Gen) 4.5 Ghz, Quad-Core"/>
    <s v="Windows 11"/>
    <x v="5"/>
    <s v="15.6&quot; (39.62 cm), 1920 x 1080 px, IPS LCD Display"/>
    <s v="Web Camera"/>
    <s v="Slim 17.9 mm"/>
    <s v="HDMI Port"/>
    <m/>
    <n v="75"/>
    <x v="7"/>
    <x v="39"/>
    <x v="2"/>
  </r>
  <r>
    <s v="HP Envy x360 Intel Evo 13-bf0063TU (6L0L1PA) Laptop (Core i7 12th Gen/16 GB/1 TB SSD/Windows 11)"/>
    <s v="HP Envy x360 Intel Evo 13-bf0063TU (6L0L1PA) Laptop (Core i7 12th Gen/16 GB/1 TB SSD/Windows 11) price in India"/>
    <x v="525"/>
    <n v="91"/>
    <n v="84"/>
    <x v="0"/>
    <d v="2022-07-01T00:00:00"/>
    <s v="Intel Core i5 (11th Gen) 4.7 Ghz, Hexa-Core"/>
    <s v="Windows 11"/>
    <x v="36"/>
    <s v="13.3&quot; (33.78 cm), 2880 x 1800 px, OLED Display"/>
    <s v="Web Camera"/>
    <s v="Slim 16.1 mm"/>
    <s v="HDMI Port"/>
    <s v="2 USB Ports"/>
    <n v="78"/>
    <x v="7"/>
    <x v="39"/>
    <x v="0"/>
  </r>
  <r>
    <s v="HP Envy x360 Intel Evo 13-bf0058TU (6L0K9PA) Laptop (Core i5 12th Gen/16 GB/512 GB SSD/Windows 11)"/>
    <s v="HP Envy x360 Intel Evo 13-bf0058TU (6L0K9PA) Laptop (Core i5 12th Gen/16 GB/512 GB SSD/Windows 11) price in India"/>
    <x v="513"/>
    <n v="111"/>
    <n v="84"/>
    <x v="0"/>
    <d v="2022-07-01T00:00:00"/>
    <s v="Intel Core i5 (11th Gen) 4.7 Ghz, Quad-Core"/>
    <s v="Windows 11"/>
    <x v="30"/>
    <s v="13.3&quot; (33.78 cm), 2880 x 1800 px, OLED Display"/>
    <s v="Web Camera"/>
    <s v="Slim 16.1 mm"/>
    <m/>
    <s v="2 USB Ports"/>
    <n v="77"/>
    <x v="7"/>
    <x v="39"/>
    <x v="0"/>
  </r>
  <r>
    <s v="Acer Aspire 3 A315-23 (UN.HVTSI.013) Laptop (AMD Dual Core Ryzen 3/8 GB/256 GB SSD/Windows 11)"/>
    <s v="Acer Aspire 3 A315-23 (UN.HVTSI.013) Laptop (AMD Dual Core Ryzen 3/8 GB/256 GB SSD/Windows 11) price in India"/>
    <x v="526"/>
    <n v="785"/>
    <n v="84"/>
    <x v="0"/>
    <d v="2022-07-01T00:00:00"/>
    <s v="Intel Core i5 (11th Gen) 4.7 Ghz, Quad-Core"/>
    <s v="Windows 11"/>
    <x v="38"/>
    <s v="15.6&quot; (39.62 cm), 1920 x 1080 px, IPS LCD Display"/>
    <s v="Web Camera"/>
    <s v="Slim 19.9 mm"/>
    <s v="HDMI Port"/>
    <m/>
    <m/>
    <x v="1"/>
    <x v="39"/>
    <x v="2"/>
  </r>
  <r>
    <s v="HP Victus 15-fa0353TX (6N030PA) Laptop (Core i7 12th Gen/16 GB/512 GB SSD/Windows 11/4 GB)"/>
    <s v="HP Victus 15-fa0353TX (6N030PA) Laptop (Core i7 12th Gen/16 GB/512 GB SSD/Windows 11/4 GB) price in India"/>
    <x v="527"/>
    <n v="37"/>
    <n v="84"/>
    <x v="0"/>
    <d v="2022-07-01T00:00:00"/>
    <s v="Intel Core i5 (11th Gen), Quad-Core"/>
    <s v="Windows 11"/>
    <x v="2"/>
    <s v="15.6&quot; (39.62 cm), 1920 x 1080 px Display"/>
    <s v="Web Camera"/>
    <m/>
    <s v="HDMI Port"/>
    <m/>
    <n v="83"/>
    <x v="7"/>
    <x v="39"/>
    <x v="0"/>
  </r>
  <r>
    <s v="HP Victus 15-fa0165TX (6N027PA) Laptop (Core i5 12th Gen/8 GB/512 GB SSD/Windows 11/4 GB)"/>
    <s v="HP Victus 15-fa0165TX (6N027PA) Laptop (Core i5 12th Gen/8 GB/512 GB SSD/Windows 11/4 GB) price in India"/>
    <x v="285"/>
    <n v="40"/>
    <n v="84"/>
    <x v="0"/>
    <d v="2022-07-01T00:00:00"/>
    <s v="Intel Core i5 (12th Gen) 1.2 Ghz"/>
    <s v="Windows 11"/>
    <x v="5"/>
    <s v="15.6&quot; (39.62 cm), 1920 x 1080 px, IPS LCD Display"/>
    <s v="Web Camera"/>
    <m/>
    <s v="HDMI Port"/>
    <m/>
    <n v="78"/>
    <x v="7"/>
    <x v="39"/>
    <x v="2"/>
  </r>
  <r>
    <s v="HP Victus 15-fb0040AX (6F9T7PA) Laptop (AMD Hexa Core Ryzen 5/8 GB/512 GB SSD/Windows 11/4 GB)"/>
    <s v="HP Victus 15-fb0040AX (6F9T7PA) Laptop (AMD Hexa Core Ryzen 5/8 GB/512 GB SSD/Windows 11/4 GB) price in India"/>
    <x v="528"/>
    <n v="75"/>
    <n v="84"/>
    <x v="0"/>
    <d v="2022-07-01T00:00:00"/>
    <s v="Intel Core i5 (12th Gen) 1.2 Ghz, Deca-Core"/>
    <s v="Windows 11"/>
    <x v="5"/>
    <s v="15.6&quot; (39.62 cm), 1920 x 1080 px Display"/>
    <s v="Web Camera"/>
    <m/>
    <s v="HDMI Port"/>
    <m/>
    <n v="77"/>
    <x v="7"/>
    <x v="40"/>
    <x v="2"/>
  </r>
  <r>
    <s v="Dell Inspiron 15 3511 (D560724WIN9SE) Laptop (Core i3 10th Gen/8 GB/512 GB SSD/Windows 11)"/>
    <s v="Dell Inspiron 15 3511 (D560724WIN9SE) Laptop (Core i3 10th Gen/8 GB/512 GB SSD/Windows 11) price in India"/>
    <x v="529"/>
    <n v="74"/>
    <n v="84"/>
    <x v="0"/>
    <d v="2022-07-01T00:00:00"/>
    <s v="Intel Core i5 (12th Gen) 1.3 Ghz, Deca-Core"/>
    <s v="Windows 11"/>
    <x v="5"/>
    <s v="15.6&quot; (39.62 cm), 1920 x 1080 px Display"/>
    <s v="Web Camera"/>
    <m/>
    <s v="HDMI Port"/>
    <m/>
    <m/>
    <x v="6"/>
    <x v="40"/>
    <x v="2"/>
  </r>
  <r>
    <s v="HP 14s-fy1003AU (6K7V7PA) Laptop (AMD Hexa Core Ryzen 5/16 GB/512 GB SSD/Windows 11)"/>
    <s v="HP 14s-fy1003AU (6K7V7PA) Laptop (AMD Hexa Core Ryzen 5/16 GB/512 GB SSD/Windows 11) price in India"/>
    <x v="245"/>
    <n v="909"/>
    <n v="84"/>
    <x v="0"/>
    <d v="2022-06-01T00:00:00"/>
    <s v="Intel Core i5 (12th Gen) 1.3 Ghz, Deca-Core"/>
    <s v="Windows 11"/>
    <x v="2"/>
    <s v="14&quot; (35.56 cm), 1920 x 1080 px, IPS LCD Display"/>
    <s v="Web Camera"/>
    <s v="Slim 17.9 mm"/>
    <s v="HDMI Port"/>
    <m/>
    <m/>
    <x v="7"/>
    <x v="40"/>
    <x v="0"/>
  </r>
  <r>
    <s v="HP 14s-fy1005AU (6Y6R8PA) Laptop (AMD Octa Core Ryzen 7/16 GB/512 GB SSD/Windows 11)"/>
    <s v="HP 14s-fy1005AU (6Y6R8PA) Laptop (AMD Octa Core Ryzen 7/16 GB/512 GB SSD/Windows 11) price in India"/>
    <x v="530"/>
    <n v="623"/>
    <n v="84"/>
    <x v="0"/>
    <d v="2022-06-01T00:00:00"/>
    <s v="Intel Core i5 (12th Gen) 1.3 Ghz, Deca-Core"/>
    <s v="Windows 11"/>
    <x v="2"/>
    <s v="14&quot; (35.56 cm), 1920 x 1080 px, IPS LCD Display"/>
    <s v="Web Camera"/>
    <s v="Slim 18 mm"/>
    <s v="HDMI Port"/>
    <m/>
    <n v="71"/>
    <x v="7"/>
    <x v="40"/>
    <x v="0"/>
  </r>
  <r>
    <s v="Asus TUF Gaming A15 FA577RE-HN055WS Laptop (AMD Octa Core Ryzen 7/16 GB/512 GB SSD/Windows 11/4 GB)"/>
    <s v="Asus TUF Gaming A15 FA577RE-HN055WS Laptop (AMD Octa Core Ryzen 7/16 GB/512 GB SSD/Windows 11/4 GB) price in India"/>
    <x v="99"/>
    <n v="141"/>
    <n v="84"/>
    <x v="0"/>
    <d v="2022-06-01T00:00:00"/>
    <s v="Intel Core i5 (12th Gen) 1.3 Ghz, Deca-Core"/>
    <s v="Windows 11"/>
    <x v="6"/>
    <s v="15.6&quot; (39.62 cm), 1920 x 1080 px Display"/>
    <s v="Web Camera"/>
    <m/>
    <s v="HDMI Port"/>
    <m/>
    <n v="81"/>
    <x v="2"/>
    <x v="40"/>
    <x v="0"/>
  </r>
  <r>
    <s v="Asus TUF Gaming F15 FX506HC-HN089WS Laptop (Core i5 11th Gen/8 GB/512 GB SSD/Windows 11/4 GB)"/>
    <s v="Asus TUF Gaming F15 FX506HC-HN089WS Laptop (Core i5 11th Gen/8 GB/512 GB SSD/Windows 11/4 GB) price in India"/>
    <x v="266"/>
    <n v="177"/>
    <n v="84"/>
    <x v="0"/>
    <d v="2022-06-01T00:00:00"/>
    <s v="Intel Core i5 (12th Gen) 1.3 Ghz, Deca-Core"/>
    <s v="Windows 11"/>
    <x v="5"/>
    <s v="15.6&quot; (39.62 cm), 1920 x 1080 px Display"/>
    <s v="Web Camera"/>
    <m/>
    <s v="HDMI Port"/>
    <s v="4 USB Ports"/>
    <n v="77"/>
    <x v="2"/>
    <x v="40"/>
    <x v="2"/>
  </r>
  <r>
    <s v="Lenovo V15 (82KBA01HIH) Laptop (Core i3 11th Gen/8 GB/256 GB SSD/Windows 11)"/>
    <s v="Lenovo V15 (82KBA01HIH) Laptop (Core i3 11th Gen/8 GB/256 GB SSD/Windows 11) price in India"/>
    <x v="531"/>
    <n v="20"/>
    <n v="84"/>
    <x v="0"/>
    <d v="2022-06-01T00:00:00"/>
    <s v="Intel Core i5 (12th Gen) 1.3 Ghz, Deca-Core"/>
    <s v="Windows 11"/>
    <x v="38"/>
    <s v="15.6&quot; (39.62 cm), 1920 x 1080 px, TN LCD Display"/>
    <s v="Web Camera"/>
    <s v="Slim 19.9 mm"/>
    <s v="HDMI Port"/>
    <m/>
    <n v="73"/>
    <x v="5"/>
    <x v="40"/>
    <x v="2"/>
  </r>
  <r>
    <s v="MSI Prestige 14 Intel Evo B13M-279IN Laptop (Core i7 13th Gen/16 GB/1 TB SSD/Windows 11)"/>
    <s v="MSI Prestige 14 Intel Evo B13M-279IN Laptop (Core i7 13th Gen/16 GB/1 TB SSD/Windows 11) price in India"/>
    <x v="99"/>
    <n v="10"/>
    <n v="84"/>
    <x v="0"/>
    <d v="2022-06-01T00:00:00"/>
    <s v="Intel Core i5 (12th Gen) 1.3 Ghz, Deca-Core"/>
    <s v="Windows 11"/>
    <x v="21"/>
    <s v="14&quot; (35.56 cm), 1920 x 1200 px Display"/>
    <s v="Web Camera"/>
    <s v="Slim 16.8 mm"/>
    <s v="HDMI Port"/>
    <m/>
    <n v="79"/>
    <x v="3"/>
    <x v="40"/>
    <x v="0"/>
  </r>
  <r>
    <s v="Infinix INBook X1 Slim XL21 Laptop (Core i3 10th Gen/8 GB/256 GB SSD/Windows 11/128 MB)"/>
    <s v="Infinix INBook X1 Slim XL21 Laptop (Core i3 10th Gen/8 GB/256 GB SSD/Windows 11/128 MB) price in India"/>
    <x v="532"/>
    <n v="6095"/>
    <n v="84"/>
    <x v="0"/>
    <d v="2022-06-01T00:00:00"/>
    <s v="Intel Core i5 (12th Gen) 1.3 Ghz, Deca-Core"/>
    <s v="Windows 11"/>
    <x v="57"/>
    <s v="14&quot; (35.56 cm), 1920 x 1080 px, IPS LCD Display"/>
    <s v="Web Camera"/>
    <s v="Slim 14.8 mm"/>
    <s v="HDMI Port"/>
    <s v="2 USB Ports"/>
    <m/>
    <x v="10"/>
    <x v="40"/>
    <x v="2"/>
  </r>
  <r>
    <s v="Asus Vivobook 16X M1603QA-MB511WS Laptop (AMD Hexa Core Ryzen 5/16 GB/512 GB SSD/Windows 11)"/>
    <s v="Asus Vivobook 16X M1603QA-MB511WS Laptop (AMD Hexa Core Ryzen 5/16 GB/512 GB SSD/Windows 11) price in India"/>
    <x v="533"/>
    <n v="212"/>
    <n v="84"/>
    <x v="0"/>
    <d v="2022-06-01T00:00:00"/>
    <s v="Intel Core i5 (12th Gen) 1.3 Ghz, Deca-Core"/>
    <s v="Windows 11"/>
    <x v="2"/>
    <s v="16&quot; (40.64 cm), 1920 x 1080 px Display"/>
    <s v="Web Camera"/>
    <s v="Slim 14 mm"/>
    <m/>
    <s v="3 USB Ports"/>
    <m/>
    <x v="2"/>
    <x v="40"/>
    <x v="0"/>
  </r>
  <r>
    <s v="Acer Aspire Lite AL15-52H (UN.347SI.007) Laptop (Core i5 12th Gen/12 GB/512 GB SSD/Windows 11)"/>
    <s v="Acer Aspire Lite AL15-52H (UN.347SI.007) Laptop (Core i5 12th Gen/12 GB/512 GB SSD/Windows 11) price in India"/>
    <x v="176"/>
    <n v="711"/>
    <n v="82"/>
    <x v="0"/>
    <d v="2024-09-01T00:00:00"/>
    <s v="Intel Core i5 (12th Gen) 1.3 Ghz, Deca-Core"/>
    <s v="Windows 11"/>
    <x v="70"/>
    <s v="15.6&quot; (39.62 cm), 1920 x 1080 px, TFT LCD Display"/>
    <s v="Web Camera"/>
    <s v="Slim 18.3 mm"/>
    <s v="HDMI Port"/>
    <s v="3 USB Ports"/>
    <n v="74"/>
    <x v="1"/>
    <x v="40"/>
    <x v="8"/>
  </r>
  <r>
    <s v="Acer Aspire Lite AL15-41 (UN.31ZSI.026) Laptop (AMD Hexa Core Ryzen 5/16 GB/512 GB SSD/Windows 11)"/>
    <s v="Acer Aspire Lite AL15-41 (UN.31ZSI.026) Laptop (AMD Hexa Core Ryzen 5/16 GB/512 GB SSD/Windows 11) price in India"/>
    <x v="356"/>
    <n v="1161"/>
    <n v="82"/>
    <x v="0"/>
    <d v="2025-03-01T00:00:00"/>
    <s v="Intel Core i5 (12th Gen) 1.3 Ghz, Deca-Core"/>
    <s v="Windows 11"/>
    <x v="2"/>
    <s v="15.6&quot; (39.62 cm), 1920 x 1080 px, TFT LCD Display"/>
    <s v="Web Camera"/>
    <s v="Slim 19.7 mm"/>
    <s v="HDMI Port"/>
    <m/>
    <m/>
    <x v="1"/>
    <x v="40"/>
    <x v="0"/>
  </r>
  <r>
    <s v="Acer Aspire Lite AL15-41 (UN.31ZSI.01B) Laptop (AMD Hexa Core Ryzen 5/16 GB/1 TB SSD/Windows 11)"/>
    <s v="Acer Aspire Lite AL15-41 (UN.31ZSI.01B) Laptop (AMD Hexa Core Ryzen 5/16 GB/1 TB SSD/Windows 11) price in India"/>
    <x v="534"/>
    <n v="1161"/>
    <n v="82"/>
    <x v="0"/>
    <d v="2024-09-01T00:00:00"/>
    <s v="Intel Core i5 (12th Gen) 1.3 Ghz, Deca-Core"/>
    <s v="Windows 11"/>
    <x v="23"/>
    <s v="15.6&quot; (39.62 cm), 1920 x 1080 px, TFT LCD Display"/>
    <s v="Web Camera"/>
    <s v="Slim 19.9 mm"/>
    <s v="HDMI Port"/>
    <m/>
    <m/>
    <x v="1"/>
    <x v="40"/>
    <x v="0"/>
  </r>
  <r>
    <s v="Acer Aspire Lite AL15-41 (UN.31ZSI.00Y) Laptop (AMD Hexa Core Ryzen 5/16 GB/512 GB SSD/Windows 11)"/>
    <s v="Acer Aspire Lite AL15-41 (UN.31ZSI.00Y) Laptop (AMD Hexa Core Ryzen 5/16 GB/512 GB SSD/Windows 11) price in India"/>
    <x v="425"/>
    <n v="1161"/>
    <n v="82"/>
    <x v="0"/>
    <d v="2024-06-01T00:00:00"/>
    <s v="Intel Core i5 (12th Gen) 1.5 Ghz, Octa-Core"/>
    <s v="Windows 11"/>
    <x v="2"/>
    <s v="15.6&quot; (39.62 cm), 1920 x 1080 px, TFT LCD Display"/>
    <s v="Web Camera"/>
    <s v="Slim 19.9 mm"/>
    <s v="HDMI Port"/>
    <m/>
    <n v="72"/>
    <x v="1"/>
    <x v="40"/>
    <x v="0"/>
  </r>
  <r>
    <s v="Dell Vostro 3520 (VN3520CYGGW002ORG1) Laptop (Core i5 12th Gen/16 GB/512 GB SSD/Windows 11)"/>
    <s v="Dell Vostro 3520 (VN3520CYGGW002ORG1) Laptop (Core i5 12th Gen/16 GB/512 GB SSD/Windows 11) price in India"/>
    <x v="247"/>
    <n v="299"/>
    <n v="82"/>
    <x v="0"/>
    <d v="2025-03-01T00:00:00"/>
    <s v="Intel Core i5 (12th Gen) 1.7 Ghz, Deca-Core"/>
    <s v="Windows 11"/>
    <x v="2"/>
    <s v="15.6&quot; (39.62 cm), 1920 x 1080 px Display"/>
    <s v="Web Camera"/>
    <m/>
    <s v="HDMI Port"/>
    <m/>
    <m/>
    <x v="6"/>
    <x v="40"/>
    <x v="0"/>
  </r>
  <r>
    <s v="Dell Vostro 3520 (VN35205KF55002ORG1) Laptop (Core i5 12th Gen/8 GB/512 GB SSD/Windows 11)"/>
    <s v="Dell Vostro 3520 (VN35205KF55002ORG1) Laptop (Core i5 12th Gen/8 GB/512 GB SSD/Windows 11) price in India"/>
    <x v="180"/>
    <n v="299"/>
    <n v="82"/>
    <x v="0"/>
    <d v="2025-03-01T00:00:00"/>
    <s v="Intel Core i5 (12th Gen) 2.0 Ghz, Octa-Core"/>
    <s v="Windows 11"/>
    <x v="5"/>
    <s v="15.6&quot; (39.62 cm), 1920 x 1080 px, IPS LCD Display"/>
    <s v="Web Camera"/>
    <m/>
    <s v="HDMI Port"/>
    <m/>
    <m/>
    <x v="6"/>
    <x v="40"/>
    <x v="2"/>
  </r>
  <r>
    <s v="Lenovo Ideapad Slim 5x 14Q8X9 (83HL0035IN) Laptop (Snapdragon X Plus/16 GB/1 TB SSD/Windows 11)"/>
    <s v="Lenovo Ideapad Slim 5x 14Q8X9 (83HL0035IN) Laptop (Snapdragon X Plus/16 GB/1 TB SSD/Windows 11) price in India"/>
    <x v="159"/>
    <n v="239"/>
    <n v="82"/>
    <x v="0"/>
    <d v="2024-10-01T00:00:00"/>
    <s v="Intel Core i5 (12th Gen) 2.0 Ghz, Octa-Core"/>
    <s v="Windows 11"/>
    <x v="3"/>
    <s v="14&quot; (35.56 cm), 1920 x 1200 px, IPS LCD Display"/>
    <s v="Web Camera"/>
    <s v="Slim 16.9 mm"/>
    <s v="HDMI Port"/>
    <m/>
    <n v="80"/>
    <x v="5"/>
    <x v="40"/>
    <x v="0"/>
  </r>
  <r>
    <s v="Acer Aspire 3 A325-42 (UN.34QSI.002) Laptop (AMD Hexa Core Ryzen 5/16 GB/512 GB SSD/Windows 11)"/>
    <s v="Acer Aspire 3 A325-42 (UN.34QSI.002) Laptop (AMD Hexa Core Ryzen 5/16 GB/512 GB SSD/Windows 11) price in India"/>
    <x v="6"/>
    <n v="1650"/>
    <n v="82"/>
    <x v="0"/>
    <d v="2024-09-01T00:00:00"/>
    <s v="Intel Core i5 (12th Gen) 2.0 Ghz, Octa-Core"/>
    <s v="Windows 11"/>
    <x v="2"/>
    <s v="15.8&quot; (40.13 cm), 1920 x 1080 px, IPS LCD Display"/>
    <s v="Web Camera"/>
    <s v="Slim 19.3 mm"/>
    <s v="HDMI Port"/>
    <m/>
    <n v="71"/>
    <x v="1"/>
    <x v="40"/>
    <x v="0"/>
  </r>
  <r>
    <s v="Acer Aspire 3 A325-42 (UN.34QSI.001) Laptop (AMD Hexa Core Ryzen 5/8 GB/512 GB SSD/Windows 11)"/>
    <s v="Acer Aspire 3 A325-42 (UN.34QSI.001) Laptop (AMD Hexa Core Ryzen 5/8 GB/512 GB SSD/Windows 11) price in India"/>
    <x v="47"/>
    <n v="1650"/>
    <n v="82"/>
    <x v="0"/>
    <d v="2024-09-01T00:00:00"/>
    <s v="Intel Core i5 (12th Gen) 2.0 Ghz, Octa-Core"/>
    <s v="Windows 11"/>
    <x v="5"/>
    <s v="15.8&quot; (40.13 cm), 1920 x 1080 px, IPS LCD Display"/>
    <s v="Web Camera"/>
    <s v="Slim 19.3 mm"/>
    <s v="HDMI Port"/>
    <m/>
    <n v="71"/>
    <x v="1"/>
    <x v="40"/>
    <x v="2"/>
  </r>
  <r>
    <s v="Acer Nitro V ANV15-41 (NH.QPESI.001) Laptop (AMD Octa Core Ryzen 7/16 GB/512 GB SSD/Windows 11/6 GB)"/>
    <s v="Acer Nitro V ANV15-41 (NH.QPESI.001) Laptop (AMD Octa Core Ryzen 7/16 GB/512 GB SSD/Windows 11/6 GB) price in India"/>
    <x v="535"/>
    <n v="75"/>
    <n v="82"/>
    <x v="0"/>
    <d v="2024-04-01T00:00:00"/>
    <s v="Intel Core i5 (12th Gen) 2.0 Ghz, Octa-Core"/>
    <s v="Windows 11"/>
    <x v="6"/>
    <s v="15.6&quot; (39.62 cm), 1920 x 1080 px, TFT LCD Display"/>
    <s v="Web Camera"/>
    <m/>
    <s v="HDMI Port"/>
    <m/>
    <n v="86"/>
    <x v="1"/>
    <x v="40"/>
    <x v="0"/>
  </r>
  <r>
    <s v="Acer Aspire 3 A325-42 (UN.34QSI.006) Laptop (AMD Quad Core Ryzen 3/8 GB/512 GB SSD/Windows 11)"/>
    <s v="Acer Aspire 3 A325-42 (UN.34QSI.006) Laptop (AMD Quad Core Ryzen 3/8 GB/512 GB SSD/Windows 11) price in India"/>
    <x v="317"/>
    <n v="519"/>
    <n v="82"/>
    <x v="0"/>
    <d v="2024-10-01T00:00:00"/>
    <s v="Intel Core i5 (12th Gen) 2.0 Ghz, Octa-Core"/>
    <s v="Windows 11"/>
    <x v="5"/>
    <s v="15.6&quot; (39.62 cm), 1920 x 1080 px, TFT LCD Display"/>
    <s v="Web Camera"/>
    <s v="Slim 19.3 mm"/>
    <s v="HDMI Port"/>
    <s v="1 USB Ports"/>
    <m/>
    <x v="1"/>
    <x v="40"/>
    <x v="2"/>
  </r>
  <r>
    <s v="Asus VivoBook 15 X543UA-DM582T Laptop (Core i5 8th Gen/8 GB/1 TB/Windows 10)"/>
    <s v="Asus VivoBook 15 X543UA-DM582T Laptop (Core i5 8th Gen/8 GB/1 TB/Windows 10) price in India"/>
    <x v="114"/>
    <n v="1644"/>
    <n v="82"/>
    <x v="0"/>
    <d v="2020-06-01T00:00:00"/>
    <s v="Intel Core i5 (12th Gen) 2.0 Ghz, Octa-Core"/>
    <s v="Windows 10"/>
    <x v="37"/>
    <s v="15.6&quot; (39.62 cm), 1920 x 1080 px, LED Display"/>
    <s v="Web Camera"/>
    <m/>
    <s v="HDMI Port"/>
    <m/>
    <m/>
    <x v="2"/>
    <x v="40"/>
    <x v="2"/>
  </r>
  <r>
    <s v="Dell G15 5530 (OGN55301106G201RINO) Laptop (Core i5 13th Gen/16 GB/1 TB SSD/Windows 11/6 GB)"/>
    <s v="Dell G15 5530 (OGN55301106G201RINO) Laptop (Core i5 13th Gen/16 GB/1 TB SSD/Windows 11/6 GB) price in India"/>
    <x v="121"/>
    <n v="113"/>
    <n v="82"/>
    <x v="0"/>
    <d v="2025-04-01T00:00:00"/>
    <s v="Intel Core i5 (12th Gen) 2.0 Ghz, Octa-Core"/>
    <s v="Windows 11"/>
    <x v="10"/>
    <s v="15.6&quot; (39.62 cm), 1920 x 1080 px Display"/>
    <s v="Web Camera"/>
    <m/>
    <s v="HDMI Port"/>
    <m/>
    <m/>
    <x v="6"/>
    <x v="40"/>
    <x v="0"/>
  </r>
  <r>
    <s v="Dell G15 5530 (OGN55301124G01RIN) Laptop (Core i5 13th Gen/16 GB/512 GB SSD/Windows 11/6 GB)"/>
    <s v="Dell G15 5530 (OGN55301124G01RIN) Laptop (Core i5 13th Gen/16 GB/512 GB SSD/Windows 11/6 GB) price in India"/>
    <x v="27"/>
    <n v="113"/>
    <n v="82"/>
    <x v="0"/>
    <d v="2024-10-01T00:00:00"/>
    <s v="Intel Core i5 (12th Gen) 2.0 Ghz, Octa-Core"/>
    <s v="Windows 11"/>
    <x v="6"/>
    <s v="15.6&quot; (39.62 cm), 1920 x 1080 px Display"/>
    <s v="Web Camera"/>
    <m/>
    <s v="HDMI Port"/>
    <m/>
    <m/>
    <x v="6"/>
    <x v="40"/>
    <x v="0"/>
  </r>
  <r>
    <s v="Acer Aspire E E5-576 (UN.GRSSI.005) Laptop (Core i3 7th Gen/4 GB/1 TB/Windows 10)"/>
    <s v="Acer Aspire E E5-576 (UN.GRSSI.005) Laptop (Core i3 7th Gen/4 GB/1 TB/Windows 10) price in India"/>
    <x v="536"/>
    <n v="304"/>
    <n v="82"/>
    <x v="0"/>
    <m/>
    <s v="Intel Core i5 (12th Gen) 2.4 Ghz, Deca-Core"/>
    <s v="Windows 10"/>
    <x v="49"/>
    <s v="15.6&quot; (39.62 cm), 1366 x 768 px, LED Display"/>
    <s v="Web Camera"/>
    <m/>
    <s v="HDMI Port"/>
    <s v="3 USB Ports"/>
    <m/>
    <x v="1"/>
    <x v="40"/>
    <x v="7"/>
  </r>
  <r>
    <s v="Asus VivoBook 15 X1502VA-BQ837WS Laptop (Core i7 13th Gen/16 GB/512 GB SSD/Windows 11)"/>
    <s v="Asus VivoBook 15 X1502VA-BQ837WS Laptop (Core i7 13th Gen/16 GB/512 GB SSD/Windows 11) price in India"/>
    <x v="537"/>
    <n v="75"/>
    <n v="82"/>
    <x v="0"/>
    <d v="2025-03-01T00:00:00"/>
    <s v="Intel Core i5 (12th Gen) 2.4 Ghz, Deca-Core"/>
    <s v="Windows 11"/>
    <x v="2"/>
    <s v="15.6&quot; (39.62 cm), 1920 x 1080 px, IPS LCD Display"/>
    <s v="Web Camera"/>
    <s v="Slim 19.9 mm"/>
    <s v="HDMI Port"/>
    <m/>
    <n v="79"/>
    <x v="2"/>
    <x v="40"/>
    <x v="0"/>
  </r>
  <r>
    <s v="Asus VivoBook 15 X1502VA-BQ838WS Laptop (Core i7 13th Gen/16 GB/512 GB SSD/Windows 11)"/>
    <s v="Asus VivoBook 15 X1502VA-BQ838WS Laptop (Core i7 13th Gen/16 GB/512 GB SSD/Windows 11) price in India"/>
    <x v="236"/>
    <n v="75"/>
    <n v="82"/>
    <x v="0"/>
    <d v="2025-02-01T00:00:00"/>
    <s v="Intel Core i5 (12th Gen) 2.5 Ghz"/>
    <s v="Windows 11"/>
    <x v="2"/>
    <s v="15.6&quot; (39.62 cm), 1920 x 1080 px, IPS LCD Display"/>
    <s v="Web Camera"/>
    <s v="Slim 19.9 mm"/>
    <s v="HDMI Port"/>
    <m/>
    <n v="79"/>
    <x v="2"/>
    <x v="40"/>
    <x v="0"/>
  </r>
  <r>
    <s v="Lenovo IdeaPad Slim 3 14IRU8 (82X6004GIN) Laptop (Core i3 13th Gen/8 GB/512 GB SSD/Windows 11)"/>
    <s v="Lenovo IdeaPad Slim 3 14IRU8 (82X6004GIN) Laptop (Core i3 13th Gen/8 GB/512 GB SSD/Windows 11) price in India"/>
    <x v="47"/>
    <n v="1201"/>
    <n v="82"/>
    <x v="0"/>
    <d v="2024-09-01T00:00:00"/>
    <s v="Intel Core i5 (12th Gen) 2.5 Ghz"/>
    <s v="Windows 11"/>
    <x v="20"/>
    <s v="14&quot; (35.56 cm), 1920 x 1080 px, TN LCD Display"/>
    <s v="Web Camera"/>
    <s v="Slim 17.9 mm"/>
    <s v="HDMI Port"/>
    <m/>
    <n v="80"/>
    <x v="5"/>
    <x v="40"/>
    <x v="2"/>
  </r>
  <r>
    <s v="HP 15-fd0315TU (A4KR7PA) Laptop (Core i5 13th Gen/16 GB/512 GB SSD/Windows 11)"/>
    <s v="HP 15-fd0315TU (A4KR7PA) Laptop (Core i5 13th Gen/16 GB/512 GB SSD/Windows 11) price in India"/>
    <x v="538"/>
    <n v="315"/>
    <n v="82"/>
    <x v="0"/>
    <d v="2024-12-01T00:00:00"/>
    <s v="Intel Core i5 (12th Gen) 2.5 Ghz"/>
    <s v="Windows 11"/>
    <x v="2"/>
    <s v="15.6&quot; (39.62 cm), 1920 x 1080 px, IPS LCD Display"/>
    <s v="Web Camera"/>
    <s v="Slim 18.6 mm"/>
    <s v="HDMI Port"/>
    <m/>
    <n v="80"/>
    <x v="7"/>
    <x v="40"/>
    <x v="0"/>
  </r>
  <r>
    <s v="Lenovo V15 (82TTA073IN) Laptop (Core i7 12th Gen/16 GB/512 GB SSD/Windows 11)"/>
    <s v="Lenovo V15 (82TTA073IN) Laptop (Core i7 12th Gen/16 GB/512 GB SSD/Windows 11) price in India"/>
    <x v="539"/>
    <n v="111"/>
    <n v="82"/>
    <x v="0"/>
    <d v="2024-08-01T00:00:00"/>
    <s v="Intel Core i5 (12th Gen) 2.5 Ghz"/>
    <s v="Windows 11"/>
    <x v="28"/>
    <s v="15.6&quot; (39.62 cm), 1920 x 1080 px, IPS LCD Display"/>
    <s v="Web Camera"/>
    <s v="Slim 19.9 mm"/>
    <s v="HDMI Port"/>
    <m/>
    <n v="73"/>
    <x v="5"/>
    <x v="40"/>
    <x v="0"/>
  </r>
  <r>
    <s v="Acer Aspire Lite AL15-52 (UN.AA3SI.03N) Laptop (Core i3 12th Gen/8 GB/512 GB SSD/Windows 11)"/>
    <s v="Acer Aspire Lite AL15-52 (UN.AA3SI.03N) Laptop (Core i3 12th Gen/8 GB/512 GB SSD/Windows 11) price in India"/>
    <x v="540"/>
    <n v="1673"/>
    <n v="82"/>
    <x v="0"/>
    <d v="2024-09-01T00:00:00"/>
    <s v="Intel Core i5 (12th Gen) 2.5 Ghz"/>
    <s v="Windows 11"/>
    <x v="5"/>
    <s v="15.6&quot; (39.62 cm), 1920 x 1080 px, IPS LCD Display"/>
    <s v="Web Camera"/>
    <s v="Slim 19.9 mm"/>
    <s v="HDMI Port"/>
    <m/>
    <n v="71"/>
    <x v="1"/>
    <x v="40"/>
    <x v="2"/>
  </r>
  <r>
    <s v="HP 15-fd0063TU (A33FQPA) Laptop (Core i3 12th Gen/8 GB/512 GB SSD/Windows 11)"/>
    <s v="HP 15-fd0063TU (A33FQPA) Laptop (Core i3 12th Gen/8 GB/512 GB SSD/Windows 11) price in India"/>
    <x v="356"/>
    <n v="1386"/>
    <n v="82"/>
    <x v="0"/>
    <d v="2024-08-01T00:00:00"/>
    <s v="Intel Core i5 (12th Gen) 2.5 Ghz"/>
    <s v="Windows 11"/>
    <x v="5"/>
    <s v="15.6&quot; (39.62 cm), 1920 x 1080 px, IPS LCD Display"/>
    <s v="Web Camera"/>
    <s v="Slim 18.6 mm"/>
    <s v="HDMI Port"/>
    <m/>
    <n v="73"/>
    <x v="7"/>
    <x v="40"/>
    <x v="2"/>
  </r>
  <r>
    <s v="Asus VivoBook 16 X1605VA-MB5555WS Laptop (Core i5 13th Gen/16 GB/512 GB SSD/Windows 11)"/>
    <s v="Asus VivoBook 16 X1605VA-MB5555WS Laptop (Core i5 13th Gen/16 GB/512 GB SSD/Windows 11) price in India"/>
    <x v="21"/>
    <n v="145"/>
    <n v="82"/>
    <x v="0"/>
    <d v="2025-01-01T00:00:00"/>
    <s v="Intel Core i5 (12th Gen) 2.5 Ghz"/>
    <s v="Windows 11"/>
    <x v="2"/>
    <s v="16&quot; (40.64 cm), 1920 x 1200 px, IPS LCD Display"/>
    <s v="Web Camera"/>
    <s v="Slim 19.9 mm"/>
    <s v="HDMI Port"/>
    <m/>
    <n v="80"/>
    <x v="2"/>
    <x v="40"/>
    <x v="0"/>
  </r>
  <r>
    <s v="Lenovo LOQ 15ARP9 (83JC00EFIN) Laptop (AMD Quad Core Ryzen 5/24 GB/512 GB SSD/Windows 11/6 GB)"/>
    <s v="Lenovo LOQ 15ARP9 (83JC00EFIN) Laptop (AMD Quad Core Ryzen 5/24 GB/512 GB SSD/Windows 11/6 GB) price in India"/>
    <x v="158"/>
    <n v="82"/>
    <n v="82"/>
    <x v="0"/>
    <d v="2025-01-01T00:00:00"/>
    <s v="Intel Core i5 (12th Gen) 2.5 Ghz"/>
    <s v="Windows 11"/>
    <x v="44"/>
    <s v="15.6&quot; (39.62 cm), 1920 x 1080 px, IPS LCD Display"/>
    <s v="Web Camera"/>
    <m/>
    <s v="HDMI Port"/>
    <m/>
    <n v="79"/>
    <x v="5"/>
    <x v="40"/>
    <x v="1"/>
  </r>
  <r>
    <s v="Asus VivoBook 16 X1607QA-MB049WS Laptop (Qualcomm Snapdragon Octa Core/16 GB/512 GB SSD/Windows 11)"/>
    <s v="Asus VivoBook 16 X1607QA-MB049WS Laptop (Qualcomm Snapdragon Octa Core/16 GB/512 GB SSD/Windows 11) price in India"/>
    <x v="496"/>
    <n v="61"/>
    <n v="82"/>
    <x v="0"/>
    <d v="2025-02-01T00:00:00"/>
    <s v="Intel Core i5 (12th Gen) 2.5 Ghz"/>
    <s v="Windows 11"/>
    <x v="8"/>
    <s v="16&quot; (40.64 cm), 1920 x 1200 px, IPS LCD Display"/>
    <s v="Web Camera"/>
    <s v="Slim 19.9 mm"/>
    <s v="HDMI Port"/>
    <m/>
    <n v="78"/>
    <x v="2"/>
    <x v="40"/>
    <x v="0"/>
  </r>
  <r>
    <s v="Asus VivoBook 16 X1607QA-MB050WS Laptop (Qualcomm Snapdragon Octa Core/16 GB/512 GB SSD/Windows 11)"/>
    <s v="Asus VivoBook 16 X1607QA-MB050WS Laptop (Qualcomm Snapdragon Octa Core/16 GB/512 GB SSD/Windows 11) price in India"/>
    <x v="365"/>
    <n v="61"/>
    <n v="82"/>
    <x v="0"/>
    <d v="2025-02-01T00:00:00"/>
    <s v="Intel Core i5 (12th Gen) 2.5 Ghz"/>
    <s v="Windows 11"/>
    <x v="8"/>
    <s v="16&quot; (40.64 cm), 1920 x 1200 px, IPS LCD Display"/>
    <s v="Web Camera"/>
    <s v="Slim 19.9 mm"/>
    <s v="HDMI Port"/>
    <m/>
    <n v="77"/>
    <x v="2"/>
    <x v="40"/>
    <x v="0"/>
  </r>
  <r>
    <s v="Lenovo IdeaPad 14IGL7 (82V6009TIN) Laptop (Intel Celeron Dual Core/8 GB/512 GB SSD/Windows 11)"/>
    <s v="Lenovo IdeaPad 14IGL7 (82V6009TIN) Laptop (Intel Celeron Dual Core/8 GB/512 GB SSD/Windows 11) price in India"/>
    <x v="536"/>
    <n v="432"/>
    <n v="82"/>
    <x v="0"/>
    <d v="2025-01-01T00:00:00"/>
    <s v="Intel Core i5 (12th Gen) 2.5 Ghz"/>
    <s v="Windows 11"/>
    <x v="5"/>
    <s v="14&quot; (35.56 cm), 1366 x 768 px, TN LCD Display"/>
    <s v="Web Camera"/>
    <s v="Slim 17.9 mm"/>
    <s v="HDMI Port"/>
    <m/>
    <m/>
    <x v="5"/>
    <x v="40"/>
    <x v="2"/>
  </r>
  <r>
    <s v="Asus VivoBook 16 X1605VA-MB1627WS Laptop (Core i5 13th Gen/16 GB/512 GB SSD/Windows 11)"/>
    <s v="Asus VivoBook 16 X1605VA-MB1627WS Laptop (Core i5 13th Gen/16 GB/512 GB SSD/Windows 11) price in India"/>
    <x v="189"/>
    <n v="42"/>
    <n v="82"/>
    <x v="0"/>
    <d v="2025-04-01T00:00:00"/>
    <s v="Intel Core i5 (12th Gen) 2.5 Ghz"/>
    <s v="Windows 11"/>
    <x v="2"/>
    <s v="16&quot; (40.64 cm), 1920 x 1200 px Display"/>
    <s v="Web Camera"/>
    <s v="Slim 19.9 mm"/>
    <s v="HDMI Port"/>
    <m/>
    <n v="79"/>
    <x v="2"/>
    <x v="40"/>
    <x v="0"/>
  </r>
  <r>
    <s v="HP 15-fd0111TU (A47CYPA) Laptop (Core i5 12th Gen/16 GB/512 GB SSD/Windows 11)"/>
    <s v="HP 15-fd0111TU (A47CYPA) Laptop (Core i5 12th Gen/16 GB/512 GB SSD/Windows 11) price in India"/>
    <x v="541"/>
    <n v="384"/>
    <n v="82"/>
    <x v="0"/>
    <d v="2024-08-01T00:00:00"/>
    <s v="Intel Core i5 (12th Gen) 2.5 Ghz"/>
    <s v="Windows 11"/>
    <x v="2"/>
    <s v="15.6&quot; (39.62 cm), 1920 x 1080 px, IPS LCD Display"/>
    <s v="Web Camera"/>
    <s v="Slim 17.9 mm"/>
    <s v="HDMI Port"/>
    <m/>
    <n v="76"/>
    <x v="7"/>
    <x v="40"/>
    <x v="0"/>
  </r>
  <r>
    <s v="Asus VivoBook 16 X1605VA-MB9999WS Laptop (Core i9 13th Gen/16 GB/1 TB SSD/Windows 11)"/>
    <s v="Asus VivoBook 16 X1605VA-MB9999WS Laptop (Core i9 13th Gen/16 GB/1 TB SSD/Windows 11) price in India"/>
    <x v="9"/>
    <n v="259"/>
    <n v="82"/>
    <x v="0"/>
    <d v="2025-01-01T00:00:00"/>
    <s v="Intel Core i5 (12th Gen) 2.5 Ghz"/>
    <s v="Windows 11"/>
    <x v="23"/>
    <s v="16&quot; (40.64 cm), 1920 x 1200 px, IPS LCD Display"/>
    <s v="Web Camera"/>
    <m/>
    <s v="HDMI Port"/>
    <m/>
    <n v="83"/>
    <x v="2"/>
    <x v="40"/>
    <x v="0"/>
  </r>
  <r>
    <s v="Lenovo LOQ 15IRX9 (83DV00XCIN) Laptop (Core i5 13th Gen/16 GB/512 GB SSD/Windows 11/6 GB)"/>
    <s v="Lenovo LOQ 15IRX9 (83DV00XCIN) Laptop (Core i5 13th Gen/16 GB/512 GB SSD/Windows 11/6 GB) price in India"/>
    <x v="542"/>
    <n v="277"/>
    <n v="82"/>
    <x v="0"/>
    <d v="2024-12-01T00:00:00"/>
    <s v="Intel Core i5 (12th Gen) 2.6 Ghz, Deca-Core"/>
    <s v="Windows 11"/>
    <x v="6"/>
    <s v="15.6&quot; (39.62 cm), 1920 x 1080 px, IPS LCD Display"/>
    <s v="Web Camera"/>
    <m/>
    <s v="HDMI Port"/>
    <m/>
    <m/>
    <x v="5"/>
    <x v="40"/>
    <x v="0"/>
  </r>
  <r>
    <s v="Lenovo IdeaPad 3 14IAU7 (82RJ00FLIN) Laptop (Core i3 12th Gen/16 GB/512 GB SSD/Windows 11)"/>
    <s v="Lenovo IdeaPad 3 14IAU7 (82RJ00FLIN) Laptop (Core i3 12th Gen/16 GB/512 GB SSD/Windows 11) price in India"/>
    <x v="543"/>
    <n v="9"/>
    <n v="82"/>
    <x v="0"/>
    <d v="2024-09-01T00:00:00"/>
    <s v="Intel Core i5 (12th Gen) 3.3 Ghz"/>
    <s v="Windows 11"/>
    <x v="2"/>
    <s v="14&quot; (35.56 cm), 1920 x 1080 px, TN LCD Display"/>
    <s v="Web Camera"/>
    <s v="Slim 19.9 mm"/>
    <s v="HDMI Port"/>
    <m/>
    <n v="78"/>
    <x v="5"/>
    <x v="40"/>
    <x v="0"/>
  </r>
  <r>
    <s v="Asus VivoBook 16 X1605ZAC-MB541WS Laptop (Core i5 12th Gen/16 GB/512 GB SSD/Windows 11)"/>
    <s v="Asus VivoBook 16 X1605ZAC-MB541WS Laptop (Core i5 12th Gen/16 GB/512 GB SSD/Windows 11) price in India"/>
    <x v="21"/>
    <n v="119"/>
    <n v="82"/>
    <x v="0"/>
    <d v="2024-07-01T00:00:00"/>
    <s v="Intel Core i5 (12th Gen) 3.3 Ghz"/>
    <s v="Windows 11"/>
    <x v="2"/>
    <s v="16&quot; (40.64 cm), 1920 x 1200 px, IPS LCD Display"/>
    <s v="Web Camera"/>
    <s v="Slim 19.9 mm"/>
    <s v="HDMI Port"/>
    <m/>
    <n v="80"/>
    <x v="2"/>
    <x v="40"/>
    <x v="0"/>
  </r>
  <r>
    <s v="Asus Notebook 12 BR1100FKA-BP1104W Laptop (Intel Celeron Dual Core/4 GB/128 GB SSD/Windows 11)"/>
    <s v="Asus Notebook 12 BR1100FKA-BP1104W Laptop (Intel Celeron Dual Core/4 GB/128 GB SSD/Windows 11) price in India"/>
    <x v="544"/>
    <n v="105"/>
    <n v="82"/>
    <x v="0"/>
    <d v="2022-05-01T00:00:00"/>
    <s v="Intel Core i5 (12th Gen) 3.3 Ghz"/>
    <s v="Windows 11"/>
    <x v="71"/>
    <s v="11.6&quot; (29.46 cm), 1366 x 768 px Display"/>
    <s v="Web Camera"/>
    <s v="Slim 20.0 mm"/>
    <s v="HDMI Port"/>
    <m/>
    <m/>
    <x v="2"/>
    <x v="40"/>
    <x v="7"/>
  </r>
  <r>
    <s v="Asus Expertbook P5 P5405CSA-NZ0583WS Laptop (Core Ultra 5 Series 2 /16 GB/1 TB SSD/Windows 11)"/>
    <s v="Asus Expertbook P5 P5405CSA-NZ0583WS Laptop (Core Ultra 5 Series 2 /16 GB/1 TB SSD/Windows 11) price in India"/>
    <x v="104"/>
    <n v="7"/>
    <n v="82"/>
    <x v="0"/>
    <d v="2025-04-01T00:00:00"/>
    <s v="Intel Core i5 (12th Gen) 3.3 Ghz"/>
    <s v="Windows 11"/>
    <x v="3"/>
    <s v="14&quot; (35.56 cm), 2560 x 1600 px Display"/>
    <s v="Web Camera"/>
    <s v="Slim 16.4 mm"/>
    <s v="HDMI Port"/>
    <m/>
    <n v="87"/>
    <x v="2"/>
    <x v="40"/>
    <x v="0"/>
  </r>
  <r>
    <s v="HP 15-bg003au (Z1D90PA) Laptop (AMD Quad Core E2/4 GB/500 GB/DOS)"/>
    <s v="HP 15-bg003au (Z1D90PA) Laptop (AMD Quad Core E2/4 GB/500 GB/DOS) price in India"/>
    <x v="545"/>
    <n v="1997"/>
    <n v="82"/>
    <x v="0"/>
    <m/>
    <s v="Intel Core i5 (12th Gen) 3.3 Ghz, Deca-Core"/>
    <s v="DOS"/>
    <x v="72"/>
    <s v="15.6&quot; (39.62 cm), 1366 x 768 px, LED Display"/>
    <s v="Web Camera"/>
    <m/>
    <s v="HDMI Port"/>
    <s v="3 USB Ports"/>
    <m/>
    <x v="7"/>
    <x v="40"/>
    <x v="7"/>
  </r>
  <r>
    <s v="Asus VivoBook 15 X1500EA-EJ121WS Laptop (Intel Pentium Gold/8 GB/512 GB SSD/Windows 11)"/>
    <s v="Asus VivoBook 15 X1500EA-EJ121WS Laptop (Intel Pentium Gold/8 GB/512 GB SSD/Windows 11) price in India"/>
    <x v="536"/>
    <n v="122"/>
    <n v="82"/>
    <x v="0"/>
    <d v="2024-09-01T00:00:00"/>
    <s v="Intel Core i5 (12th Gen) 3.3 Ghz, Deca-Core"/>
    <s v="Windows 11"/>
    <x v="5"/>
    <s v="15&quot; (38.1 cm), 1920 x 1080 px Display"/>
    <s v="Web Camera"/>
    <s v="Slim 19.9 mm"/>
    <s v="HDMI Port"/>
    <m/>
    <n v="72"/>
    <x v="2"/>
    <x v="40"/>
    <x v="2"/>
  </r>
  <r>
    <s v="Acer Aspire Lite AL15-52 (UN.431SI.359) Laptop (Core i3 12th Gen/16 GB/512 GB SSD/Windows 11)"/>
    <s v="Acer Aspire Lite AL15-52 (UN.431SI.359) Laptop (Core i3 12th Gen/16 GB/512 GB SSD/Windows 11) price in India"/>
    <x v="133"/>
    <n v="833"/>
    <n v="82"/>
    <x v="0"/>
    <d v="2024-07-01T00:00:00"/>
    <s v="Intel Core i5 (12th Gen) 3.3 Ghz, Deca-Core"/>
    <s v="Windows 11"/>
    <x v="2"/>
    <s v="15.6&quot; (39.62 cm), 1920 x 1080 px, IPS LCD Display"/>
    <s v="Web Camera"/>
    <s v="Slim 19.9 mm"/>
    <s v="HDMI Port"/>
    <m/>
    <n v="76"/>
    <x v="1"/>
    <x v="40"/>
    <x v="0"/>
  </r>
  <r>
    <s v="HP 15s-du0051TU (6YE07PA) Laptop (Core i5 8th Gen/8 GB/1 TB/Windows 10)"/>
    <s v="HP 15s-du0051TU (6YE07PA) Laptop (Core i5 8th Gen/8 GB/1 TB/Windows 10) price in India"/>
    <x v="546"/>
    <n v="227"/>
    <n v="82"/>
    <x v="0"/>
    <d v="2020-11-01T00:00:00"/>
    <s v="Intel Core i5 (12th Gen) 3.3 Ghz, Deca-Core"/>
    <s v="Windows 10"/>
    <x v="37"/>
    <s v="15.6&quot; (39.62 cm), 1920 x 1080 px, LED Display"/>
    <s v="Web Camera"/>
    <s v="Slim 19.9 mm"/>
    <s v="HDMI Port"/>
    <m/>
    <m/>
    <x v="7"/>
    <x v="40"/>
    <x v="2"/>
  </r>
  <r>
    <s v="Dell Inspiron 15 (IN3520CM22P001ORB1) Laptop (Core i5 12th Gen/8 GB/512 GB SSD/Windows 11)"/>
    <s v="Dell Inspiron 15 (IN3520CM22P001ORB1) Laptop (Core i5 12th Gen/8 GB/512 GB SSD/Windows 11) price in India"/>
    <x v="547"/>
    <n v="661"/>
    <n v="82"/>
    <x v="0"/>
    <d v="2024-07-01T00:00:00"/>
    <s v="Intel Core i5 (12th Gen) 3.3 Ghz, Deca-Core"/>
    <s v="Windows 11"/>
    <x v="5"/>
    <s v="15&quot; (38.1 cm), 1920 x 1080 px, IPS LCD Display"/>
    <s v="Web Camera"/>
    <s v="Slim 21 mm"/>
    <s v="HDMI Port"/>
    <m/>
    <n v="77"/>
    <x v="6"/>
    <x v="40"/>
    <x v="2"/>
  </r>
  <r>
    <s v="Lenovo V15 (82KBA033IH) Laptop (Core i3 11th Gen/8 GB/512 GB SSD/Windows 11)"/>
    <s v="Lenovo V15 (82KBA033IH) Laptop (Core i3 11th Gen/8 GB/512 GB SSD/Windows 11) price in India"/>
    <x v="548"/>
    <n v="449"/>
    <n v="82"/>
    <x v="0"/>
    <d v="2022-12-01T00:00:00"/>
    <s v="Intel Core i5 (12th Gen) 3.3 Ghz, Deca-Core"/>
    <s v="Windows 11"/>
    <x v="5"/>
    <s v="15.6&quot; (39.62 cm), 1920 x 1080 px, IPS LCD Display"/>
    <s v="Web Camera"/>
    <s v="Slim 20 mm"/>
    <s v="HDMI Port"/>
    <m/>
    <n v="73"/>
    <x v="5"/>
    <x v="40"/>
    <x v="2"/>
  </r>
  <r>
    <s v="Lenovo ThinkBook 14s Yoga (20WEA01GIH) Laptop (Core i5 11th Gen/8 GB/512 GB SSD/Windows 10)"/>
    <s v="Lenovo ThinkBook 14s Yoga (20WEA01GIH) Laptop (Core i5 11th Gen/8 GB/512 GB SSD/Windows 10) price in India"/>
    <x v="159"/>
    <n v="116"/>
    <n v="82"/>
    <x v="0"/>
    <d v="2021-09-01T00:00:00"/>
    <s v="Intel Core i5 (12th Gen) 3.3 Ghz, Deca-Core"/>
    <s v="Windows 10"/>
    <x v="5"/>
    <s v="14&quot; (35.56 cm), 1920 x 1080 px, LED Display"/>
    <s v="Web Camera"/>
    <s v="Slim 16.9 mm"/>
    <s v="HDMI Port"/>
    <s v="1 USB Ports"/>
    <n v="71"/>
    <x v="5"/>
    <x v="40"/>
    <x v="2"/>
  </r>
  <r>
    <s v="HP 15q-bu040tu (4TS72PA) Laptop (Core i3 7th Gen/4 GB/1 TB/Windows 10)"/>
    <s v="HP 15q-bu040tu (4TS72PA) Laptop (Core i3 7th Gen/4 GB/1 TB/Windows 10) price in India"/>
    <x v="318"/>
    <n v="1012"/>
    <n v="82"/>
    <x v="0"/>
    <m/>
    <s v="Intel Core i5 (12th Gen) 3.3 Ghz, Deca-Core"/>
    <s v="Windows 10"/>
    <x v="49"/>
    <s v="15.6&quot; (39.62 cm), 1920 x 1080 px, LED Display"/>
    <s v="Web Camera"/>
    <m/>
    <s v="HDMI Port"/>
    <m/>
    <m/>
    <x v="7"/>
    <x v="40"/>
    <x v="7"/>
  </r>
  <r>
    <s v="Lenovo IdeaPad 3 15IAU7 (82RK011FIN) Laptop (Core i7 12th Gen/16 GB/512 GB SSD/Windows 11)"/>
    <s v="Lenovo IdeaPad 3 15IAU7 (82RK011FIN) Laptop (Core i7 12th Gen/16 GB/512 GB SSD/Windows 11) price in India"/>
    <x v="549"/>
    <n v="126"/>
    <n v="82"/>
    <x v="0"/>
    <d v="2024-09-01T00:00:00"/>
    <s v="Intel Core i5 (12th Gen) 3.3 Ghz, Deca-Core"/>
    <s v="Windows 11"/>
    <x v="2"/>
    <s v="15.6&quot; (39.62 cm), 1920 x 1080 px, IPS LCD Display"/>
    <s v="Web Camera"/>
    <s v="Slim 19.9 mm"/>
    <s v="HDMI Port"/>
    <m/>
    <n v="81"/>
    <x v="5"/>
    <x v="40"/>
    <x v="0"/>
  </r>
  <r>
    <s v="Dell Inspiron 16 5630 (IN5630MV7F4001ORS1) Laptop (Core i7 13th Gen/16 GB/1 TB SSD/Windows 11)"/>
    <s v="Dell Inspiron 16 5630 (IN5630MV7F4001ORS1) Laptop (Core i7 13th Gen/16 GB/1 TB SSD/Windows 11) price in India"/>
    <x v="99"/>
    <n v="41"/>
    <n v="82"/>
    <x v="0"/>
    <d v="2024-09-01T00:00:00"/>
    <s v="Intel Core i5 (12th Gen) 3.3 Ghz, Deca-Core"/>
    <s v="Windows 11"/>
    <x v="21"/>
    <s v="16&quot; (40.64 cm), 1920 x 1080 px, IPS LCD Display"/>
    <s v="Web Camera"/>
    <s v="Slim 18.2 mm"/>
    <s v="HDMI Port"/>
    <m/>
    <n v="83"/>
    <x v="6"/>
    <x v="40"/>
    <x v="0"/>
  </r>
  <r>
    <s v="Dell G15 5530 (OGN5530110601RIN) Laptop (Core i5 13th Gen/16 GB/1 TB SSD/Windows 11/6 GB)"/>
    <s v="Dell G15 5530 (OGN5530110601RIN) Laptop (Core i5 13th Gen/16 GB/1 TB SSD/Windows 11/6 GB) price in India"/>
    <x v="550"/>
    <n v="140"/>
    <n v="82"/>
    <x v="0"/>
    <d v="2024-08-01T00:00:00"/>
    <s v="Intel Core i5 (12th Gen) 3.3 Ghz, Deca-Core"/>
    <s v="Windows 11"/>
    <x v="10"/>
    <s v="15.6&quot; (39.62 cm), 1920 x 1080 px Display"/>
    <s v="Web Camera"/>
    <m/>
    <s v="HDMI Port"/>
    <m/>
    <m/>
    <x v="6"/>
    <x v="40"/>
    <x v="0"/>
  </r>
  <r>
    <s v="Lenovo Ideapad Gaming 3 15ACH6 (82K201V2IN) Laptop (AMD Octa Core Ryzen 7/8 GB/512 GB SSD/Windows 11/4 GB)"/>
    <s v="Lenovo Ideapad Gaming 3 15ACH6 (82K201V2IN) Laptop (AMD Octa Core Ryzen 7/8 GB/512 GB SSD/Windows 11/4 GB) price in India"/>
    <x v="123"/>
    <n v="72"/>
    <n v="82"/>
    <x v="0"/>
    <d v="2022-07-01T00:00:00"/>
    <s v="Intel Core i5 (12th Gen) 3.3 Ghz, Deca-Core"/>
    <s v="Windows 11"/>
    <x v="5"/>
    <s v="15.6&quot; (39.62 cm), 1920 x 1080 px, IPS LCD Display"/>
    <s v="Web Camera"/>
    <m/>
    <s v="HDMI Port"/>
    <m/>
    <n v="80"/>
    <x v="5"/>
    <x v="40"/>
    <x v="2"/>
  </r>
  <r>
    <s v="Asus Chromebook C423NA-EC0521 Laptop (Celeron Dual Core/4 GB/64 GB SSD/Google Chrome)"/>
    <s v="Asus Chromebook C423NA-EC0521 Laptop (Celeron Dual Core/4 GB/64 GB SSD/Google Chrome) price in India"/>
    <x v="551"/>
    <n v="239"/>
    <n v="82"/>
    <x v="0"/>
    <d v="2021-12-01T00:00:00"/>
    <s v="Intel Core i5 (12th Gen) 3.3 Ghz, Deca-Core"/>
    <s v="Google Chrome"/>
    <x v="73"/>
    <s v="14&quot; (35.56 cm), 1920 x 1080 px, LED Display"/>
    <s v="Web Camera"/>
    <s v="Slim 16.1 mm"/>
    <m/>
    <m/>
    <m/>
    <x v="2"/>
    <x v="40"/>
    <x v="7"/>
  </r>
  <r>
    <s v="HP 15-bs615tu (3EJ43PA) Laptop (Core i3 6th Gen/4 GB/2 TB/DOS)"/>
    <s v="HP 15-bs615tu (3EJ43PA) Laptop (Core i3 6th Gen/4 GB/2 TB/DOS) price in India"/>
    <x v="337"/>
    <n v="312"/>
    <n v="82"/>
    <x v="0"/>
    <m/>
    <s v="Intel Core i5 (12th Gen) 3.3 Ghz, Deca-Core"/>
    <s v="DOS"/>
    <x v="74"/>
    <s v="15.6&quot; (39.62 cm), 1920 x 1080 px, LED Display"/>
    <s v="Web Camera"/>
    <m/>
    <s v="HDMI Port"/>
    <s v="3 USB Ports"/>
    <m/>
    <x v="7"/>
    <x v="40"/>
    <x v="7"/>
  </r>
  <r>
    <s v="Dell Inspiron 15 5578 (A564106SIN9) Laptop (Core i3 7th Gen/4 GB/1 TB/Windows 10)"/>
    <s v="Dell Inspiron 15 5578 (A564106SIN9) Laptop (Core i3 7th Gen/4 GB/1 TB/Windows 10) price in India"/>
    <x v="552"/>
    <n v="335"/>
    <n v="82"/>
    <x v="0"/>
    <m/>
    <s v="Intel Core i5 (12th Gen) 3.3 Ghz, Deca-Core"/>
    <s v="Windows 10"/>
    <x v="49"/>
    <s v="15.6&quot; (39.62 cm), 1920 x 1080 px, LED Display"/>
    <s v="Web Camera"/>
    <s v="Slim 20.2 mm"/>
    <s v="HDMI Port"/>
    <s v="3 USB Ports"/>
    <m/>
    <x v="6"/>
    <x v="40"/>
    <x v="7"/>
  </r>
  <r>
    <s v="HP 15q-bu039tu (4TS70PA) Laptop (Core i3 7th Gen/4 GB/1 TB/Windows 10)"/>
    <s v="HP 15q-bu039tu (4TS70PA) Laptop (Core i3 7th Gen/4 GB/1 TB/Windows 10) price in India"/>
    <x v="553"/>
    <n v="652"/>
    <n v="82"/>
    <x v="0"/>
    <m/>
    <s v="Intel Core i5 (12th Gen) 3.3 Ghz, Deca-Core"/>
    <s v="Windows 10"/>
    <x v="49"/>
    <s v="15.6&quot; (39.62 cm), 1920 x 1080 px, LED Display"/>
    <s v="Web Camera"/>
    <m/>
    <s v="HDMI Port"/>
    <m/>
    <m/>
    <x v="7"/>
    <x v="40"/>
    <x v="7"/>
  </r>
  <r>
    <s v="HP 15q-bu008tx (2TZ24PA) Laptop (Core i3 6th Gen/4 GB/1 TB/DOS)"/>
    <s v="HP 15q-bu008tx (2TZ24PA) Laptop (Core i3 6th Gen/4 GB/1 TB/DOS) price in India"/>
    <x v="147"/>
    <n v="303"/>
    <n v="82"/>
    <x v="0"/>
    <m/>
    <s v="Intel Core i5 (12th Gen) 3.3 Ghz, Deca-Core"/>
    <s v="DOS"/>
    <x v="49"/>
    <s v="15.6&quot; (39.62 cm), 1366 x 768 px, LED Display"/>
    <s v="Web Camera"/>
    <m/>
    <s v="HDMI Port"/>
    <m/>
    <m/>
    <x v="7"/>
    <x v="40"/>
    <x v="7"/>
  </r>
  <r>
    <s v="HP 15Q-by008AU (4FV83PA) Laptop (AMD Dual Core A6/4 GB/1 TB/Windows 10)"/>
    <s v="HP 15Q-by008AU (4FV83PA) Laptop (AMD Dual Core A6/4 GB/1 TB/Windows 10) price in India"/>
    <x v="404"/>
    <n v="101"/>
    <n v="82"/>
    <x v="0"/>
    <m/>
    <s v="Intel Core i5 (12th Gen) 3.3 Ghz, Deca-Core"/>
    <s v="Windows 10"/>
    <x v="49"/>
    <s v="15.6&quot; (39.62 cm), 1366 x 768 px, LED Display"/>
    <s v="Web Camera"/>
    <m/>
    <s v="HDMI Port"/>
    <s v="3 USB Ports"/>
    <m/>
    <x v="7"/>
    <x v="40"/>
    <x v="7"/>
  </r>
  <r>
    <s v="Dell Inspiron 14 5440 (OIN5440340501RINU1O) Laptop (Core i5 13th Gen/16 GB/1 TB SSD/Windows 11)"/>
    <s v="Dell Inspiron 14 5440 (OIN5440340501RINU1O) Laptop (Core i5 13th Gen/16 GB/1 TB SSD/Windows 11) price in India"/>
    <x v="554"/>
    <n v="16"/>
    <n v="82"/>
    <x v="0"/>
    <d v="2024-11-01T00:00:00"/>
    <s v="Intel Core i5 (12th Gen) 3.3 Ghz, Deca-Core"/>
    <s v="Windows 11"/>
    <x v="10"/>
    <s v="14&quot; (35.56 cm), 2560 x 1440 px, IPS LCD Display"/>
    <s v="Web Camera"/>
    <m/>
    <s v="HDMI Port"/>
    <m/>
    <n v="80"/>
    <x v="6"/>
    <x v="40"/>
    <x v="0"/>
  </r>
  <r>
    <s v="Dell G15-5525 (D560817WIN9B) Laptop (AMD Hexa Core Ryzen 5/8 GB/512 GB SSD/Windows 11/4 GB)"/>
    <s v="Dell G15-5525 (D560817WIN9B) Laptop (AMD Hexa Core Ryzen 5/8 GB/512 GB SSD/Windows 11/4 GB) price in India"/>
    <x v="555"/>
    <n v="234"/>
    <n v="82"/>
    <x v="0"/>
    <d v="2022-06-01T00:00:00"/>
    <s v="Intel Core i5 (12th Gen) 3.3 Ghz, Deca-Core"/>
    <s v="Windows 11"/>
    <x v="16"/>
    <s v="15.6&quot; (39.62 cm), 1920 x 1080 px, IPS LCD Display"/>
    <s v="Web Camera"/>
    <m/>
    <s v="HDMI Port"/>
    <m/>
    <n v="79"/>
    <x v="6"/>
    <x v="40"/>
    <x v="2"/>
  </r>
  <r>
    <s v="Lenovo Ideapad Slim 3i 15IML05 (81WB01BJIN) Laptop (Core i5 10th Gen/8 GB/512 GB SSD/Windows 10)"/>
    <s v="Lenovo Ideapad Slim 3i 15IML05 (81WB01BJIN) Laptop (Core i5 10th Gen/8 GB/512 GB SSD/Windows 10) price in India"/>
    <x v="556"/>
    <n v="388"/>
    <n v="82"/>
    <x v="0"/>
    <d v="2021-10-01T00:00:00"/>
    <s v="Intel Core i5 (12th Gen) 3.3 Ghz, Octa-Core"/>
    <s v="Windows 10"/>
    <x v="5"/>
    <s v="15.6&quot; (39.62 cm), 1920 x 1080 px, LED Display"/>
    <s v="Web Camera"/>
    <s v="Slim 19.9 mm"/>
    <s v="HDMI Port"/>
    <m/>
    <m/>
    <x v="5"/>
    <x v="40"/>
    <x v="2"/>
  </r>
  <r>
    <s v="HP Pavilion Gaming 15-ec0098ax (2Z324PA) Laptop (AMD Quad Core Ryzen 5/8 GB/1 TB/Windows 10/3 GB)"/>
    <s v="HP Pavilion Gaming 15-ec0098ax (2Z324PA) Laptop (AMD Quad Core Ryzen 5/8 GB/1 TB/Windows 10/3 GB) price in India"/>
    <x v="247"/>
    <n v="281"/>
    <n v="82"/>
    <x v="0"/>
    <d v="2020-08-01T00:00:00"/>
    <s v="Intel Core i5 (12th Gen) 3.3 Ghz, Octa-Core"/>
    <s v="Windows 10"/>
    <x v="37"/>
    <s v="15.6&quot; (39.62 cm), 1920 x 1080 px, LED Display"/>
    <s v="Web Camera"/>
    <m/>
    <s v="HDMI Port"/>
    <m/>
    <m/>
    <x v="7"/>
    <x v="40"/>
    <x v="2"/>
  </r>
  <r>
    <s v="Acer Nitro 5 AN517-51 (NH.Q5CSI.003) Laptop (Core i7 9th Gen/8 GB/1 TB 256 GB SSD/Windows 10/4 GB)"/>
    <s v="Acer Nitro 5 AN517-51 (NH.Q5CSI.003) Laptop (Core i7 9th Gen/8 GB/1 TB 256 GB SSD/Windows 10/4 GB) price in India"/>
    <x v="121"/>
    <n v="22"/>
    <n v="82"/>
    <x v="0"/>
    <d v="2019-12-01T00:00:00"/>
    <s v="Intel Core i5 (12th Gen) 3.3 Ghz, Octa-Core"/>
    <s v="Windows 10"/>
    <x v="37"/>
    <s v="17.3&quot; (43.94 cm), 1920 x 1080 px, LED Display"/>
    <s v="Web Camera"/>
    <m/>
    <s v="HDMI Port"/>
    <m/>
    <m/>
    <x v="1"/>
    <x v="40"/>
    <x v="2"/>
  </r>
  <r>
    <s v="HP Pavilion 15-cc134Tx (3CW27PA) Laptop (Core i7 8th Gen/8 GB/2 TB/Windows 10/4 GB)"/>
    <s v="HP Pavilion 15-cc134Tx (3CW27PA) Laptop (Core i7 8th Gen/8 GB/2 TB/Windows 10/4 GB) price in India"/>
    <x v="557"/>
    <n v="54"/>
    <n v="82"/>
    <x v="0"/>
    <m/>
    <s v="Intel Core i5 (12th Gen) 3.3 Ghz, Octa-Core"/>
    <s v="Windows 10"/>
    <x v="45"/>
    <s v="15.6&quot; (39.62 cm), 1920 x 1080 px, LED Display"/>
    <s v="Web Camera"/>
    <m/>
    <s v="HDMI Port"/>
    <m/>
    <m/>
    <x v="7"/>
    <x v="40"/>
    <x v="2"/>
  </r>
  <r>
    <s v="Dell Inspiron 15 5570 (A560502WIN9) Laptop (Core i5 8th Gen/8 GB/2 TB/Windows 10/4 GB)"/>
    <s v="Dell Inspiron 15 5570 (A560502WIN9) Laptop (Core i5 8th Gen/8 GB/2 TB/Windows 10/4 GB) price in India"/>
    <x v="558"/>
    <n v="41"/>
    <n v="82"/>
    <x v="0"/>
    <m/>
    <s v="Intel Core i5 (12th Gen) 3.3 Ghz, Octa-Core"/>
    <s v="Windows 10"/>
    <x v="45"/>
    <s v="15.6&quot; (39.62 cm), 1920 x 1080 px, LED Display"/>
    <s v="Web Camera"/>
    <m/>
    <s v="HDMI Port"/>
    <m/>
    <m/>
    <x v="6"/>
    <x v="40"/>
    <x v="2"/>
  </r>
  <r>
    <s v="Lenovo IdeaPad Slim 5 16IRL8 (82XF007FIN) Laptop (Core i7 13th Gen/16 GB/1 TB SSD/Windows 11)"/>
    <s v="Lenovo IdeaPad Slim 5 16IRL8 (82XF007FIN) Laptop (Core i7 13th Gen/16 GB/1 TB SSD/Windows 11) price in India"/>
    <x v="559"/>
    <n v="315"/>
    <n v="82"/>
    <x v="0"/>
    <d v="2024-07-01T00:00:00"/>
    <s v="Intel Core i5 (12th Gen) 3.3 Ghz, Octa-Core"/>
    <s v="Windows 11"/>
    <x v="21"/>
    <s v="16&quot; (40.64 cm), 1920 x 1200 px, IPS LCD Display"/>
    <s v="Web Camera"/>
    <s v="Slim 16.9 mm"/>
    <s v="HDMI Port"/>
    <m/>
    <n v="86"/>
    <x v="5"/>
    <x v="40"/>
    <x v="0"/>
  </r>
  <r>
    <s v="Infinix Zero Book Ultra AI PC ZL514 (71008301680) Laptop (Core Ultra 5/16 GB/512 GB SSD/Windows 11)"/>
    <s v="Infinix Zero Book Ultra AI PC ZL514 (71008301680) Laptop (Core Ultra 5/16 GB/512 GB SSD/Windows 11) price in India"/>
    <x v="21"/>
    <n v="26"/>
    <n v="82"/>
    <x v="0"/>
    <d v="2024-07-01T00:00:00"/>
    <s v="Intel Core i5 (12th Gen) 3.3 Ghz, Octa-Core"/>
    <s v="Windows 11"/>
    <x v="28"/>
    <s v="15.6&quot; (39.62 cm), 1920 x 1080 px, IPS LCD Display"/>
    <s v="Web Camera"/>
    <s v="Slim 16.9 mm"/>
    <s v="HDMI Port"/>
    <s v="2 USB Ports"/>
    <n v="81"/>
    <x v="10"/>
    <x v="40"/>
    <x v="0"/>
  </r>
  <r>
    <s v="HP 14-gr1023TU (A4VJ1PA) Laptop (Core Ultra 7/16 GB/512 GB SSD/Windows 11)"/>
    <s v="HP 14-gr1023TU (A4VJ1PA) Laptop (Core Ultra 7/16 GB/512 GB SSD/Windows 11) price in India"/>
    <x v="254"/>
    <n v="35"/>
    <n v="82"/>
    <x v="0"/>
    <d v="2024-07-01T00:00:00"/>
    <s v="Intel Core i5 (12th Gen) 3.3 Ghz, Octa-Core"/>
    <s v="Windows 11"/>
    <x v="6"/>
    <s v="14&quot; (35.56 cm), 1920 x 1080 px, IPS LCD Display"/>
    <s v="Web Camera"/>
    <s v="Slim 17.9 mm"/>
    <s v="HDMI Port"/>
    <m/>
    <n v="84"/>
    <x v="7"/>
    <x v="40"/>
    <x v="0"/>
  </r>
  <r>
    <s v="Asus TUF Gaming A15 FA566NFR-HN045WS Laptop (AMD Octa Core Ryzen 7/16 GB/512 GB SSD/Windows 11/4 GB)"/>
    <s v="Asus TUF Gaming A15 FA566NFR-HN045WS Laptop (AMD Octa Core Ryzen 7/16 GB/512 GB SSD/Windows 11/4 GB) price in India"/>
    <x v="560"/>
    <n v="18"/>
    <n v="82"/>
    <x v="0"/>
    <d v="2024-07-01T00:00:00"/>
    <s v="Intel Core i5 (12th Gen) 3.3 Ghz, Octa-Core"/>
    <s v="Windows 11"/>
    <x v="6"/>
    <s v="15.6&quot; (39.62 cm), 1920 x 1080 px, IPS LCD Display"/>
    <s v="Web Camera"/>
    <m/>
    <s v="HDMI Port"/>
    <m/>
    <n v="85"/>
    <x v="2"/>
    <x v="40"/>
    <x v="0"/>
  </r>
  <r>
    <s v="Lenovo LOQ 15IAX9I (83FQ000EIN) Laptop (Core i5 12th Gen/8 GB/512 GB SSD/Windows 11/4 GB)"/>
    <s v="Lenovo LOQ 15IAX9I (83FQ000EIN) Laptop (Core i5 12th Gen/8 GB/512 GB SSD/Windows 11/4 GB) price in India"/>
    <x v="561"/>
    <n v="84"/>
    <n v="82"/>
    <x v="0"/>
    <d v="2024-06-01T00:00:00"/>
    <s v="Intel Core i5 (12th Gen) 3.3 Ghz, Octa-Core"/>
    <s v="Windows 11"/>
    <x v="16"/>
    <s v="15.6&quot; (39.62 cm), 1920 x 1080 px, IPS LCD Display"/>
    <s v="Web Camera"/>
    <m/>
    <s v="HDMI Port"/>
    <m/>
    <n v="84"/>
    <x v="5"/>
    <x v="40"/>
    <x v="2"/>
  </r>
  <r>
    <s v="HP Victus Special Edition (A9NC2PA) Laptop (Core i5 12th Gen/16 GB/512 GB SSD/Windows 11/4 GB RTX)"/>
    <s v="HP Victus Special Edition (A9NC2PA) Laptop (Core i5 12th Gen/16 GB/512 GB SSD/Windows 11/4 GB RTX) price in India"/>
    <x v="159"/>
    <n v="94"/>
    <n v="82"/>
    <x v="0"/>
    <d v="2024-06-01T00:00:00"/>
    <s v="Intel Core i5 (12th Gen) 3.3 Ghz, Octa-Core"/>
    <s v="Windows 11"/>
    <x v="2"/>
    <s v="15.6&quot; (39.62 cm), 1920 x 1080 px, IPS LCD Display"/>
    <s v="Web Camera"/>
    <m/>
    <s v="HDMI Port"/>
    <m/>
    <n v="85"/>
    <x v="7"/>
    <x v="40"/>
    <x v="0"/>
  </r>
  <r>
    <s v="HP Pavilion 16-AF0015TU (A00V8PA) Laptop (Core Ultra 5/16 GB/512 GB SSD/Windows 11)"/>
    <s v="HP Pavilion 16-AF0015TU (A00V8PA) Laptop (Core Ultra 5/16 GB/512 GB SSD/Windows 11) price in India"/>
    <x v="159"/>
    <n v="197"/>
    <n v="82"/>
    <x v="0"/>
    <d v="2024-06-01T00:00:00"/>
    <s v="Intel Core i5 (12th Gen) 3.3 Ghz, Octa-Core"/>
    <s v="Windows 11"/>
    <x v="17"/>
    <s v="16&quot; (40.64 cm), 1920 x 1200 px, IPS LCD Display"/>
    <s v="Web Camera"/>
    <s v="Slim 18.6 mm"/>
    <s v="HDMI Port"/>
    <m/>
    <n v="82"/>
    <x v="7"/>
    <x v="40"/>
    <x v="0"/>
  </r>
  <r>
    <s v="Dell Vostro 3510 (ICC-D585041WIN8) Laptop (Core i3 10th Gen/8 GB/1 TB 256 GB SSD/Windows 11)"/>
    <s v="Dell Vostro 3510 (ICC-D585041WIN8) Laptop (Core i3 10th Gen/8 GB/1 TB 256 GB SSD/Windows 11) price in India"/>
    <x v="155"/>
    <n v="970"/>
    <n v="82"/>
    <x v="0"/>
    <d v="2024-04-01T00:00:00"/>
    <s v="Intel Core i5 (12th Gen) 3.3 Ghz, Octa-Core"/>
    <s v="Windows 11"/>
    <x v="37"/>
    <s v="15.6&quot; (39.62 cm), 1920 x 1080 px, IPS LCD Display"/>
    <s v="Web Camera"/>
    <s v="Slim 18.9 mm"/>
    <s v="HDMI Port"/>
    <m/>
    <m/>
    <x v="6"/>
    <x v="40"/>
    <x v="2"/>
  </r>
  <r>
    <s v="Lenovo ThinkBook 16 Gen 6 (21KHA0J5IN) Laptop (Core i3 13th Gen/8 GB/512 GB SSD/Windows 11)"/>
    <s v="Lenovo ThinkBook 16 Gen 6 (21KHA0J5IN) Laptop (Core i3 13th Gen/8 GB/512 GB SSD/Windows 11) price in India"/>
    <x v="562"/>
    <n v="47"/>
    <n v="82"/>
    <x v="0"/>
    <d v="2024-03-01T00:00:00"/>
    <s v="Intel Core i5 (12th Gen) 3.3 Ghz, Octa-Core"/>
    <s v="Windows 11"/>
    <x v="16"/>
    <s v="16&quot; (40.64 cm), 1920 x 1200 px, IPS LCD Display"/>
    <s v="Web Camera"/>
    <s v="Slim 17.5 mm"/>
    <s v="HDMI Port"/>
    <m/>
    <n v="79"/>
    <x v="5"/>
    <x v="40"/>
    <x v="2"/>
  </r>
  <r>
    <s v="Dell G15-5530 (GN553064GRM001ORB1) Laptop (Core i5 13th Gen/8 GB/512 GB SSD/Windows 11/6 GB)"/>
    <s v="Dell G15-5530 (GN553064GRM001ORB1) Laptop (Core i5 13th Gen/8 GB/512 GB SSD/Windows 11/6 GB) price in India"/>
    <x v="563"/>
    <n v="15"/>
    <n v="82"/>
    <x v="0"/>
    <d v="2024-03-01T00:00:00"/>
    <s v="Intel Core i5 (12th Gen) 3.3 Ghz, Octa-Core"/>
    <s v="Windows 11"/>
    <x v="16"/>
    <s v="15.6&quot; (39.62 cm), 1920 x 1080 px Display"/>
    <s v="Web Camera"/>
    <m/>
    <s v="HDMI Port"/>
    <m/>
    <n v="86"/>
    <x v="6"/>
    <x v="40"/>
    <x v="2"/>
  </r>
  <r>
    <s v="MSI Modern 14 H D13MG-072IN Laptop (Core i7 13th Gen/16 GB/1 TB SSD/Windows 11)"/>
    <s v="MSI Modern 14 H D13MG-072IN Laptop (Core i7 13th Gen/16 GB/1 TB SSD/Windows 11) price in India"/>
    <x v="256"/>
    <n v="51"/>
    <n v="82"/>
    <x v="0"/>
    <d v="2024-03-01T00:00:00"/>
    <s v="Intel Core i5 (12th Gen) 3.3 Ghz, Octa-Core"/>
    <s v="Windows 11"/>
    <x v="23"/>
    <s v="14&quot; (35.56 cm), 1920 x 1200 px, IPS LCD Display"/>
    <s v="Web Camera"/>
    <s v="Slim 18.6 mm"/>
    <s v="HDMI Port"/>
    <m/>
    <n v="81"/>
    <x v="3"/>
    <x v="40"/>
    <x v="0"/>
  </r>
  <r>
    <s v="Lenovo ThinkBook 15 G5 (21JFA02KIN) Laptop (AMD Hexa Core Ryzen 5/16 GB/512 GB SSD/Windows 11)"/>
    <s v="Lenovo ThinkBook 15 G5 (21JFA02KIN) Laptop (AMD Hexa Core Ryzen 5/16 GB/512 GB SSD/Windows 11) price in India"/>
    <x v="564"/>
    <n v="37"/>
    <n v="82"/>
    <x v="0"/>
    <d v="2024-02-01T00:00:00"/>
    <s v="Intel Core i5 (12th Gen) 3.3 Ghz, Octa-Core"/>
    <s v="Windows 11"/>
    <x v="2"/>
    <s v="15.6&quot; (39.62 cm), 1920 x 1080 px, TN LCD Display"/>
    <s v="Web Camera"/>
    <m/>
    <s v="HDMI Port"/>
    <m/>
    <n v="74"/>
    <x v="5"/>
    <x v="40"/>
    <x v="0"/>
  </r>
  <r>
    <s v="Lenovo Ideapad Slim 1 15AMN7 (82VG00JJIN) Laptop (AMD Quad Core Ryzen 3/8 GB/512 GB SSD/Windows 11)"/>
    <s v="Lenovo Ideapad Slim 1 15AMN7 (82VG00JJIN) Laptop (AMD Quad Core Ryzen 3/8 GB/512 GB SSD/Windows 11) price in India"/>
    <x v="565"/>
    <n v="238"/>
    <n v="82"/>
    <x v="0"/>
    <d v="2024-01-01T00:00:00"/>
    <s v="Intel Core i5 (12th Gen) 3.3 Ghz, Octa-Core"/>
    <s v="Windows 11"/>
    <x v="20"/>
    <s v="15.6&quot; (39.62 cm), 1920 x 1080 px, TN LCD Display"/>
    <s v="Web Camera"/>
    <s v="Slim 17.9 mm"/>
    <s v="HDMI Port"/>
    <m/>
    <n v="74"/>
    <x v="5"/>
    <x v="40"/>
    <x v="2"/>
  </r>
  <r>
    <s v="Lenovo LOQ (82XV00F4IN) Laptop (Core i5 12th Gen/16 GB/512 GB SSD/Windows 11/4 GB)"/>
    <s v="Lenovo LOQ (82XV00F4IN) Laptop (Core i5 12th Gen/16 GB/512 GB SSD/Windows 11/4 GB) price in India"/>
    <x v="107"/>
    <n v="254"/>
    <n v="82"/>
    <x v="0"/>
    <d v="2023-12-01T00:00:00"/>
    <s v="Intel Core i5 (12th Gen) 3.4 Ghz, Deca-Core"/>
    <s v="Windows 11"/>
    <x v="6"/>
    <s v="15.6&quot; (39.62 cm), 1920 x 1080 px, IPS LCD Display"/>
    <s v="Web Camera"/>
    <m/>
    <s v="HDMI Port"/>
    <m/>
    <n v="85"/>
    <x v="5"/>
    <x v="40"/>
    <x v="0"/>
  </r>
  <r>
    <s v="Infinix Inbook Y2 Plus XL29 Laptop (Core i3 11th Gen/8 GB/512 GB SSD/Windows 11)"/>
    <s v="Infinix Inbook Y2 Plus XL29 Laptop (Core i3 11th Gen/8 GB/512 GB SSD/Windows 11) price in India"/>
    <x v="566"/>
    <n v="2050"/>
    <n v="82"/>
    <x v="0"/>
    <d v="2023-12-01T00:00:00"/>
    <s v="Intel Core i5 (12th Gen) 3.4 Ghz, Deca-Core"/>
    <s v="Windows 11"/>
    <x v="48"/>
    <s v="15.6&quot; (39.62 cm), 1920 x 1080 px, IPS LCD Display"/>
    <s v="Web Camera"/>
    <s v="Slim 17.9 mm"/>
    <s v="HDMI Port"/>
    <s v="2 USB Ports"/>
    <m/>
    <x v="10"/>
    <x v="40"/>
    <x v="2"/>
  </r>
  <r>
    <s v="Lenovo Ideapad Slim 3 15IAU7 (82RK011DIN) Laptop (Core i3 12th Gen/8 GB/256 GB SSD/Windows 11)"/>
    <s v="Lenovo Ideapad Slim 3 15IAU7 (82RK011DIN) Laptop (Core i3 12th Gen/8 GB/256 GB SSD/Windows 11) price in India"/>
    <x v="480"/>
    <n v="770"/>
    <n v="82"/>
    <x v="0"/>
    <d v="2023-11-01T00:00:00"/>
    <s v="Intel Core i5 (12th Gen) 4.2 Ghz"/>
    <s v="Windows 11"/>
    <x v="38"/>
    <s v="15.6&quot; (39.62 cm), 1920 x 1080 px, TN LCD Display"/>
    <s v="Web Camera"/>
    <s v="Slim 19.9 mm"/>
    <s v="HDMI Port"/>
    <m/>
    <n v="76"/>
    <x v="5"/>
    <x v="40"/>
    <x v="2"/>
  </r>
  <r>
    <s v="Lenovo V15 G4 (82YUA017IN) Laptop (AMD Dual Core Athlon/8 GB/512 GB SSD/Windows 11)"/>
    <s v="Lenovo V15 G4 (82YUA017IN) Laptop (AMD Dual Core Athlon/8 GB/512 GB SSD/Windows 11) price in India"/>
    <x v="536"/>
    <n v="532"/>
    <n v="82"/>
    <x v="0"/>
    <d v="2023-10-01T00:00:00"/>
    <s v="Intel Core i5 (12th Gen) 4.2 Ghz"/>
    <s v="Windows 11"/>
    <x v="16"/>
    <s v="15.6&quot; (39.62 cm), 1920 x 1080 px Display"/>
    <s v="Web Camera"/>
    <m/>
    <s v="HDMI Port"/>
    <s v="2 USB Ports"/>
    <m/>
    <x v="5"/>
    <x v="40"/>
    <x v="2"/>
  </r>
  <r>
    <s v="Dell Inspiron 15 3530 (IN3530RMD8W001ORS1) Laptop (Core i5 13th Gen/16 GB/1 TB SSD/Windows 11)"/>
    <s v="Dell Inspiron 15 3530 (IN3530RMD8W001ORS1) Laptop (Core i5 13th Gen/16 GB/1 TB SSD/Windows 11) price in India"/>
    <x v="256"/>
    <n v="119"/>
    <n v="82"/>
    <x v="0"/>
    <d v="2023-10-01T00:00:00"/>
    <s v="Intel Core i5 (12th Gen) 4.2 Ghz, Deca-Core"/>
    <s v="Windows 11"/>
    <x v="23"/>
    <s v="15.6&quot; (39.62 cm), 1920 x 1080 px, IPS LCD Display"/>
    <s v="Web Camera"/>
    <s v="Slim 18.9 mm"/>
    <s v="HDMI Port"/>
    <m/>
    <n v="76"/>
    <x v="6"/>
    <x v="40"/>
    <x v="0"/>
  </r>
  <r>
    <s v="Lenovo Ideapad Gaming 3 (82K20289IN) Laptop (AMD Quad Core Ryzen 5/8 GB/512 GB SSD/Windows 11/4 GB)"/>
    <s v="Lenovo Ideapad Gaming 3 (82K20289IN) Laptop (AMD Quad Core Ryzen 5/8 GB/512 GB SSD/Windows 11/4 GB) price in India"/>
    <x v="247"/>
    <n v="661"/>
    <n v="82"/>
    <x v="0"/>
    <d v="2023-10-01T00:00:00"/>
    <s v="Intel Core i5 (12th Gen) 4.2 Ghz, Deca-Core"/>
    <s v="Windows 11"/>
    <x v="5"/>
    <s v="15.6&quot; (39.62 cm), 1920 x 1080 px, IPS LCD Display"/>
    <s v="Web Camera"/>
    <m/>
    <s v="HDMI Port"/>
    <m/>
    <n v="73"/>
    <x v="5"/>
    <x v="40"/>
    <x v="2"/>
  </r>
  <r>
    <s v="HP 250 G9 (724X2EA) Laptop (Core i3 12th Gen/8 GB/256 GB SSD/Windows 11)"/>
    <s v="HP 250 G9 (724X2EA) Laptop (Core i3 12th Gen/8 GB/256 GB SSD/Windows 11) price in India"/>
    <x v="567"/>
    <n v="113"/>
    <n v="82"/>
    <x v="0"/>
    <d v="2023-10-01T00:00:00"/>
    <s v="Intel Core i5 (12th Gen) 4.2 Ghz, Deca-Core"/>
    <s v="Windows 11"/>
    <x v="38"/>
    <s v="15.6&quot; (39.62 cm), 1920 x 1080 px, IPS LCD Display"/>
    <s v="Web Camera"/>
    <s v="Slim 19.9 mm"/>
    <s v="HDMI Port"/>
    <m/>
    <n v="76"/>
    <x v="7"/>
    <x v="40"/>
    <x v="2"/>
  </r>
  <r>
    <s v="HP 250 G9 (7M657PA) Laptop (Core i3 12th Gen/8 GB/512 GB SSD/Windows 11)"/>
    <s v="HP 250 G9 (7M657PA) Laptop (Core i3 12th Gen/8 GB/512 GB SSD/Windows 11) price in India"/>
    <x v="568"/>
    <n v="39"/>
    <n v="82"/>
    <x v="0"/>
    <d v="2023-10-01T00:00:00"/>
    <s v="Intel Core i5 (12th Gen) 4.2 Ghz, Deca-Core"/>
    <s v="Windows 11"/>
    <x v="5"/>
    <s v="15.6&quot; (39.62 cm), 1366 x 768 px, IPS LCD Display"/>
    <s v="Web Camera"/>
    <s v="Slim 19.9 mm"/>
    <s v="HDMI Port"/>
    <m/>
    <n v="72"/>
    <x v="7"/>
    <x v="40"/>
    <x v="2"/>
  </r>
  <r>
    <s v="Lenovo Ideapad Slim 3i (82RK00VWIN) Laptop (Core i3 12th Gen/8 GB/512 GB SSD/Windows 11)"/>
    <s v="Lenovo Ideapad Slim 3i (82RK00VWIN) Laptop (Core i3 12th Gen/8 GB/512 GB SSD/Windows 11) price in India"/>
    <x v="569"/>
    <n v="819"/>
    <n v="82"/>
    <x v="0"/>
    <d v="2023-10-01T00:00:00"/>
    <s v="Intel Core i5 (12th Gen) 4.2 Ghz, Deca-Core"/>
    <s v="Windows 11"/>
    <x v="5"/>
    <s v="15.6&quot; (39.62 cm), 1920 x 1080 px, TN LCD Display"/>
    <s v="Web Camera"/>
    <s v="Slim 19.9 mm"/>
    <s v="HDMI Port"/>
    <m/>
    <n v="73"/>
    <x v="5"/>
    <x v="40"/>
    <x v="2"/>
  </r>
  <r>
    <s v="Wings Nuvobook V1 Laptop (Core i5 11th Gen/8 GB/512 GB SSD/Windows 11)"/>
    <s v="Wings Nuvobook V1 Laptop (Core i5 11th Gen/8 GB/512 GB SSD/Windows 11) price in India"/>
    <x v="458"/>
    <n v="2016"/>
    <n v="82"/>
    <x v="0"/>
    <d v="2023-10-01T00:00:00"/>
    <s v="Intel Core i5 (12th Gen) 4.2 Ghz, Deca-Core"/>
    <s v="Windows 11"/>
    <x v="5"/>
    <s v="15.6&quot; (39.62 cm), 1920 x 1020 px, IPS LCD Display"/>
    <s v="Web Camera"/>
    <s v="Slim 18.4 mm"/>
    <s v="HDMI Port"/>
    <s v="3 USB Ports"/>
    <n v="76"/>
    <x v="14"/>
    <x v="40"/>
    <x v="2"/>
  </r>
  <r>
    <s v="Wings Nuvobook S1 Laptop (Core i3 11th Gen/8 GB/256 GB SSD/Windows 11)"/>
    <s v="Wings Nuvobook S1 Laptop (Core i3 11th Gen/8 GB/256 GB SSD/Windows 11) price in India"/>
    <x v="329"/>
    <n v="820"/>
    <n v="82"/>
    <x v="0"/>
    <d v="2023-10-01T00:00:00"/>
    <s v="Intel Core i5 (12th Gen) 4.2 Ghz, Deca-Core"/>
    <s v="Windows 11"/>
    <x v="38"/>
    <s v="15.6&quot; (39.62 cm), 1920 x 1020 px, IPS LCD Display"/>
    <s v="Web Camera"/>
    <s v="Slim 18.4 mm"/>
    <s v="HDMI Port"/>
    <s v="3 USB Ports"/>
    <n v="73"/>
    <x v="14"/>
    <x v="40"/>
    <x v="2"/>
  </r>
  <r>
    <s v="Wings Nuvobook Pro Laptop (Core i7 11th Gen/16 GB/512 GB SSD/Windows 11)"/>
    <s v="Wings Nuvobook Pro Laptop (Core i7 11th Gen/16 GB/512 GB SSD/Windows 11) price in India"/>
    <x v="425"/>
    <n v="114"/>
    <n v="82"/>
    <x v="0"/>
    <d v="2023-10-01T00:00:00"/>
    <s v="Intel Core i5 (12th Gen) 4.2 Ghz, Deca-Core"/>
    <s v="Windows 11"/>
    <x v="2"/>
    <s v="14&quot; (35.56 cm), 1920 x 1020 px, IPS LCD Display"/>
    <s v="Web Camera"/>
    <s v="Slim 16.3 mm"/>
    <s v="HDMI Port"/>
    <s v="3 USB Ports"/>
    <n v="73"/>
    <x v="14"/>
    <x v="40"/>
    <x v="0"/>
  </r>
  <r>
    <s v="Wings Nuvobook S2 Laptop (Core i3 11th Gen/8 GB/512 GB SSD/Windows 11)"/>
    <s v="Wings Nuvobook S2 Laptop (Core i3 11th Gen/8 GB/512 GB SSD/Windows 11) price in India"/>
    <x v="566"/>
    <n v="820"/>
    <n v="82"/>
    <x v="0"/>
    <d v="2023-10-01T00:00:00"/>
    <s v="Intel Core i5 (12th Gen) 4.2 Ghz, Deca-Core"/>
    <s v="Windows 11"/>
    <x v="5"/>
    <s v="15.6&quot; (39.62 cm), 1920 x 1020 px, IPS LCD Display"/>
    <s v="Web Camera"/>
    <s v="Slim 18.4 mm"/>
    <s v="HDMI Port"/>
    <s v="3 USB Ports"/>
    <n v="74"/>
    <x v="14"/>
    <x v="40"/>
    <x v="2"/>
  </r>
  <r>
    <s v="Lenovo V15 G3 (82TTA00UIH) Laptop (Core i3 12th Gen/8 GB/512 GB SSD/DOS)"/>
    <s v="Lenovo V15 G3 (82TTA00UIH) Laptop (Core i3 12th Gen/8 GB/512 GB SSD/DOS) price in India"/>
    <x v="570"/>
    <n v="49"/>
    <n v="82"/>
    <x v="0"/>
    <d v="2023-09-01T00:00:00"/>
    <s v="Intel Core i5 (12th Gen) 4.2 Ghz, Deca-Core"/>
    <s v="DOS"/>
    <x v="5"/>
    <s v="15.6&quot; (39.62 cm), 1920 x 1080 px, TN LCD Display"/>
    <s v="Web Camera"/>
    <s v="Slim 20 mm"/>
    <s v="HDMI Port"/>
    <m/>
    <n v="71"/>
    <x v="5"/>
    <x v="40"/>
    <x v="2"/>
  </r>
  <r>
    <s v="Lenovo V15 G3 (82TTA08AIN) Laptop (Core i7 12th Gen/16 GB/512 GB SSD/Windows 11)"/>
    <s v="Lenovo V15 G3 (82TTA08AIN) Laptop (Core i7 12th Gen/16 GB/512 GB SSD/Windows 11) price in India"/>
    <x v="176"/>
    <n v="1074"/>
    <n v="82"/>
    <x v="0"/>
    <d v="2023-09-01T00:00:00"/>
    <s v="Intel Core i5 (12th Gen) 4.2 Ghz, Deca-Core"/>
    <s v="Windows 11"/>
    <x v="2"/>
    <s v="15.6&quot; (39.62 cm), 1920 x 1080 px, IPS LCD Display"/>
    <s v="Web Camera"/>
    <s v="Slim 19.9 mm"/>
    <s v="HDMI Port"/>
    <m/>
    <n v="80"/>
    <x v="5"/>
    <x v="40"/>
    <x v="0"/>
  </r>
  <r>
    <s v="Lenovo Yoga 6 13ABR8 (83B2007UIN) Laptop (AMD Octa Core Ryzen 7/16 GB/1 TB SSD/Windows 11)"/>
    <s v="Lenovo Yoga 6 13ABR8 (83B2007UIN) Laptop (AMD Octa Core Ryzen 7/16 GB/1 TB SSD/Windows 11) price in India"/>
    <x v="571"/>
    <n v="95"/>
    <n v="82"/>
    <x v="0"/>
    <d v="2023-09-01T00:00:00"/>
    <s v="Intel Core i5 (12th Gen) 4.2 Ghz, Deca-Core"/>
    <s v="Windows 11"/>
    <x v="36"/>
    <s v="13.3&quot; (33.78 cm), 1920 x 1200 px, IPS LCD Display"/>
    <s v="Web Camera"/>
    <s v="Slim 17.4 mm"/>
    <m/>
    <m/>
    <n v="77"/>
    <x v="5"/>
    <x v="40"/>
    <x v="0"/>
  </r>
  <r>
    <s v="HP Victus 15-fb0131AX (87B77PA) Laptop (AMD Hexa Core Ryzen 5/8 GB/512 GB SSD/Windows 11/4 GB)"/>
    <s v="HP Victus 15-fb0131AX (87B77PA) Laptop (AMD Hexa Core Ryzen 5/8 GB/512 GB SSD/Windows 11/4 GB) price in India"/>
    <x v="42"/>
    <n v="650"/>
    <n v="82"/>
    <x v="0"/>
    <d v="2023-09-01T00:00:00"/>
    <s v="Intel Core i5 (12th Gen) 4.2 Ghz, Deca-Core"/>
    <s v="Windows 11"/>
    <x v="5"/>
    <s v="15.6&quot; (39.62 cm), 1920 x 1080 px, IPS LCD Display"/>
    <s v="Web Camera"/>
    <m/>
    <s v="HDMI Port"/>
    <m/>
    <n v="75"/>
    <x v="7"/>
    <x v="40"/>
    <x v="2"/>
  </r>
  <r>
    <s v="Dell Inspiron 15 3520 (IN352092K4N001ORS1) Laptop (Core i5 12th Gen/16 GB/512 GB SSD/Windows 11)"/>
    <s v="Dell Inspiron 15 3520 (IN352092K4N001ORS1) Laptop (Core i5 12th Gen/16 GB/512 GB SSD/Windows 11) price in India"/>
    <x v="247"/>
    <n v="238"/>
    <n v="82"/>
    <x v="0"/>
    <d v="2023-09-01T00:00:00"/>
    <s v="Intel Core i5 (12th Gen) 4.2 Ghz, Deca-Core"/>
    <s v="Windows 11"/>
    <x v="2"/>
    <s v="15.6&quot; (39.62 cm), 1920 x 1080 px, IPS LCD Display"/>
    <s v="Web Camera"/>
    <s v="Slim 21 mm"/>
    <s v="HDMI Port"/>
    <m/>
    <n v="80"/>
    <x v="6"/>
    <x v="40"/>
    <x v="0"/>
  </r>
  <r>
    <s v="Asus VivoBook 16 X1605VA-MB946WS Laptop (Core i9 13th Gen/16 GB/512 GB SSD/Windows 11)"/>
    <s v="Asus VivoBook 16 X1605VA-MB946WS Laptop (Core i9 13th Gen/16 GB/512 GB SSD/Windows 11) price in India"/>
    <x v="104"/>
    <n v="130"/>
    <n v="82"/>
    <x v="0"/>
    <d v="2023-09-01T00:00:00"/>
    <s v="Intel Core i5 (12th Gen) 4.2 Ghz, Deca-Core"/>
    <s v="Windows 11"/>
    <x v="2"/>
    <s v="16&quot; (40.64 cm), 1920 x 1080 px, IPS LCD Display"/>
    <s v="Web Camera"/>
    <m/>
    <s v="HDMI Port"/>
    <m/>
    <n v="82"/>
    <x v="2"/>
    <x v="40"/>
    <x v="0"/>
  </r>
  <r>
    <s v="Dell Inspiron 15 3530 (IN3530RW8JY001ORS1) Laptop (Core i5 13th Gen/8 GB/1 TB SSD/Windows 11)"/>
    <s v="Dell Inspiron 15 3530 (IN3530RW8JY001ORS1) Laptop (Core i5 13th Gen/8 GB/1 TB SSD/Windows 11) price in India"/>
    <x v="266"/>
    <n v="119"/>
    <n v="82"/>
    <x v="0"/>
    <d v="2023-09-01T00:00:00"/>
    <s v="Intel Core i5 (12th Gen) 4.2 Ghz, Deca-Core"/>
    <s v="Windows 11"/>
    <x v="14"/>
    <s v="15.6&quot; (39.62 cm), 1920 x 1080 px Display"/>
    <s v="Web Camera"/>
    <m/>
    <s v="HDMI Port"/>
    <m/>
    <m/>
    <x v="6"/>
    <x v="40"/>
    <x v="2"/>
  </r>
  <r>
    <s v="HP Victus 15-fb1001AX (8L083PA) Laptop (AMD Hexa Core Ryzen 5/8 GB/512 GB SSD/Windows 11/4 GB)"/>
    <s v="HP Victus 15-fb1001AX (8L083PA) Laptop (AMD Hexa Core Ryzen 5/8 GB/512 GB SSD/Windows 11/4 GB) price in India"/>
    <x v="572"/>
    <n v="10"/>
    <n v="82"/>
    <x v="0"/>
    <d v="2023-09-01T00:00:00"/>
    <s v="Intel Core i5 (12th Gen) 4.2 Ghz, Deca-Core"/>
    <s v="Windows 11"/>
    <x v="16"/>
    <s v="15.6&quot; (39.62 cm), 1920 x 1080 px, IPS LCD Display"/>
    <s v="Web Camera"/>
    <m/>
    <s v="HDMI Port"/>
    <m/>
    <n v="84"/>
    <x v="7"/>
    <x v="40"/>
    <x v="2"/>
  </r>
  <r>
    <s v="Lenovo Ideapad Gaming 3 (82K2028AIN) Laptop (AMD Quad Core Ryzen 5/8 GB/512 GB SSD/Windows 11/4 GB)"/>
    <s v="Lenovo Ideapad Gaming 3 (82K2028AIN) Laptop (AMD Quad Core Ryzen 5/8 GB/512 GB SSD/Windows 11/4 GB) price in India"/>
    <x v="266"/>
    <n v="537"/>
    <n v="82"/>
    <x v="0"/>
    <d v="2023-08-01T00:00:00"/>
    <s v="Intel Core i5 (12th Gen) 4.2 Ghz, Deca-Core"/>
    <s v="Windows 11"/>
    <x v="5"/>
    <s v="15.6&quot; (39.62 cm), 1920 x 1080 px, IPS LCD Display"/>
    <s v="Web Camera"/>
    <s v="Slim 10.4 mm"/>
    <s v="HDMI Port"/>
    <m/>
    <n v="75"/>
    <x v="5"/>
    <x v="40"/>
    <x v="2"/>
  </r>
  <r>
    <s v="Lenovo Ideapad Gaming 3i 15IHU6 (82K101PBIN) Laptop (Core i5 11th Gen/8 GB/512 GB SSD/Windows 11/4 GB)"/>
    <s v="Lenovo Ideapad Gaming 3i 15IHU6 (82K101PBIN) Laptop (Core i5 11th Gen/8 GB/512 GB SSD/Windows 11/4 GB) price in India"/>
    <x v="163"/>
    <n v="1440"/>
    <n v="82"/>
    <x v="0"/>
    <d v="2023-08-01T00:00:00"/>
    <s v="Intel Core i5 (12th Gen) 4.2 Ghz, Deca-Core"/>
    <s v="Windows 11"/>
    <x v="5"/>
    <s v="15.6&quot; (39.62 cm), 1920 x 1080 px, IPS LCD Display"/>
    <s v="Web Camera"/>
    <m/>
    <s v="HDMI Port"/>
    <m/>
    <n v="79"/>
    <x v="5"/>
    <x v="40"/>
    <x v="2"/>
  </r>
  <r>
    <s v="Lenovo ThinkBook 15 G4 (21DJA0Y0IN) Laptop (Core i7 12th Gen/16 GB/512 GB SSD/Windows 11)"/>
    <s v="Lenovo ThinkBook 15 G4 (21DJA0Y0IN) Laptop (Core i7 12th Gen/16 GB/512 GB SSD/Windows 11) price in India"/>
    <x v="573"/>
    <n v="550"/>
    <n v="82"/>
    <x v="0"/>
    <d v="2023-08-01T00:00:00"/>
    <s v="Intel Core i5 (12th Gen) 4.2 Ghz, Deca-Core"/>
    <s v="Windows 11"/>
    <x v="2"/>
    <s v="15.6&quot; (39.62 cm), 1920 x 1080 px, IPS LCD Display"/>
    <s v="Web Camera"/>
    <m/>
    <s v="HDMI Port"/>
    <m/>
    <n v="79"/>
    <x v="5"/>
    <x v="40"/>
    <x v="0"/>
  </r>
  <r>
    <s v="Acer Travelmate TMP214-41-G3 (UN.VSQSI.007) Laptop (AMD Hexa Core Ryzen 5/16 GB/512 GB SSD/Windows 11)"/>
    <s v="Acer Travelmate TMP214-41-G3 (UN.VSQSI.007) Laptop (AMD Hexa Core Ryzen 5/16 GB/512 GB SSD/Windows 11) price in India"/>
    <x v="356"/>
    <n v="90"/>
    <n v="82"/>
    <x v="0"/>
    <d v="2023-08-01T00:00:00"/>
    <s v="Intel Core i5 (12th Gen) 4.2 Ghz, Deca-Core"/>
    <s v="Windows 11"/>
    <x v="2"/>
    <s v="14&quot; (35.56 cm), 1366 x 768 px Display"/>
    <s v="Web Camera"/>
    <s v="Slim 19.9 mm"/>
    <s v="HDMI Port"/>
    <m/>
    <m/>
    <x v="1"/>
    <x v="40"/>
    <x v="0"/>
  </r>
  <r>
    <s v="Acer Travelmate TMP214-41-G3 (UN.VSQSI.006) Laptop (AMD Hexa Core Ryzen 5/8 GB/512 GB SSD/Windows 11)"/>
    <s v="Acer Travelmate TMP214-41-G3 (UN.VSQSI.006) Laptop (AMD Hexa Core Ryzen 5/8 GB/512 GB SSD/Windows 11) price in India"/>
    <x v="574"/>
    <n v="90"/>
    <n v="82"/>
    <x v="0"/>
    <d v="2023-08-01T00:00:00"/>
    <s v="Intel Core i5 (12th Gen) 4.2 Ghz, Octa-Core"/>
    <s v="Windows 11"/>
    <x v="5"/>
    <s v="14&quot; (35.56 cm), 1366 x 768 px Display"/>
    <s v="Web Camera"/>
    <s v="Slim 19.9 mm"/>
    <s v="HDMI Port"/>
    <m/>
    <m/>
    <x v="1"/>
    <x v="40"/>
    <x v="2"/>
  </r>
  <r>
    <s v="Lenovo ThinkBook 15 (21DJA049IH) Laptop (Core i5 12th Gen/8 GB/512 GB SSD/Windows 11)"/>
    <s v="Lenovo ThinkBook 15 (21DJA049IH) Laptop (Core i5 12th Gen/8 GB/512 GB SSD/Windows 11) price in India"/>
    <x v="124"/>
    <n v="165"/>
    <n v="82"/>
    <x v="0"/>
    <d v="2023-08-01T00:00:00"/>
    <s v="Intel Core i5 (12th Gen) 4.2 Ghz, Octa-Core"/>
    <s v="Windows 11"/>
    <x v="5"/>
    <s v="15.6&quot; (39.62 cm), 1920 x 1080 px, IPS LCD Display"/>
    <s v="Web Camera"/>
    <s v="Slim 18.9 mm"/>
    <s v="HDMI Port"/>
    <m/>
    <n v="79"/>
    <x v="5"/>
    <x v="39"/>
    <x v="2"/>
  </r>
  <r>
    <s v="Lenovo LOQ 15APH8 (82XT004JIN) Laptop (AMD Octa Core Ryzen 7/16 GB/512 GB SSD/Windows 11/6 GB)"/>
    <s v="Lenovo LOQ 15APH8 (82XT004JIN) Laptop (AMD Octa Core Ryzen 7/16 GB/512 GB SSD/Windows 11/6 GB) price in India"/>
    <x v="488"/>
    <n v="236"/>
    <n v="82"/>
    <x v="0"/>
    <d v="2023-08-01T00:00:00"/>
    <s v="Intel Core i5 (12th Gen) 4.2 Ghz, Octa-Core"/>
    <s v="Windows 11"/>
    <x v="6"/>
    <s v="15.6&quot; (39.62 cm), 1920 x 1080 px, IPS LCD Display"/>
    <s v="Web Camera"/>
    <m/>
    <s v="HDMI Port"/>
    <m/>
    <m/>
    <x v="5"/>
    <x v="40"/>
    <x v="0"/>
  </r>
  <r>
    <s v="Infinix INBook X2 Plus XL25 Laptop (Core i7 11th Gen/16 GB/1 TB SSD/Windows 11)"/>
    <s v="Infinix INBook X2 Plus XL25 Laptop (Core i7 11th Gen/16 GB/1 TB SSD/Windows 11) price in India"/>
    <x v="373"/>
    <n v="11"/>
    <n v="82"/>
    <x v="0"/>
    <d v="2023-07-01T00:00:00"/>
    <s v="Intel Core i5 (12th Gen) 4.2 Ghz, Octa-Core"/>
    <s v="Windows 11"/>
    <x v="36"/>
    <s v="15.6&quot; (39.62 cm), 1920 x 1080 px, IPS LCD Display"/>
    <s v="Web Camera"/>
    <m/>
    <s v="HDMI Port"/>
    <s v="2 USB Ports"/>
    <n v="72"/>
    <x v="10"/>
    <x v="40"/>
    <x v="0"/>
  </r>
  <r>
    <s v="Lenovo Ideapad Slim 5i 14IRL8 (82XD0040IN) Laptop (Core i7 13th Gen/16 GB/512 GB SSD/Windows 11)"/>
    <s v="Lenovo Ideapad Slim 5i 14IRL8 (82XD0040IN) Laptop (Core i7 13th Gen/16 GB/512 GB SSD/Windows 11) price in India"/>
    <x v="575"/>
    <n v="113"/>
    <n v="82"/>
    <x v="0"/>
    <d v="2023-07-01T00:00:00"/>
    <s v="Intel Core i5 (12th Gen) 4.2 Ghz, Octa-Core"/>
    <s v="Windows 11"/>
    <x v="17"/>
    <s v="14&quot; (35.56 cm), 1920 x 1200 px, OLED Display"/>
    <s v="Web Camera"/>
    <s v="Slim 16.9 mm"/>
    <s v="HDMI Port"/>
    <m/>
    <n v="83"/>
    <x v="5"/>
    <x v="40"/>
    <x v="0"/>
  </r>
  <r>
    <s v="Lenovo IdeaPad Flex 5 14ABR8 (82XX007KIN) Laptop (AMD Hexa Core Ryzen 5/16 GB/512 GB SSD/Windows 11)"/>
    <s v="Lenovo IdeaPad Flex 5 14ABR8 (82XX007KIN) Laptop (AMD Hexa Core Ryzen 5/16 GB/512 GB SSD/Windows 11) price in India"/>
    <x v="576"/>
    <n v="71"/>
    <n v="82"/>
    <x v="0"/>
    <d v="2023-07-01T00:00:00"/>
    <s v="Intel Core i5 (12th Gen) 4.4 Ghz"/>
    <s v="Windows 11"/>
    <x v="30"/>
    <s v="14&quot; (35.56 cm), 1920 x 1200 px, IPS LCD Display"/>
    <s v="Web Camera"/>
    <m/>
    <s v="HDMI Port"/>
    <m/>
    <n v="71"/>
    <x v="5"/>
    <x v="40"/>
    <x v="0"/>
  </r>
  <r>
    <s v="Lenovo Ideapad Slim 5 16IRL8 (82XF003GIN) Laptop (Core i5 13th Gen/16 GB/512 GB SSD/Windows 11)"/>
    <s v="Lenovo Ideapad Slim 5 16IRL8 (82XF003GIN) Laptop (Core i5 13th Gen/16 GB/512 GB SSD/Windows 11) price in India"/>
    <x v="109"/>
    <n v="340"/>
    <n v="82"/>
    <x v="0"/>
    <d v="2023-07-01T00:00:00"/>
    <s v="Intel Core i5 (12th Gen) 4.4 Ghz"/>
    <s v="Windows 11"/>
    <x v="17"/>
    <s v="16&quot; (40.64 cm), 1920 x 1200 px, IPS LCD Display"/>
    <s v="Web Camera"/>
    <s v="Slim 16.9 mm"/>
    <s v="HDMI Port"/>
    <m/>
    <n v="82"/>
    <x v="5"/>
    <x v="40"/>
    <x v="0"/>
  </r>
  <r>
    <s v="Lenovo Ideapad Slim 5 16IRL8 (82XF003JIN) Laptop (Core i7 13th Gen/16 GB/512 GB SSD/Windows 11)"/>
    <s v="Lenovo Ideapad Slim 5 16IRL8 (82XF003JIN) Laptop (Core i7 13th Gen/16 GB/512 GB SSD/Windows 11) price in India"/>
    <x v="577"/>
    <n v="109"/>
    <n v="82"/>
    <x v="0"/>
    <d v="2023-07-01T00:00:00"/>
    <s v="Intel Core i5 (12th Gen) 4.4 Ghz, Deca-Core"/>
    <s v="Windows 11"/>
    <x v="17"/>
    <s v="16&quot; (40.64 cm), 1920 x 1200 px, IPS LCD Display"/>
    <s v="Web Camera"/>
    <s v="Slim 16.9 mm"/>
    <s v="HDMI Port"/>
    <m/>
    <n v="85"/>
    <x v="5"/>
    <x v="40"/>
    <x v="0"/>
  </r>
  <r>
    <s v="Infinix Zero Book 13 ZL513 Laptop (Core i7 13th Gen/16 GB/512 GB SSD/Windows 11)"/>
    <s v="Infinix Zero Book 13 ZL513 Laptop (Core i7 13th Gen/16 GB/512 GB SSD/Windows 11) price in India"/>
    <x v="578"/>
    <n v="141"/>
    <n v="82"/>
    <x v="0"/>
    <d v="2023-07-01T00:00:00"/>
    <s v="Intel Core i5 (12th Gen) 4.4 Ghz, Deca-Core"/>
    <s v="Windows 11"/>
    <x v="8"/>
    <s v="15.6&quot; (39.62 cm), 1920 x 1080 px, IPS LCD Display"/>
    <s v="Web Camera"/>
    <s v="Slim 16.9 mm"/>
    <s v="HDMI Port"/>
    <s v="2 USB Ports"/>
    <n v="79"/>
    <x v="10"/>
    <x v="40"/>
    <x v="0"/>
  </r>
  <r>
    <s v="Infinix Zero Book 13 ZL513 Laptop (Core i5 13th Gen/16 GB/512 GB SSD/Windows 11)"/>
    <s v="Infinix Zero Book 13 ZL513 Laptop (Core i5 13th Gen/16 GB/512 GB SSD/Windows 11) price in India"/>
    <x v="42"/>
    <n v="494"/>
    <n v="82"/>
    <x v="0"/>
    <d v="2023-07-01T00:00:00"/>
    <s v="Intel Core i5 (12th Gen) 4.4 Ghz, Deca-Core"/>
    <s v="Windows 11"/>
    <x v="8"/>
    <s v="15.6&quot; (39.62 cm), 1920 x 1080 px, IPS LCD Display"/>
    <s v="Web Camera"/>
    <s v="Slim 16.9 mm"/>
    <s v="HDMI Port"/>
    <s v="2 USB Ports"/>
    <n v="77"/>
    <x v="10"/>
    <x v="40"/>
    <x v="0"/>
  </r>
  <r>
    <s v="MSI Modern 14 C12M-459IN Laptop (Core i7 12th Gen/16 GB/512 GB SSD/Windows 11)"/>
    <s v="MSI Modern 14 C12M-459IN Laptop (Core i7 12th Gen/16 GB/512 GB SSD/Windows 11) price in India"/>
    <x v="579"/>
    <n v="92"/>
    <n v="82"/>
    <x v="0"/>
    <d v="2023-07-01T00:00:00"/>
    <s v="Intel Core i5 (12th Gen) 4.4 Ghz, Deca-Core"/>
    <s v="Windows 11"/>
    <x v="2"/>
    <s v="14&quot; (35.56 cm), 1920 x 1080 px, IPS LCD Display"/>
    <s v="Web Camera"/>
    <s v="Slim 20 mm"/>
    <s v="HDMI Port"/>
    <s v="3 USB Ports"/>
    <n v="80"/>
    <x v="3"/>
    <x v="40"/>
    <x v="0"/>
  </r>
  <r>
    <s v="Lenovo Ideapad Gaming 3 15ARH7 (82SB00NXIN) Laptop (AMD Hexa Core Ryzen 5/16 GB/512 GB SSD/Windows 11/4 GB)"/>
    <s v="Lenovo Ideapad Gaming 3 15ARH7 (82SB00NXIN) Laptop (AMD Hexa Core Ryzen 5/16 GB/512 GB SSD/Windows 11/4 GB) price in India"/>
    <x v="266"/>
    <n v="614"/>
    <n v="82"/>
    <x v="0"/>
    <d v="2023-07-01T00:00:00"/>
    <s v="Intel Core i5 (12th Gen) 4.4 Ghz, Deca-Core"/>
    <s v="Windows 11"/>
    <x v="6"/>
    <s v="15.6&quot; (39.62 cm), 1920 x 1080 px, IPS LCD Display"/>
    <s v="Web Camera"/>
    <s v="Slim 21.8 mm"/>
    <s v="HDMI Port"/>
    <m/>
    <n v="84"/>
    <x v="5"/>
    <x v="40"/>
    <x v="0"/>
  </r>
  <r>
    <s v="Asus VivoBook 15 X1504ZA-NJ521WS Laptop (Core i5 12th Gen/8 GB/512 GB SSD/Windows 11)"/>
    <s v="Asus VivoBook 15 X1504ZA-NJ521WS Laptop (Core i5 12th Gen/8 GB/512 GB SSD/Windows 11) price in India"/>
    <x v="580"/>
    <n v="35"/>
    <n v="82"/>
    <x v="0"/>
    <d v="2023-06-01T00:00:00"/>
    <s v="Intel Core i5 (12th Gen) 4.4 Ghz, Deca-Core"/>
    <s v="Windows 11"/>
    <x v="5"/>
    <s v="15.6&quot; (39.62 cm), x px Display"/>
    <s v="Web Camera"/>
    <m/>
    <s v="HDMI Port"/>
    <s v="3 USB Ports"/>
    <m/>
    <x v="2"/>
    <x v="40"/>
    <x v="2"/>
  </r>
  <r>
    <s v="Asus VivoBook 15 X515EA-EJ328WS Laptop (Core i3 11th Gen/8 GB/512 GB SSD/Windows 11)"/>
    <s v="Asus VivoBook 15 X515EA-EJ328WS Laptop (Core i3 11th Gen/8 GB/512 GB SSD/Windows 11) price in India"/>
    <x v="247"/>
    <n v="255"/>
    <n v="82"/>
    <x v="0"/>
    <d v="2023-06-01T00:00:00"/>
    <s v="Intel Core i5 (12th Gen) 4.4 Ghz, Deca-Core"/>
    <s v="Windows 11"/>
    <x v="5"/>
    <s v="15.6&quot; (39.62 cm), 1920 x 1080 px, IPS LCD Display"/>
    <s v="Web Camera"/>
    <s v="Slim 19.9 mm"/>
    <s v="HDMI Port"/>
    <m/>
    <m/>
    <x v="2"/>
    <x v="40"/>
    <x v="2"/>
  </r>
  <r>
    <s v="HP 15s-ey1509AU (832R0PA) Laptop (AMD Dual Core Athlon/8 GB/512 GB SSD/Windows 11)"/>
    <s v="HP 15s-ey1509AU (832R0PA) Laptop (AMD Dual Core Athlon/8 GB/512 GB SSD/Windows 11) price in India"/>
    <x v="581"/>
    <n v="3736"/>
    <n v="82"/>
    <x v="0"/>
    <d v="2023-06-01T00:00:00"/>
    <s v="Intel Core i5 (12th Gen) 4.4 Ghz, Deca-Core"/>
    <s v="Windows 11"/>
    <x v="5"/>
    <s v="15.6&quot; (39.62 cm), 1366 x 768 px Display"/>
    <s v="Web Camera"/>
    <s v="Slim 17.9 mm"/>
    <s v="HDMI Port"/>
    <m/>
    <m/>
    <x v="7"/>
    <x v="40"/>
    <x v="2"/>
  </r>
  <r>
    <s v="Infinix INBook X2 Slim XL23 Laptop (Core i3 11th Gen/8 GB/512 GB SSD/Windows 11)"/>
    <s v="Infinix INBook X2 Slim XL23 Laptop (Core i3 11th Gen/8 GB/512 GB SSD/Windows 11) price in India"/>
    <x v="582"/>
    <n v="2051"/>
    <n v="82"/>
    <x v="0"/>
    <d v="2023-06-01T00:00:00"/>
    <s v="Intel Core i5 (12th Gen) 4.4 Ghz, Deca-Core"/>
    <s v="Windows 11"/>
    <x v="48"/>
    <s v="14&quot; (35.56 cm), 1920 x 1080 px, IPS LCD Display"/>
    <s v="Web Camera"/>
    <s v="Slim 14.8 mm"/>
    <s v="HDMI Port"/>
    <s v="2 USB Ports"/>
    <n v="74"/>
    <x v="10"/>
    <x v="40"/>
    <x v="2"/>
  </r>
  <r>
    <s v="Lenovo Thinkpad E14 Gen 5 (21JRS00T00) Laptop (AMD Hexa Core Ryzen 5/8 GB/512 GB SSD/Windows 11)"/>
    <s v="Lenovo Thinkpad E14 Gen 5 (21JRS00T00) Laptop (AMD Hexa Core Ryzen 5/8 GB/512 GB SSD/Windows 11) price in India"/>
    <x v="124"/>
    <n v="79"/>
    <n v="82"/>
    <x v="0"/>
    <d v="2023-06-01T00:00:00"/>
    <s v="Intel Core i5 (12th Gen) 4.4 Ghz, Deca-Core"/>
    <s v="Windows 11"/>
    <x v="5"/>
    <s v="14&quot; (35.56 cm), 1920 x 1200 px, IPS LCD Display"/>
    <s v="Web Camera"/>
    <s v="Slim 17.9 mm"/>
    <s v="HDMI Port"/>
    <m/>
    <n v="75"/>
    <x v="5"/>
    <x v="40"/>
    <x v="2"/>
  </r>
  <r>
    <s v="HP ProBook 445 G8 (7K2K0PA) Laptop (AMD Octa Core Ryzen 7/8 GB/512 GB SSD/DOS)"/>
    <s v="HP ProBook 445 G8 (7K2K0PA) Laptop (AMD Octa Core Ryzen 7/8 GB/512 GB SSD/DOS) price in India"/>
    <x v="247"/>
    <n v="8"/>
    <n v="82"/>
    <x v="0"/>
    <d v="2023-05-01T00:00:00"/>
    <s v="Intel Core i5 (12th Gen) 4.4 Ghz, Deca-Core"/>
    <s v="DOS"/>
    <x v="5"/>
    <s v="14&quot; (35.56 cm), 1920 x 1080 px, IPS LCD Display"/>
    <s v="Web Camera"/>
    <s v="Slim 19.9 mm"/>
    <s v="HDMI Port"/>
    <m/>
    <n v="75"/>
    <x v="7"/>
    <x v="40"/>
    <x v="2"/>
  </r>
  <r>
    <s v="HP 15-fd0019TU (7Q6Z0PA) Laptop (Core i3 13th Gen/8 GB/512 GB SSD/Windows 11)"/>
    <s v="HP 15-fd0019TU (7Q6Z0PA) Laptop (Core i3 13th Gen/8 GB/512 GB SSD/Windows 11) price in India"/>
    <x v="583"/>
    <n v="239"/>
    <n v="82"/>
    <x v="0"/>
    <d v="2023-04-01T00:00:00"/>
    <s v="Intel Core i5 (12th Gen) 4.4 Ghz, Deca-Core"/>
    <s v="Windows 11"/>
    <x v="5"/>
    <s v="15.6&quot; (39.62 cm), 1920 x 1080 px, IPS LCD Display"/>
    <s v="Web Camera"/>
    <s v="Slim 18.6 mm"/>
    <s v="HDMI Port"/>
    <m/>
    <n v="73"/>
    <x v="7"/>
    <x v="40"/>
    <x v="2"/>
  </r>
  <r>
    <s v="MSI GF63 Thin 11SC-1401IN Laptop (Core i5 11th Gen/8 GB/512 GB SSD/Windows 11/4 GB)"/>
    <s v="MSI GF63 Thin 11SC-1401IN Laptop (Core i5 11th Gen/8 GB/512 GB SSD/Windows 11/4 GB) price in India"/>
    <x v="377"/>
    <n v="297"/>
    <n v="82"/>
    <x v="0"/>
    <d v="2023-04-01T00:00:00"/>
    <s v="Intel Core i5 (12th Gen) 4.4 Ghz, Deca-Core"/>
    <s v="Windows 11"/>
    <x v="5"/>
    <s v="15.6&quot; (39.62 cm), 1920 x 1080 px, IPS LCD Display"/>
    <s v="Web Camera"/>
    <m/>
    <s v="HDMI Port"/>
    <m/>
    <n v="74"/>
    <x v="3"/>
    <x v="40"/>
    <x v="2"/>
  </r>
  <r>
    <s v="HP 15-fc0031AU (7L035PA) Laptop (AMD Quad Core Ryzen 5/16 GB/512 GB SSD/Windows 11)"/>
    <s v="HP 15-fc0031AU (7L035PA) Laptop (AMD Quad Core Ryzen 5/16 GB/512 GB SSD/Windows 11) price in India"/>
    <x v="15"/>
    <n v="584"/>
    <n v="82"/>
    <x v="0"/>
    <d v="2023-04-01T00:00:00"/>
    <s v="Intel Core i5 (12th Gen) 4.4 Ghz, Deca-Core"/>
    <s v="Windows 11"/>
    <x v="17"/>
    <s v="15.6&quot; (39.62 cm), 1920 x 1080 px, IPS LCD Display"/>
    <s v="Web Camera"/>
    <s v="Slim 18.6 mm"/>
    <m/>
    <m/>
    <n v="77"/>
    <x v="7"/>
    <x v="40"/>
    <x v="0"/>
  </r>
  <r>
    <s v="Asus VivoBook S15 OLED S5504VA-MA953WS Laptop (Core i9 13th Gen/16 GB/1 TB SSD/Windows 11)"/>
    <s v="Asus VivoBook S15 OLED S5504VA-MA953WS Laptop (Core i9 13th Gen/16 GB/1 TB SSD/Windows 11) price in India"/>
    <x v="9"/>
    <n v="110"/>
    <n v="82"/>
    <x v="0"/>
    <d v="2023-04-01T00:00:00"/>
    <s v="Intel Core i5 (12th Gen) 4.4 Ghz, Deca-Core"/>
    <s v="Windows 11"/>
    <x v="21"/>
    <s v="15.6&quot; (39.62 cm), 2880 x 1620 px, OLED Display"/>
    <s v="Web Camera"/>
    <m/>
    <s v="HDMI Port"/>
    <m/>
    <n v="79"/>
    <x v="2"/>
    <x v="40"/>
    <x v="0"/>
  </r>
  <r>
    <s v="Dell G15-5530 (GN5530D83M6001ORB1) Laptop (Core i5 13th Gen/16 GB/512 GB SSD/Windows 11/6 GB)"/>
    <s v="Dell G15-5530 (GN5530D83M6001ORB1) Laptop (Core i5 13th Gen/16 GB/512 GB SSD/Windows 11/6 GB) price in India"/>
    <x v="30"/>
    <n v="15"/>
    <n v="82"/>
    <x v="0"/>
    <d v="2023-04-01T00:00:00"/>
    <s v="Intel Core i5 (12th Gen) 4.4 Ghz, Deca-Core"/>
    <s v="Windows 11"/>
    <x v="6"/>
    <s v="15.6&quot; (39.62 cm), 1920 x 1080 px Display"/>
    <s v="Web Camera"/>
    <m/>
    <s v="HDMI Port"/>
    <m/>
    <n v="87"/>
    <x v="6"/>
    <x v="40"/>
    <x v="0"/>
  </r>
  <r>
    <s v="Asus Vivobook 15X K3504VAB-NJ541WS Laptop (Core i5 13th Gen/16 GB/512 GB SSD/Windows 11)"/>
    <s v="Asus Vivobook 15X K3504VAB-NJ541WS Laptop (Core i5 13th Gen/16 GB/512 GB SSD/Windows 11) price in India"/>
    <x v="21"/>
    <n v="56"/>
    <n v="82"/>
    <x v="0"/>
    <d v="2023-04-01T00:00:00"/>
    <s v="Intel Core i5 (12th Gen) 4.4 Ghz, Deca-Core"/>
    <s v="Windows 11"/>
    <x v="2"/>
    <s v="15.6&quot; (39.62 cm), 1920 x 1080 px, IPS LCD Display"/>
    <s v="Web Camera"/>
    <s v="Slim 17.9 mm"/>
    <s v="HDMI Port"/>
    <m/>
    <n v="80"/>
    <x v="2"/>
    <x v="40"/>
    <x v="0"/>
  </r>
  <r>
    <s v="MSI Modern 15 B13M-290IN Laptop (Core i7 13th Gen/8 GB/512 GB SSD/Windows 11)"/>
    <s v="MSI Modern 15 B13M-290IN Laptop (Core i7 13th Gen/8 GB/512 GB SSD/Windows 11) price in India"/>
    <x v="584"/>
    <n v="55"/>
    <n v="82"/>
    <x v="0"/>
    <d v="2023-03-01T00:00:00"/>
    <s v="Intel Core i5 (12th Gen) 4.4 Ghz, Deca-Core"/>
    <s v="Windows 11"/>
    <x v="5"/>
    <s v="15.6&quot; (39.62 cm), 1920 x 1080 px, IPS LCD Display"/>
    <s v="Web Camera"/>
    <s v="Slim 19.9 mm"/>
    <s v="HDMI Port"/>
    <m/>
    <n v="75"/>
    <x v="3"/>
    <x v="40"/>
    <x v="2"/>
  </r>
  <r>
    <s v="MSI Modern 14 C13M-435IN Laptop (Core i7 13th Gen/16 GB/512 GB SSD/Windows 11)"/>
    <s v="MSI Modern 14 C13M-435IN Laptop (Core i7 13th Gen/16 GB/512 GB SSD/Windows 11) price in India"/>
    <x v="266"/>
    <n v="145"/>
    <n v="82"/>
    <x v="0"/>
    <d v="2023-03-01T00:00:00"/>
    <s v="Intel Core i5 (12th Gen) 4.4 Ghz, Deca-Core"/>
    <s v="Windows 11"/>
    <x v="2"/>
    <s v="14&quot; (35.56 cm), 1920 x 1080 px, IPS LCD Display"/>
    <s v="Web Camera"/>
    <s v="Slim 19.3 mm"/>
    <s v="HDMI Port"/>
    <m/>
    <n v="76"/>
    <x v="3"/>
    <x v="40"/>
    <x v="0"/>
  </r>
  <r>
    <s v="Dell Vostro 3425 (M552321WIN9S) Laptop (AMD Hexa Core Ryzen 5/16 GB/512 GB SSD/Windows 11)"/>
    <s v="Dell Vostro 3425 (M552321WIN9S) Laptop (AMD Hexa Core Ryzen 5/16 GB/512 GB SSD/Windows 11) price in India"/>
    <x v="585"/>
    <n v="12"/>
    <n v="82"/>
    <x v="0"/>
    <d v="2023-03-01T00:00:00"/>
    <s v="Intel Core i5 (12th Gen) 4.4 Ghz, Deca-Core"/>
    <s v="Windows 11"/>
    <x v="2"/>
    <s v="14&quot; (35.56 cm), x px, IPS LCD Display"/>
    <s v="Web Camera"/>
    <m/>
    <s v="HDMI Port"/>
    <m/>
    <m/>
    <x v="6"/>
    <x v="40"/>
    <x v="0"/>
  </r>
  <r>
    <s v="Lenovo V15 (82TTA00VIH) Laptop (Core i3 12th Gen/8 GB/512 GB SSD/Windows 11)"/>
    <s v="Lenovo V15 (82TTA00VIH) Laptop (Core i3 12th Gen/8 GB/512 GB SSD/Windows 11) price in India"/>
    <x v="586"/>
    <n v="310"/>
    <n v="82"/>
    <x v="0"/>
    <d v="2023-03-01T00:00:00"/>
    <s v="Intel Core i5 (12th Gen) 4.4 Ghz, Deca-Core"/>
    <s v="Windows 11"/>
    <x v="5"/>
    <s v="15.6&quot; (39.62 cm), 1920 x 1080 px, IPS LCD Display"/>
    <s v="Web Camera"/>
    <s v="Slim 20 mm"/>
    <s v="HDMI Port"/>
    <m/>
    <n v="72"/>
    <x v="5"/>
    <x v="39"/>
    <x v="2"/>
  </r>
  <r>
    <s v="HP Pavilion Aero 13-be2055AU (7S458PA) Laptop (AMD Hexa Core Ryzen 5/16 GB/512 GB SSD/Windows 11)"/>
    <s v="HP Pavilion Aero 13-be2055AU (7S458PA) Laptop (AMD Hexa Core Ryzen 5/16 GB/512 GB SSD/Windows 11) price in India"/>
    <x v="108"/>
    <n v="210"/>
    <n v="82"/>
    <x v="0"/>
    <d v="2023-03-01T00:00:00"/>
    <s v="Intel Core i5 (12th Gen) 4.4 Ghz, Deca-Core"/>
    <s v="Windows 11"/>
    <x v="6"/>
    <s v="13.3&quot; (33.78 cm), 1920 x 1200 px, IPS LCD Display"/>
    <s v="Web Camera"/>
    <s v="Slim 16.9 mm"/>
    <s v="HDMI Port"/>
    <m/>
    <n v="76"/>
    <x v="7"/>
    <x v="40"/>
    <x v="0"/>
  </r>
  <r>
    <s v="HP Pavilion Aero 13-be2056AU (7S459PA) Laptop (AMD Hexa Core Ryzen 5/16 GB/512 GB SSD/Windows 11)"/>
    <s v="HP Pavilion Aero 13-be2056AU (7S459PA) Laptop (AMD Hexa Core Ryzen 5/16 GB/512 GB SSD/Windows 11) price in India"/>
    <x v="27"/>
    <n v="210"/>
    <n v="82"/>
    <x v="0"/>
    <d v="2023-03-01T00:00:00"/>
    <s v="Intel Core i5 (12th Gen) 4.4 Ghz, Deca-Core"/>
    <s v="Windows 11"/>
    <x v="6"/>
    <s v="13.3&quot; (33.78 cm), 1920 x 1200 px, IPS LCD Display"/>
    <s v="Web Camera"/>
    <s v="Slim 16.9 mm"/>
    <s v="HDMI Port"/>
    <m/>
    <n v="76"/>
    <x v="7"/>
    <x v="40"/>
    <x v="0"/>
  </r>
  <r>
    <s v="MSI Modern 15 B13M-288IN Laptop (Core i7 13th Gen/16 GB/512 GB SSD/Windows 11)"/>
    <s v="MSI Modern 15 B13M-288IN Laptop (Core i7 13th Gen/16 GB/512 GB SSD/Windows 11) price in India"/>
    <x v="256"/>
    <n v="62"/>
    <n v="82"/>
    <x v="0"/>
    <d v="2023-03-01T00:00:00"/>
    <s v="Intel Core i5 (12th Gen) 4.4 Ghz, Deca-Core"/>
    <s v="Windows 11"/>
    <x v="2"/>
    <s v="15.6&quot; (39.62 cm), 1920 x 1080 px, IPS LCD Display"/>
    <s v="Web Camera"/>
    <s v="Slim 20 mm"/>
    <s v="HDMI Port"/>
    <m/>
    <n v="75"/>
    <x v="3"/>
    <x v="40"/>
    <x v="0"/>
  </r>
  <r>
    <s v="MSI Modern 14 C13M-438IN Laptop (Core i3 13th Gen/8 GB/512 GB SSD/Windows 11)"/>
    <s v="MSI Modern 14 C13M-438IN Laptop (Core i3 13th Gen/8 GB/512 GB SSD/Windows 11) price in India"/>
    <x v="587"/>
    <n v="71"/>
    <n v="82"/>
    <x v="0"/>
    <d v="2023-03-01T00:00:00"/>
    <s v="Intel Core i5 (12th Gen) 4.4 Ghz, Deca-Core"/>
    <s v="Windows 11"/>
    <x v="5"/>
    <s v="14&quot; (35.56 cm), 1920 x 1080 px, IPS LCD Display"/>
    <s v="Web Camera"/>
    <s v="Slim 19 mm"/>
    <s v="HDMI Port"/>
    <m/>
    <n v="72"/>
    <x v="3"/>
    <x v="40"/>
    <x v="2"/>
  </r>
  <r>
    <s v="MSI Prestige 13 Intel Evo A13M-063IN Laptop (Core i7 13th Gen/16 GB/1 TB SSD/Windows 11)"/>
    <s v="MSI Prestige 13 Intel Evo A13M-063IN Laptop (Core i7 13th Gen/16 GB/1 TB SSD/Windows 11) price in India"/>
    <x v="201"/>
    <n v="9"/>
    <n v="82"/>
    <x v="0"/>
    <d v="2023-03-01T00:00:00"/>
    <s v="Intel Core i5 (12th Gen) 4.4 Ghz, Deca-Core"/>
    <s v="Windows 11"/>
    <x v="21"/>
    <s v="13.3&quot; (33.78 cm), 1920 x 1200 px, IPS LCD Display"/>
    <s v="Web Camera"/>
    <s v="Slim 16.9 mm"/>
    <s v="HDMI Port"/>
    <m/>
    <n v="80"/>
    <x v="3"/>
    <x v="40"/>
    <x v="0"/>
  </r>
  <r>
    <s v="Acer Extensa EX215-23 (NX.EH3SI.003) Laptop (AMD Quad Core Ryzen 5/8 GB/512 GB SSD/Windows 11)"/>
    <s v="Acer Extensa EX215-23 (NX.EH3SI.003) Laptop (AMD Quad Core Ryzen 5/8 GB/512 GB SSD/Windows 11) price in India"/>
    <x v="588"/>
    <n v="2137"/>
    <n v="82"/>
    <x v="0"/>
    <d v="2023-02-01T00:00:00"/>
    <s v="Intel Core i5 (12th Gen) 4.4 Ghz, Deca-Core"/>
    <s v="Windows 11"/>
    <x v="20"/>
    <s v="15.6&quot; (39.62 cm), 1920 x 1080 px, IPS LCD Display"/>
    <s v="Web Camera"/>
    <s v="Slim 18.9 mm"/>
    <s v="HDMI Port"/>
    <m/>
    <m/>
    <x v="1"/>
    <x v="40"/>
    <x v="2"/>
  </r>
  <r>
    <s v="MSI Katana 17 B13UDXK-255IN Laptop (Core i7 13th Gen/16 GB/512 GB SSD/Windows 11/6 GB)"/>
    <s v="MSI Katana 17 B13UDXK-255IN Laptop (Core i7 13th Gen/16 GB/512 GB SSD/Windows 11/6 GB) price in India"/>
    <x v="123"/>
    <n v="24"/>
    <n v="82"/>
    <x v="0"/>
    <d v="2023-02-01T00:00:00"/>
    <s v="Intel Core i5 (12th Gen) 4.4 Ghz, Deca-Core"/>
    <s v="Windows 11"/>
    <x v="6"/>
    <s v="17.3&quot; (43.94 cm), 1920 x 1080 px, IPS LCD Display"/>
    <s v="Web Camera"/>
    <m/>
    <s v="HDMI Port"/>
    <m/>
    <n v="83"/>
    <x v="3"/>
    <x v="40"/>
    <x v="0"/>
  </r>
  <r>
    <s v="Asus VivoBook 14 X1402ZA-EK312WS Laptop (Core i3 12th Gen/8 GB/512 GB SSD/Windows 11)"/>
    <s v="Asus VivoBook 14 X1402ZA-EK312WS Laptop (Core i3 12th Gen/8 GB/512 GB SSD/Windows 11) price in India"/>
    <x v="266"/>
    <n v="108"/>
    <n v="82"/>
    <x v="0"/>
    <d v="2023-02-01T00:00:00"/>
    <s v="Intel Core i5 (12th Gen) 4.4 Ghz, Deca-Core"/>
    <s v="Windows 11"/>
    <x v="5"/>
    <s v="14&quot; (35.56 cm), 1920 x 1080 px, IPS LCD Display"/>
    <s v="Web Camera"/>
    <s v="Slim 19.9 mm"/>
    <s v="HDMI Port"/>
    <m/>
    <n v="72"/>
    <x v="2"/>
    <x v="40"/>
    <x v="2"/>
  </r>
  <r>
    <s v="HP 245 G8 (689T3PA) Laptop (AMD Dual Core Ryzen 3/8 GB/512 GB SSD/Windows 11)"/>
    <s v="HP 245 G8 (689T3PA) Laptop (AMD Dual Core Ryzen 3/8 GB/512 GB SSD/Windows 11) price in India"/>
    <x v="589"/>
    <n v="528"/>
    <n v="82"/>
    <x v="0"/>
    <d v="2023-01-01T00:00:00"/>
    <s v="Intel Core i5 (12th Gen) 4.4 Ghz, Deca-Core"/>
    <s v="Windows 11"/>
    <x v="5"/>
    <s v="14&quot; (35.56 cm), 1366 x 768 px, IPS LCD Display"/>
    <s v="Web Camera"/>
    <s v="Slim 19.9 mm"/>
    <s v="HDMI Port"/>
    <m/>
    <m/>
    <x v="7"/>
    <x v="40"/>
    <x v="2"/>
  </r>
  <r>
    <s v="HP Envy x360 Intel Evo 15-ew0043TU (7F692PA) Laptop (Core i5 12th Gen/16 GB/512 GB SSD/Windows 11)"/>
    <s v="HP Envy x360 Intel Evo 15-ew0043TU (7F692PA) Laptop (Core i5 12th Gen/16 GB/512 GB SSD/Windows 11) price in India"/>
    <x v="280"/>
    <n v="22"/>
    <n v="82"/>
    <x v="0"/>
    <d v="2023-01-01T00:00:00"/>
    <s v="Intel Core i5 (12th Gen) 4.4 Ghz, Deca-Core"/>
    <s v="Windows 11"/>
    <x v="2"/>
    <s v="15.6&quot; (39.62 cm), 1920 x 1080 px, OLED Display"/>
    <s v="Web Camera"/>
    <s v="Slim 18.6 mm"/>
    <m/>
    <m/>
    <n v="76"/>
    <x v="7"/>
    <x v="40"/>
    <x v="0"/>
  </r>
  <r>
    <s v="HP Pavilion x360 14-ek1010TU (7N760PA) Laptop (Core i5 13th Gen/16 GB/1 TB SSD/Windows 11)"/>
    <s v="HP Pavilion x360 14-ek1010TU (7N760PA) Laptop (Core i5 13th Gen/16 GB/1 TB SSD/Windows 11) price in India"/>
    <x v="55"/>
    <n v="223"/>
    <n v="82"/>
    <x v="0"/>
    <d v="2023-01-01T00:00:00"/>
    <s v="Intel Core i5 (12th Gen) 4.4 Ghz, Deca-Core"/>
    <s v="Windows 11"/>
    <x v="23"/>
    <s v="14&quot; (35.56 cm), 1920 x 1080 px, IPS LCD Display"/>
    <s v="Web Camera"/>
    <s v="Slim 17 mm"/>
    <s v="HDMI Port"/>
    <m/>
    <n v="76"/>
    <x v="7"/>
    <x v="40"/>
    <x v="0"/>
  </r>
  <r>
    <s v="HP 15s-eq2213AU (7G6H2PA) Laptop (AMD Quad Core Ryzen 3/8 GB/512 GB SSD/Windows 11)"/>
    <s v="HP 15s-eq2213AU (7G6H2PA) Laptop (AMD Quad Core Ryzen 3/8 GB/512 GB SSD/Windows 11) price in India"/>
    <x v="590"/>
    <n v="1345"/>
    <n v="82"/>
    <x v="0"/>
    <d v="2022-12-01T00:00:00"/>
    <s v="Intel Core i5 (12th Gen) 4.4 Ghz, Deca-Core"/>
    <s v="Windows 11"/>
    <x v="5"/>
    <s v="15.6&quot; (39.62 cm), 1920 x 1080 px, IPS LCD Display"/>
    <s v="Web Camera"/>
    <s v="Slim 17.9 mm"/>
    <s v="HDMI Port"/>
    <m/>
    <m/>
    <x v="7"/>
    <x v="40"/>
    <x v="2"/>
  </r>
  <r>
    <s v="Lenovo Legion 5 Pro 16ARH7H (82RG00ELIN) Laptop (AMD Octa Core Ryzen 7/16 GB/1 TB SSD/Windows 11/6 GB)"/>
    <s v="Lenovo Legion 5 Pro 16ARH7H (82RG00ELIN) Laptop (AMD Octa Core Ryzen 7/16 GB/1 TB SSD/Windows 11/6 GB) price in India"/>
    <x v="591"/>
    <n v="48"/>
    <n v="82"/>
    <x v="0"/>
    <d v="2022-12-01T00:00:00"/>
    <s v="Intel Core i5 (12th Gen) 4.4 Ghz, Deca-Core"/>
    <s v="Windows 11"/>
    <x v="10"/>
    <s v="16&quot; (40.64 cm), 2560 x 1600 px, IPS LCD Display"/>
    <s v="Web Camera"/>
    <s v="Slim 20 mm"/>
    <s v="HDMI Port"/>
    <m/>
    <n v="85"/>
    <x v="5"/>
    <x v="40"/>
    <x v="0"/>
  </r>
  <r>
    <s v="Dell Inspiron 14 7420 (D560903WIN9S) Laptop (Core i5 12th Gen/8 GB/512 GB SSD/Windows 11)"/>
    <s v="Dell Inspiron 14 7420 (D560903WIN9S) Laptop (Core i5 12th Gen/8 GB/512 GB SSD/Windows 11) price in India"/>
    <x v="592"/>
    <n v="25"/>
    <n v="82"/>
    <x v="0"/>
    <d v="2022-12-01T00:00:00"/>
    <s v="Intel Core i5 (12th Gen) 4.4 Ghz, Octa-Core"/>
    <s v="Windows 11"/>
    <x v="5"/>
    <s v="14&quot; (35.56 cm), 1920 x 1080 px, IPS LCD Display"/>
    <s v="Web Camera"/>
    <s v="Slim 17.8 mm"/>
    <s v="HDMI Port"/>
    <m/>
    <n v="76"/>
    <x v="6"/>
    <x v="40"/>
    <x v="2"/>
  </r>
  <r>
    <s v="HP Pavilion x360 14-ek0137TU (7C273PA) Laptop (Core i3 12th Gen/8 GB/512 GB SSD/Windows 11)"/>
    <s v="HP Pavilion x360 14-ek0137TU (7C273PA) Laptop (Core i3 12th Gen/8 GB/512 GB SSD/Windows 11) price in India"/>
    <x v="593"/>
    <n v="197"/>
    <n v="82"/>
    <x v="0"/>
    <d v="2022-12-01T00:00:00"/>
    <s v="Intel Core i5 (12th Gen) 4.4 Ghz, Octa-Core"/>
    <s v="Windows 11"/>
    <x v="5"/>
    <s v="14&quot; (35.56 cm), 1920 x 1080 px, IPS LCD Display"/>
    <s v="Web Camera"/>
    <s v="Slim 19.9 mm"/>
    <s v="HDMI Port"/>
    <m/>
    <n v="77"/>
    <x v="7"/>
    <x v="40"/>
    <x v="2"/>
  </r>
  <r>
    <s v="Dell Vostro 3510 (ICC-D585031WIN8) Laptop (Core i3 10th Gen/8 GB/1 TB 256 GB SSD/Windows 11)"/>
    <s v="Dell Vostro 3510 (ICC-D585031WIN8) Laptop (Core i3 10th Gen/8 GB/1 TB 256 GB SSD/Windows 11) price in India"/>
    <x v="594"/>
    <n v="970"/>
    <n v="82"/>
    <x v="0"/>
    <d v="2022-11-01T00:00:00"/>
    <s v="Intel Core i5 (12th Gen) 4.4 Ghz, Octa-Core"/>
    <s v="Windows 11"/>
    <x v="37"/>
    <s v="15.6&quot; (39.62 cm), 1920 x 1080 px, IPS LCD Display"/>
    <s v="Web Camera"/>
    <s v="Slim 18.9 mm"/>
    <s v="HDMI Port"/>
    <m/>
    <m/>
    <x v="6"/>
    <x v="40"/>
    <x v="2"/>
  </r>
  <r>
    <s v="Lenovo Ideapad Gaming 3i 15IHU6 (82K1004EIN) Laptop (Core i7 11th Gen/8 GB/512 GB SSD/Windows 10/4 GB)"/>
    <s v="Lenovo Ideapad Gaming 3i 15IHU6 (82K1004EIN) Laptop (Core i7 11th Gen/8 GB/512 GB SSD/Windows 10/4 GB) price in India"/>
    <x v="30"/>
    <n v="40"/>
    <n v="82"/>
    <x v="0"/>
    <d v="2022-11-01T00:00:00"/>
    <s v="Intel Core i5 (12th Gen) 4.4 Ghz, Octa-Core"/>
    <s v="Windows 10"/>
    <x v="5"/>
    <s v="15.6&quot; (39.62 cm), 1920 x 1080 px, LED Display"/>
    <s v="Web Camera"/>
    <m/>
    <s v="HDMI Port"/>
    <m/>
    <n v="77"/>
    <x v="5"/>
    <x v="40"/>
    <x v="2"/>
  </r>
  <r>
    <s v="Asus VivoBook 15 X1502ZA-EJ381WS Laptop (Core i3 12th Gen/8 GB/512 GB SSD/Windows 11)"/>
    <s v="Asus VivoBook 15 X1502ZA-EJ381WS Laptop (Core i3 12th Gen/8 GB/512 GB SSD/Windows 11) price in India"/>
    <x v="47"/>
    <n v="1212"/>
    <n v="82"/>
    <x v="0"/>
    <d v="2022-11-01T00:00:00"/>
    <s v="Intel Core i5 (12th Gen) 4.4 Ghz, Octa-Core"/>
    <s v="Windows 11"/>
    <x v="5"/>
    <s v="15.6&quot; (39.62 cm), 1920 x 1080 px Display"/>
    <s v="Web Camera"/>
    <s v="Slim 19.9 mm"/>
    <s v="HDMI Port"/>
    <m/>
    <n v="73"/>
    <x v="2"/>
    <x v="40"/>
    <x v="2"/>
  </r>
  <r>
    <s v="Infinix INBook X2 Plus XL25 Laptop (Core i5 11th Gen/8 GB/512 GB SSD/Windows 11)"/>
    <s v="Infinix INBook X2 Plus XL25 Laptop (Core i5 11th Gen/8 GB/512 GB SSD/Windows 11) price in India"/>
    <x v="21"/>
    <n v="357"/>
    <n v="82"/>
    <x v="0"/>
    <d v="2022-10-01T00:00:00"/>
    <s v="Intel Core i5 (12th Gen) 4.4 Ghz, Octa-Core"/>
    <s v="Windows 11"/>
    <x v="48"/>
    <s v="15.6&quot; (39.62 cm), 1920 x 1080 px, IPS LCD Display"/>
    <s v="Web Camera"/>
    <m/>
    <s v="HDMI Port"/>
    <s v="2 USB Ports"/>
    <m/>
    <x v="10"/>
    <x v="40"/>
    <x v="2"/>
  </r>
  <r>
    <s v="Dell G15-5520 (D560897WIN9S) Laptop (Core i9 12th Gen/16 GB/1 TB SSD/Windows 11/6 GB)"/>
    <s v="Dell G15-5520 (D560897WIN9S) Laptop (Core i9 12th Gen/16 GB/1 TB SSD/Windows 11/6 GB) price in India"/>
    <x v="595"/>
    <n v="54"/>
    <n v="82"/>
    <x v="0"/>
    <d v="2022-10-01T00:00:00"/>
    <s v="Intel Core i5 (12th Gen) 4.4 Ghz, Octa-Core"/>
    <s v="Windows 11"/>
    <x v="10"/>
    <s v="15.6&quot; (39.62 cm), 1920 x 1080 px, IPS LCD Display"/>
    <s v="Web Camera"/>
    <m/>
    <s v="HDMI Port"/>
    <m/>
    <n v="85"/>
    <x v="6"/>
    <x v="40"/>
    <x v="0"/>
  </r>
  <r>
    <s v="Gigabyte G5 MD-51IN123SE (RC45MD) Laptop (Core i5 11th Gen/16 GB/512 GB SSD/Windows 11/4 GB)"/>
    <s v="Gigabyte G5 MD-51IN123SE (RC45MD) Laptop (Core i5 11th Gen/16 GB/512 GB SSD/Windows 11/4 GB) price in India"/>
    <x v="237"/>
    <n v="13"/>
    <n v="82"/>
    <x v="0"/>
    <d v="2022-10-01T00:00:00"/>
    <s v="Intel Core i5 (12th Gen) 4.4 Ghz, Octa-Core"/>
    <s v="Windows 11"/>
    <x v="2"/>
    <s v="15.6&quot; (39.62 cm), 1920 x 1080 px, IPS LCD Display"/>
    <s v="Web Camera"/>
    <m/>
    <s v="HDMI Port"/>
    <m/>
    <n v="78"/>
    <x v="11"/>
    <x v="40"/>
    <x v="0"/>
  </r>
  <r>
    <s v="Lenovo V15 (82KDA00XIH) Laptop (AMD Hexa Core Ryzen 5/8 GB/512 GB SSD/Windows 11)"/>
    <s v="Lenovo V15 (82KDA00XIH) Laptop (AMD Hexa Core Ryzen 5/8 GB/512 GB SSD/Windows 11) price in India"/>
    <x v="596"/>
    <n v="152"/>
    <n v="82"/>
    <x v="0"/>
    <d v="2022-10-01T00:00:00"/>
    <s v="Intel Core i5 (12th Gen) 4.4 Ghz, Octa-Core"/>
    <s v="Windows 11"/>
    <x v="5"/>
    <s v="15.6&quot; (39.62 cm), 1920 x 1080 px, IPS LCD Display"/>
    <s v="Web Camera"/>
    <s v="Slim 20 mm"/>
    <s v="HDMI Port"/>
    <s v="3 USB Ports"/>
    <m/>
    <x v="5"/>
    <x v="40"/>
    <x v="2"/>
  </r>
  <r>
    <s v="Dell Inspiron 15 3520 (D560896WIN9B) Laptop (Core i3 12th Gen/8 GB/512 GB SSD/Windows 11)"/>
    <s v="Dell Inspiron 15 3520 (D560896WIN9B) Laptop (Core i3 12th Gen/8 GB/512 GB SSD/Windows 11) price in India"/>
    <x v="47"/>
    <n v="1680"/>
    <n v="82"/>
    <x v="0"/>
    <d v="2022-10-01T00:00:00"/>
    <s v="Intel Core i5 (12th Gen) 4.4 Ghz, Octa-Core"/>
    <s v="Windows 11"/>
    <x v="5"/>
    <s v="15.6&quot; (39.62 cm), 1920 x 1080 px, IPS LCD Display"/>
    <s v="Web Camera"/>
    <s v="Slim 21 mm"/>
    <s v="HDMI Port"/>
    <m/>
    <n v="72"/>
    <x v="6"/>
    <x v="40"/>
    <x v="2"/>
  </r>
  <r>
    <s v="Dell Inspiron 13 5320 (D560853WIN9S) Laptop (Core i5 12th Gen/16 GB/512 GB SSD/Windows 11)"/>
    <s v="Dell Inspiron 13 5320 (D560853WIN9S) Laptop (Core i5 12th Gen/16 GB/512 GB SSD/Windows 11) price in India"/>
    <x v="185"/>
    <n v="32"/>
    <n v="82"/>
    <x v="0"/>
    <d v="2022-09-01T00:00:00"/>
    <s v="Intel Core i5 (12th Gen) 4.4 Ghz, Octa-Core"/>
    <s v="Windows 11"/>
    <x v="17"/>
    <s v="13.3&quot; (33.78 cm), 2560 x 1600 px, IPS LCD Display"/>
    <s v="Web Camera"/>
    <s v="Slim 13.9 mm"/>
    <s v="HDMI Port"/>
    <m/>
    <n v="72"/>
    <x v="6"/>
    <x v="40"/>
    <x v="0"/>
  </r>
  <r>
    <s v="Lenovo Ideapad Gaming 3 Gen 6 (82K201UEIN) Laptop (AMD Hexa Core Ryzen 5/8 GB/512 GB SSD/Windows 11/4 GB)"/>
    <s v="Lenovo Ideapad Gaming 3 Gen 6 (82K201UEIN) Laptop (AMD Hexa Core Ryzen 5/8 GB/512 GB SSD/Windows 11/4 GB) price in India"/>
    <x v="573"/>
    <n v="462"/>
    <n v="82"/>
    <x v="0"/>
    <d v="2022-08-01T00:00:00"/>
    <s v="Intel Core i5 (12th Gen) 4.4 Ghz, Octa-Core"/>
    <s v="Windows 11"/>
    <x v="5"/>
    <s v="15.6&quot; (39.62 cm), 1920 x 1080 px, IPS LCD Display"/>
    <s v="Web Camera"/>
    <m/>
    <s v="HDMI Port"/>
    <m/>
    <n v="76"/>
    <x v="5"/>
    <x v="40"/>
    <x v="2"/>
  </r>
  <r>
    <s v="HP Pavilion x360 14-ek0074TU (6Q0Y9PA) Laptop (Core i5 12th Gen/16 GB/512 GB SSD/Windows 11)"/>
    <s v="HP Pavilion x360 14-ek0074TU (6Q0Y9PA) Laptop (Core i5 12th Gen/16 GB/512 GB SSD/Windows 11) price in India"/>
    <x v="27"/>
    <n v="219"/>
    <n v="82"/>
    <x v="0"/>
    <d v="2022-08-01T00:00:00"/>
    <s v="Intel Core i5 (12th Gen) 4.4 Ghz, Octa-Core"/>
    <s v="Windows 11"/>
    <x v="2"/>
    <s v="14&quot; (35.56 cm), 1920 x 1080 px, IPS LCD Display"/>
    <s v="Web Camera"/>
    <s v="Slim 19.9 mm"/>
    <s v="HDMI Port"/>
    <m/>
    <n v="76"/>
    <x v="7"/>
    <x v="40"/>
    <x v="0"/>
  </r>
  <r>
    <s v="Asus VivoBook 15 X515JA-EJ382WS Laptop (Core i3 10th Gen/8 GB/512 GB SSD/Windows 11)"/>
    <s v="Asus VivoBook 15 X515JA-EJ382WS Laptop (Core i3 10th Gen/8 GB/512 GB SSD/Windows 11) price in India"/>
    <x v="597"/>
    <n v="299"/>
    <n v="82"/>
    <x v="0"/>
    <d v="2022-08-01T00:00:00"/>
    <s v="Intel Core i5 (12th Gen) 4.4 Ghz, Octa-Core"/>
    <s v="Windows 11"/>
    <x v="5"/>
    <s v="15.6&quot; (39.62 cm), 1920 x 1080 px Display"/>
    <s v="Web Camera"/>
    <s v="Slim 20 mm"/>
    <s v="HDMI Port"/>
    <m/>
    <m/>
    <x v="2"/>
    <x v="40"/>
    <x v="2"/>
  </r>
  <r>
    <s v="Lenovo Ideapad Slim 3 (81X800LCIN) Laptop (Core i3 11th Gen/8 GB/256 GB SSD/Windows 11)"/>
    <s v="Lenovo Ideapad Slim 3 (81X800LCIN) Laptop (Core i3 11th Gen/8 GB/256 GB SSD/Windows 11) price in India"/>
    <x v="598"/>
    <n v="2306"/>
    <n v="82"/>
    <x v="0"/>
    <d v="2022-08-01T00:00:00"/>
    <s v="Intel Core i5 (12th Gen) 4.4 Ghz, Octa-Core"/>
    <s v="Windows 11"/>
    <x v="38"/>
    <s v="15.6&quot; (39.62 cm), 1920 x 1080 px, TN LCD Display"/>
    <s v="Web Camera"/>
    <s v="Slim 19.9 mm"/>
    <s v="HDMI Port"/>
    <m/>
    <m/>
    <x v="5"/>
    <x v="40"/>
    <x v="2"/>
  </r>
  <r>
    <s v="HP Victus 15-fa0351TX (6N029PA) Laptop (Core i7 12th Gen/8 GB/512 GB SSD/Windows 11/4 GB)"/>
    <s v="HP Victus 15-fa0351TX (6N029PA) Laptop (Core i7 12th Gen/8 GB/512 GB SSD/Windows 11/4 GB) price in India"/>
    <x v="599"/>
    <n v="14"/>
    <n v="82"/>
    <x v="0"/>
    <d v="2022-08-01T00:00:00"/>
    <s v="Intel Core i5 (12th Gen) 4.4 Ghz, Octa-Core"/>
    <s v="Windows 11"/>
    <x v="5"/>
    <s v="15.6&quot; (39.62 cm), 1920 x 1080 px Display"/>
    <s v="Web Camera"/>
    <m/>
    <s v="HDMI Port"/>
    <m/>
    <n v="81"/>
    <x v="7"/>
    <x v="40"/>
    <x v="2"/>
  </r>
  <r>
    <s v="Lenovo Ideapad Slim 3i (81X800LAIN) Laptop (Core i3 11th Gen/8 GB/512 GB SSD/Windows 11)"/>
    <s v="Lenovo Ideapad Slim 3i (81X800LAIN) Laptop (Core i3 11th Gen/8 GB/512 GB SSD/Windows 11) price in India"/>
    <x v="600"/>
    <n v="1764"/>
    <n v="82"/>
    <x v="0"/>
    <d v="2022-08-01T00:00:00"/>
    <s v="Intel Core i5 (12th Gen) 4.4 Ghz, Octa-Core"/>
    <s v="Windows 11"/>
    <x v="5"/>
    <s v="15.6&quot; (39.62 cm), 1920 x 1080 px, TN LCD Display"/>
    <s v="Web Camera"/>
    <s v="Slim 20 mm"/>
    <s v="HDMI Port"/>
    <m/>
    <n v="73"/>
    <x v="5"/>
    <x v="40"/>
    <x v="2"/>
  </r>
  <r>
    <s v="Asus VivoBook Pro 15 OLED M3500QC-L901WS Laptop (AMD Octa Core Ryzen 9/16 GB/1 TB SSD/Windows 11/4 GB)"/>
    <s v="Asus VivoBook Pro 15 OLED M3500QC-L901WS Laptop (AMD Octa Core Ryzen 9/16 GB/1 TB SSD/Windows 11/4 GB) price in India"/>
    <x v="601"/>
    <n v="13"/>
    <n v="82"/>
    <x v="0"/>
    <d v="2022-08-01T00:00:00"/>
    <s v="Intel Core i5 (12th Gen) 4.4 Ghz, Octa-Core"/>
    <s v="Windows 11"/>
    <x v="10"/>
    <s v="15.6&quot; (39.62 cm), 1920 x 1080 px, OLED Display"/>
    <s v="Web Camera"/>
    <s v="Slim 19.9 mm"/>
    <s v="HDMI Port"/>
    <s v="3 USB Ports"/>
    <n v="82"/>
    <x v="2"/>
    <x v="40"/>
    <x v="0"/>
  </r>
  <r>
    <s v="HP 255 G8 (689T4PA) Laptop (AMD Dual Core Ryzen 3/8 GB/512 GB SSD/Windows 11)"/>
    <s v="HP 255 G8 (689T4PA) Laptop (AMD Dual Core Ryzen 3/8 GB/512 GB SSD/Windows 11) price in India"/>
    <x v="602"/>
    <n v="492"/>
    <n v="82"/>
    <x v="0"/>
    <d v="2022-08-01T00:00:00"/>
    <s v="Intel Core i5 (12th Gen) 4.4 Ghz, Octa-Core"/>
    <s v="Windows 11"/>
    <x v="5"/>
    <s v="15.6&quot; (39.62 cm), 1920 x 1080 px Display"/>
    <s v="Web Camera"/>
    <m/>
    <s v="HDMI Port"/>
    <m/>
    <m/>
    <x v="7"/>
    <x v="40"/>
    <x v="2"/>
  </r>
  <r>
    <s v="Lenovo Ideapad Slim 3i (82RJ0040IN) Laptop (Core i3 12th Gen/8 GB/512 GB SSD/Windows 11)"/>
    <s v="Lenovo Ideapad Slim 3i (82RJ0040IN) Laptop (Core i3 12th Gen/8 GB/512 GB SSD/Windows 11) price in India"/>
    <x v="356"/>
    <n v="761"/>
    <n v="82"/>
    <x v="0"/>
    <d v="2022-07-01T00:00:00"/>
    <s v="Intel Core i5 (12th Gen) 4.4 Ghz, Octa-Core"/>
    <s v="Windows 11"/>
    <x v="5"/>
    <s v="14&quot; (35.56 cm), 1920 x 1080 px, IPS LCD Display"/>
    <s v="Web Camera"/>
    <s v="Slim 20 mm"/>
    <s v="HDMI Port"/>
    <m/>
    <n v="73"/>
    <x v="5"/>
    <x v="40"/>
    <x v="2"/>
  </r>
  <r>
    <s v="Lenovo Ideapad Flex 5i (82R70068IN) Laptop (Core i5 12th Gen/8 GB/512 GB SSD/Windows 11)"/>
    <s v="Lenovo Ideapad Flex 5i (82R70068IN) Laptop (Core i5 12th Gen/8 GB/512 GB SSD/Windows 11) price in India"/>
    <x v="55"/>
    <n v="36"/>
    <n v="82"/>
    <x v="0"/>
    <d v="2022-07-01T00:00:00"/>
    <s v="Intel Core i5 (12th Gen) 4.4 Ghz, Octa-Core"/>
    <s v="Windows 11"/>
    <x v="48"/>
    <s v="14&quot; (35.56 cm), 1920 x 1200 px, IPS LCD Display"/>
    <s v="Web Camera"/>
    <s v="Slim 17.4 mm"/>
    <s v="HDMI Port"/>
    <m/>
    <n v="76"/>
    <x v="5"/>
    <x v="40"/>
    <x v="2"/>
  </r>
  <r>
    <s v="HP 14s-fq0568AU (6C4A9PA) Laptop (AMD Dual Core Athlon/8 GB/256 GB SSD/Windows 11)"/>
    <s v="HP 14s-fq0568AU (6C4A9PA) Laptop (AMD Dual Core Athlon/8 GB/256 GB SSD/Windows 11) price in India"/>
    <x v="603"/>
    <n v="3809"/>
    <n v="82"/>
    <x v="0"/>
    <d v="2022-07-01T00:00:00"/>
    <s v="Intel Core i5 (12th Gen) 4.4 Ghz, Octa-Core"/>
    <s v="Windows 11"/>
    <x v="38"/>
    <s v="14&quot; (35.56 cm), 1366 x 768 px Display"/>
    <s v="Web Camera"/>
    <s v="Slim 17 mm"/>
    <s v="HDMI Port"/>
    <m/>
    <m/>
    <x v="7"/>
    <x v="40"/>
    <x v="2"/>
  </r>
  <r>
    <s v="HP 14s-dy5005TU Laptop (Core i5 12th Gen/16 GB/512 GB SSD/Windows 11)"/>
    <s v="HP 14s-dy5005TU Laptop (Core i5 12th Gen/16 GB/512 GB SSD/Windows 11) price in India"/>
    <x v="62"/>
    <n v="2897"/>
    <n v="82"/>
    <x v="0"/>
    <d v="2022-07-01T00:00:00"/>
    <s v="Intel Core i5 (12th Gen) 4.4 Ghz, Octa-Core"/>
    <s v="Windows 11"/>
    <x v="2"/>
    <s v="14&quot; (35.56 cm), 1920 x 1080 px, OLED Display"/>
    <s v="Web Camera"/>
    <s v="Slim 18 mm"/>
    <s v="HDMI Port"/>
    <m/>
    <n v="80"/>
    <x v="7"/>
    <x v="40"/>
    <x v="0"/>
  </r>
  <r>
    <s v="Lenovo Ideapad Slim 3i (82RK0085IN) Laptop (Core i5 12th Gen/16 GB/512 GB SSD/Windows 11)"/>
    <s v="Lenovo Ideapad Slim 3i (82RK0085IN) Laptop (Core i5 12th Gen/16 GB/512 GB SSD/Windows 11) price in India"/>
    <x v="392"/>
    <n v="2109"/>
    <n v="82"/>
    <x v="0"/>
    <d v="2022-07-01T00:00:00"/>
    <s v="Intel Core i5 (12th Gen) 4.4 Ghz, Octa-Core"/>
    <s v="Windows 11"/>
    <x v="2"/>
    <s v="15.6&quot; (39.62 cm), 1920 x 1080 px, TN LCD Display"/>
    <s v="Web Camera"/>
    <s v="Slim 20 mm"/>
    <s v="HDMI Port"/>
    <m/>
    <n v="80"/>
    <x v="5"/>
    <x v="40"/>
    <x v="0"/>
  </r>
  <r>
    <s v="HP Envy 13 x360 Intel Evo 13-bf0059TU (6K7X2PA) Laptop (Core i7 12th Gen/16 GB/512 GB SSD/Windows 11)"/>
    <s v="HP Envy 13 x360 Intel Evo 13-bf0059TU (6K7X2PA) Laptop (Core i7 12th Gen/16 GB/512 GB SSD/Windows 11) price in India"/>
    <x v="604"/>
    <n v="97"/>
    <n v="82"/>
    <x v="0"/>
    <d v="2022-07-01T00:00:00"/>
    <s v="Intel Core i5 (12th Gen) 4.4 Ghz, Octa-Core"/>
    <s v="Windows 11"/>
    <x v="30"/>
    <s v="13.3&quot; (33.78 cm), 2880 x 1800 px, OLED Display"/>
    <s v="Web Camera"/>
    <s v="Slim 16.1 mm"/>
    <s v="HDMI Port"/>
    <m/>
    <n v="78"/>
    <x v="7"/>
    <x v="40"/>
    <x v="0"/>
  </r>
  <r>
    <s v="Asus Chromebook Flip C214MA-BU0704 Laptop (Intel Celeron Dual Core/4 GB/32 GB eMMC/Google Chrome)"/>
    <s v="Asus Chromebook Flip C214MA-BU0704 Laptop (Intel Celeron Dual Core/4 GB/32 GB eMMC/Google Chrome) price in India"/>
    <x v="426"/>
    <n v="5157"/>
    <n v="82"/>
    <x v="0"/>
    <d v="2022-07-01T00:00:00"/>
    <s v="Intel Core i5 (12th Gen) 4.4 Ghz, Octa-Core"/>
    <s v="Google Chrome"/>
    <x v="66"/>
    <s v="11.6&quot; (29.46 cm), 1366 x 768 px, IPS LCD Display"/>
    <s v="Web Camera"/>
    <s v="Slim 20.1 mm"/>
    <m/>
    <m/>
    <m/>
    <x v="2"/>
    <x v="40"/>
    <x v="7"/>
  </r>
  <r>
    <s v="Dell Inspiron 15 3511 (D560841WIN9S) Laptop (Core i3 11th Gen/8 GB/1 TB 256 GB SSD/Windows 11)"/>
    <s v="Dell Inspiron 15 3511 (D560841WIN9S) Laptop (Core i3 11th Gen/8 GB/1 TB 256 GB SSD/Windows 11) price in India"/>
    <x v="605"/>
    <n v="731"/>
    <n v="82"/>
    <x v="0"/>
    <d v="2022-07-01T00:00:00"/>
    <s v="Intel Core i5 (12th Gen) 4.4 Ghz, Octa-Core"/>
    <s v="Windows 11"/>
    <x v="37"/>
    <s v="15.6&quot; (39.62 cm), 1920 x 1080 px Display"/>
    <s v="Web Camera"/>
    <m/>
    <s v="HDMI Port"/>
    <m/>
    <m/>
    <x v="6"/>
    <x v="40"/>
    <x v="2"/>
  </r>
  <r>
    <s v="Lenovo Ideapad Gaming 3 15IHU6 (82K10198IN) Laptop (Core i5 11th Gen/8 GB/512 GB SSD/Windows 11/4 GB)"/>
    <s v="Lenovo Ideapad Gaming 3 15IHU6 (82K10198IN) Laptop (Core i5 11th Gen/8 GB/512 GB SSD/Windows 11/4 GB) price in India"/>
    <x v="247"/>
    <n v="859"/>
    <n v="82"/>
    <x v="0"/>
    <d v="2022-07-01T00:00:00"/>
    <s v="Intel Core i5 (12th Gen) 4.5 Ghz"/>
    <s v="Windows 11"/>
    <x v="5"/>
    <s v="15.6&quot; (39.62 cm), 1920 x 1080 px Display"/>
    <s v="Web Camera"/>
    <m/>
    <s v="HDMI Port"/>
    <m/>
    <n v="75"/>
    <x v="5"/>
    <x v="40"/>
    <x v="2"/>
  </r>
  <r>
    <s v="Dell Vostro 3400 (D552221WIN9BE) Laptop (Core i3 11th Gen/4 GB/1 TB 256 GB SSD/Windows 11)"/>
    <s v="Dell Vostro 3400 (D552221WIN9BE) Laptop (Core i3 11th Gen/4 GB/1 TB 256 GB SSD/Windows 11) price in India"/>
    <x v="71"/>
    <n v="107"/>
    <n v="82"/>
    <x v="0"/>
    <d v="2022-07-01T00:00:00"/>
    <s v="Intel Core i5 (12th Gen) 4.5 Ghz"/>
    <s v="Windows 11"/>
    <x v="49"/>
    <s v="14&quot; (35.56 cm), 1920 x 1080 px Display"/>
    <s v="Web Camera"/>
    <s v="Slim 18 mm"/>
    <s v="HDMI Port"/>
    <m/>
    <m/>
    <x v="6"/>
    <x v="40"/>
    <x v="7"/>
  </r>
  <r>
    <s v="Lenovo Ideapad Slim 3i 15ITL6 (82H801LHIN) Laptop (Core i3 11th Gen/8 GB/512 GB SSD/Windows 11)"/>
    <s v="Lenovo Ideapad Slim 3i 15ITL6 (82H801LHIN) Laptop (Core i3 11th Gen/8 GB/512 GB SSD/Windows 11) price in India"/>
    <x v="606"/>
    <n v="50"/>
    <n v="82"/>
    <x v="0"/>
    <d v="2022-07-01T00:00:00"/>
    <s v="Intel Core i5 (12th Gen) 4.5 Ghz"/>
    <s v="Windows 11"/>
    <x v="5"/>
    <s v="15.6&quot; (39.62 cm), 1920 x 1080 px, TN LCD Display"/>
    <s v="Web Camera"/>
    <s v="Slim 20 mm"/>
    <s v="HDMI Port"/>
    <m/>
    <m/>
    <x v="5"/>
    <x v="40"/>
    <x v="2"/>
  </r>
  <r>
    <s v="Asus ROG Zephyrus G14 GA402RJZ-L4135WS Laptop (AMD Octa Core Ryzen 7/16 GB/1 TB SSD/Windows 11/8 GB)"/>
    <s v="Asus ROG Zephyrus G14 GA402RJZ-L4135WS Laptop (AMD Octa Core Ryzen 7/16 GB/1 TB SSD/Windows 11/8 GB) price in India"/>
    <x v="22"/>
    <n v="9"/>
    <n v="82"/>
    <x v="0"/>
    <d v="2022-07-01T00:00:00"/>
    <s v="Intel Core i5 (12th Gen) 4.5 Ghz"/>
    <s v="Windows 11"/>
    <x v="10"/>
    <s v="14&quot; (35.56 cm), 1920 x 1200 px Display"/>
    <s v="Web Camera"/>
    <s v="Slim 19 mm"/>
    <s v="HDMI Port"/>
    <m/>
    <n v="84"/>
    <x v="2"/>
    <x v="40"/>
    <x v="0"/>
  </r>
  <r>
    <s v="Dell Vostro 3400 (D552260WIN9D) Laptop (Core i5 11th Gen/8 GB/512 GB SSD/Windows 11)"/>
    <s v="Dell Vostro 3400 (D552260WIN9D) Laptop (Core i5 11th Gen/8 GB/512 GB SSD/Windows 11) price in India"/>
    <x v="377"/>
    <n v="25"/>
    <n v="82"/>
    <x v="0"/>
    <d v="2022-06-01T00:00:00"/>
    <s v="Intel Core i5 (12th Gen) 4.5 Ghz"/>
    <s v="Windows 11"/>
    <x v="5"/>
    <s v="14&quot; (35.56 cm), 1920 x 1080 px, IPS LCD Display"/>
    <s v="Web Camera"/>
    <s v="Slim 18 mm"/>
    <s v="HDMI Port"/>
    <m/>
    <n v="72"/>
    <x v="6"/>
    <x v="40"/>
    <x v="2"/>
  </r>
  <r>
    <s v="Asus VivoBook 15 X512DA-BQ302WS Laptop (AMD Dual Core Ryzen 3/8 GB/256 GB SSD/Windows 11)"/>
    <s v="Asus VivoBook 15 X512DA-BQ302WS Laptop (AMD Dual Core Ryzen 3/8 GB/256 GB SSD/Windows 11) price in India"/>
    <x v="133"/>
    <n v="507"/>
    <n v="82"/>
    <x v="0"/>
    <d v="2022-06-01T00:00:00"/>
    <s v="Intel Core i5 (12th Gen) 4.5 Ghz"/>
    <s v="Windows 11"/>
    <x v="38"/>
    <s v="15.6&quot; (39.62 cm), 1920 x 1080 px, IPS LCD Display"/>
    <s v="Web Camera"/>
    <s v="Slim 20 mm"/>
    <s v="HDMI Port"/>
    <m/>
    <m/>
    <x v="2"/>
    <x v="40"/>
    <x v="2"/>
  </r>
  <r>
    <s v="Lenovo Ideapad Gaming 3 Gen 6 (82K201UNIN) Laptop (AMD Octa Core Ryzen 7/16 GB/512 GB SSD/Windows 11/6 GB)"/>
    <s v="Lenovo Ideapad Gaming 3 Gen 6 (82K201UNIN) Laptop (AMD Octa Core Ryzen 7/16 GB/512 GB SSD/Windows 11/6 GB) price in India"/>
    <x v="607"/>
    <n v="69"/>
    <n v="82"/>
    <x v="0"/>
    <d v="2022-06-01T00:00:00"/>
    <s v="Intel Core i5 (12th Gen) 4.5 Ghz"/>
    <s v="Windows 11"/>
    <x v="2"/>
    <s v="15.6&quot; (39.62 cm), 1920 x 1080 px, IPS LCD Display"/>
    <s v="Web Camera"/>
    <m/>
    <s v="HDMI Port"/>
    <s v="3 USB Ports"/>
    <n v="80"/>
    <x v="5"/>
    <x v="40"/>
    <x v="0"/>
  </r>
  <r>
    <s v="Asus ROG Flow Z13 GZ301ZA-LD049WS Laptop (Core i5 12th Gen/16 GB/512 GB SSD/Windows 11)"/>
    <s v="Asus ROG Flow Z13 GZ301ZA-LD049WS Laptop (Core i5 12th Gen/16 GB/512 GB SSD/Windows 11) price in India"/>
    <x v="9"/>
    <n v="35"/>
    <n v="82"/>
    <x v="0"/>
    <d v="2022-06-01T00:00:00"/>
    <s v="Intel Core i5 (12th Gen) 4.5 Ghz"/>
    <s v="Windows 11"/>
    <x v="17"/>
    <s v="13.4&quot; (34.04 cm), 1920 x 1200 px, IPS LCD Display"/>
    <s v="Web Camera"/>
    <s v="Slim 12.0 mm"/>
    <m/>
    <m/>
    <n v="78"/>
    <x v="2"/>
    <x v="40"/>
    <x v="0"/>
  </r>
  <r>
    <s v="Infinix INBook X1 Slim XL21 Laptop (Core i7 10th Gen/16 GB/512 GB SSD/Windows 11/128 MB)"/>
    <s v="Infinix INBook X1 Slim XL21 Laptop (Core i7 10th Gen/16 GB/512 GB SSD/Windows 11/128 MB) price in India"/>
    <x v="148"/>
    <n v="223"/>
    <n v="82"/>
    <x v="0"/>
    <d v="2022-06-01T00:00:00"/>
    <s v="Intel Core i5 (12th Gen) 4.5 Ghz"/>
    <s v="Windows 11"/>
    <x v="30"/>
    <s v="14&quot; (35.56 cm), 1920 x 1080 px, IPS LCD Display"/>
    <s v="Web Camera"/>
    <s v="Slim 14.8 mm"/>
    <s v="HDMI Port"/>
    <s v="2 USB Ports"/>
    <m/>
    <x v="10"/>
    <x v="40"/>
    <x v="0"/>
  </r>
  <r>
    <s v="Infinix INBook X1 Slim XL21 Laptop (Core i5 10th Gen/8 GB/512 GB SSD/Windows 11/128 MB)"/>
    <s v="Infinix INBook X1 Slim XL21 Laptop (Core i5 10th Gen/8 GB/512 GB SSD/Windows 11/128 MB) price in India"/>
    <x v="608"/>
    <n v="965"/>
    <n v="82"/>
    <x v="0"/>
    <d v="2022-06-01T00:00:00"/>
    <s v="Intel Core i5 (12th Gen) 4.7 Ghz"/>
    <s v="Windows 11"/>
    <x v="48"/>
    <s v="14&quot; (35.56 cm), 1920 x 1080 px, IPS LCD Display"/>
    <s v="Web Camera"/>
    <s v="Slim 14.8 mm"/>
    <s v="HDMI Port"/>
    <s v="2 USB Ports"/>
    <m/>
    <x v="10"/>
    <x v="40"/>
    <x v="2"/>
  </r>
  <r>
    <s v="Acer Aspire Lite AL15-53 (UN.34ESI.00D) Laptop (Core i3 13th Gen/16 GB/512 GB SSD/Windows 11)"/>
    <s v="Acer Aspire Lite AL15-53 (UN.34ESI.00D) Laptop (Core i3 13th Gen/16 GB/512 GB SSD/Windows 11) price in India"/>
    <x v="609"/>
    <n v="399"/>
    <n v="80"/>
    <x v="0"/>
    <d v="2024-10-01T00:00:00"/>
    <s v="Intel Core i5 (12th Gen) 4.7 Ghz"/>
    <s v="Windows 11"/>
    <x v="2"/>
    <s v="15.6&quot; (39.62 cm), 1920 x 1080 px, TFT Display"/>
    <s v="Web Camera"/>
    <s v="Slim 19.9 mm"/>
    <s v="HDMI Port"/>
    <m/>
    <n v="78"/>
    <x v="1"/>
    <x v="40"/>
    <x v="0"/>
  </r>
  <r>
    <s v="Asus ExpertBook P1 P1403CVA-S60938WS Laptop (Core i3 13th Gen/16 GB/512 GB SSD/Windows 11)"/>
    <s v="Asus ExpertBook P1 P1403CVA-S60938WS Laptop (Core i3 13th Gen/16 GB/512 GB SSD/Windows 11) price in India"/>
    <x v="114"/>
    <n v="241"/>
    <n v="80"/>
    <x v="0"/>
    <d v="2025-04-01T00:00:00"/>
    <s v="Intel Core i5 (12th Gen) 4.7 Ghz"/>
    <s v="Windows 11"/>
    <x v="6"/>
    <s v="14&quot; (35.56 cm), 1920 x 1080 px Display"/>
    <s v="Web Camera"/>
    <s v="Slim 19.7 mm"/>
    <s v="HDMI Port"/>
    <m/>
    <n v="79"/>
    <x v="2"/>
    <x v="40"/>
    <x v="0"/>
  </r>
  <r>
    <s v="Asus ExpertBook P1 P1503CVA-S71074WS Laptop (Core i3 13th Gen/16 GB/512 GB SSD/Windows 11)"/>
    <s v="Asus ExpertBook P1 P1503CVA-S71074WS Laptop (Core i3 13th Gen/16 GB/512 GB SSD/Windows 11) price in India"/>
    <x v="114"/>
    <n v="241"/>
    <n v="80"/>
    <x v="0"/>
    <d v="2025-04-01T00:00:00"/>
    <s v="Intel Core i5 (12th Gen) 4.7 Ghz"/>
    <s v="Windows 11"/>
    <x v="6"/>
    <s v="15.6&quot; (39.62 cm), 1920 x 1080 px Display"/>
    <s v="Web Camera"/>
    <s v="Slim 19.9 mm"/>
    <s v="HDMI Port"/>
    <m/>
    <n v="79"/>
    <x v="2"/>
    <x v="40"/>
    <x v="0"/>
  </r>
  <r>
    <s v="Asus ExpertBook P1 P1503CVA-S70501WS Laptop (Core i3 13th Gen/8 GB/512 GB SSD/Windows 11)"/>
    <s v="Asus ExpertBook P1 P1503CVA-S70501WS Laptop (Core i3 13th Gen/8 GB/512 GB SSD/Windows 11) price in India"/>
    <x v="383"/>
    <n v="241"/>
    <n v="80"/>
    <x v="0"/>
    <d v="2025-04-01T00:00:00"/>
    <s v="Intel Core i5 (12th Gen) 4.7 Ghz, Deca-Core"/>
    <s v="Windows 11"/>
    <x v="16"/>
    <s v="15.6&quot; (39.62 cm), 1920 x 1080 px Display"/>
    <s v="Web Camera"/>
    <s v="Slim 19.9 mm"/>
    <s v="HDMI Port"/>
    <m/>
    <n v="78"/>
    <x v="2"/>
    <x v="40"/>
    <x v="2"/>
  </r>
  <r>
    <s v="Asus ExpertBook P1 P1403CVA-S60343WS Laptop (Core i3 13th Gen/8 GB/512 GB SSD/Windows 11)"/>
    <s v="Asus ExpertBook P1 P1403CVA-S60343WS Laptop (Core i3 13th Gen/8 GB/512 GB SSD/Windows 11) price in India"/>
    <x v="383"/>
    <n v="241"/>
    <n v="80"/>
    <x v="0"/>
    <d v="2025-04-01T00:00:00"/>
    <s v="Intel Core i5 (12th Gen) 4.7 Ghz, Deca-Core"/>
    <s v="Windows 11"/>
    <x v="16"/>
    <s v="14&quot; (35.56 cm), 1920 x 1080 px Display"/>
    <s v="Web Camera"/>
    <s v="Slim 19.7 mm"/>
    <s v="HDMI Port"/>
    <m/>
    <n v="78"/>
    <x v="2"/>
    <x v="40"/>
    <x v="2"/>
  </r>
  <r>
    <s v="Asus Vivobook Go 15 E1504FA-NJ549WS Laptop (AMD Quad Core Ryzen 5/16 GB/512 GB SSD/Windows 11)"/>
    <s v="Asus Vivobook Go 15 E1504FA-NJ549WS Laptop (AMD Quad Core Ryzen 5/16 GB/512 GB SSD/Windows 11) price in India"/>
    <x v="406"/>
    <n v="218"/>
    <n v="80"/>
    <x v="0"/>
    <d v="2024-08-01T00:00:00"/>
    <s v="Intel Core i5 (12th Gen) 4.7 Ghz, Deca-Core"/>
    <s v="Windows 11"/>
    <x v="17"/>
    <s v="15.6&quot; (39.62 cm), 1920 x 1080 px, IPS LCD Display"/>
    <s v="Web Camera"/>
    <s v="Slim 17.9 mm"/>
    <s v="HDMI Port"/>
    <m/>
    <n v="73"/>
    <x v="2"/>
    <x v="40"/>
    <x v="0"/>
  </r>
  <r>
    <s v="Lenovo IdeaPad Slim 3 14IAH8 (83EQ0072IN) Laptop (Core i5 12th Gen/16 GB/512 GB SSD/Windows 11)"/>
    <s v="Lenovo IdeaPad Slim 3 14IAH8 (83EQ0072IN) Laptop (Core i5 12th Gen/16 GB/512 GB SSD/Windows 11) price in India"/>
    <x v="610"/>
    <n v="648"/>
    <n v="80"/>
    <x v="0"/>
    <d v="2024-11-01T00:00:00"/>
    <s v="Intel Core i5 (12th Gen) 4.7 Ghz, Deca-Core"/>
    <s v="Windows 11"/>
    <x v="17"/>
    <s v="14&quot; (35.56 cm), 1920 x 1080 px, TN LCD Display"/>
    <s v="Web Camera"/>
    <s v="Slim 17.9 mm"/>
    <s v="HDMI Port"/>
    <m/>
    <n v="77"/>
    <x v="5"/>
    <x v="40"/>
    <x v="0"/>
  </r>
  <r>
    <s v="Lenovo V15 (82TTA07RIH) Laptop (Core i5 12th Gen/16 GB/512 GB SSD/Windows 11)"/>
    <s v="Lenovo V15 (82TTA07RIH) Laptop (Core i5 12th Gen/16 GB/512 GB SSD/Windows 11) price in India"/>
    <x v="180"/>
    <n v="276"/>
    <n v="80"/>
    <x v="0"/>
    <d v="2024-08-01T00:00:00"/>
    <s v="Intel Core i5 (12th Gen) 4.7 Ghz, Octa-Core"/>
    <s v="Windows 11"/>
    <x v="2"/>
    <s v="15.6&quot; (39.62 cm), 1920 x 1080 px, IPS LCD Display"/>
    <s v="Web Camera"/>
    <s v="Slim 19.9 mm"/>
    <s v="HDMI Port"/>
    <s v="2 USB Ports"/>
    <n v="75"/>
    <x v="5"/>
    <x v="40"/>
    <x v="0"/>
  </r>
  <r>
    <s v="HP 255 G10 (B1FW9PT) Laptop (AMD Quad Core Ryzen 3/8 GB/512 GB SSD/DOS)"/>
    <s v="HP 255 G10 (B1FW9PT) Laptop (AMD Quad Core Ryzen 3/8 GB/512 GB SSD/DOS) price in India"/>
    <x v="611"/>
    <n v="454"/>
    <n v="80"/>
    <x v="0"/>
    <d v="2024-10-01T00:00:00"/>
    <s v="Intel Core i5 (13th Gen) 1.5 Ghz, Octa-Core"/>
    <s v="DOS"/>
    <x v="5"/>
    <s v="15.6&quot; (39.62 cm), 1366 x 768 px, IPS LCD Display"/>
    <s v="Web Camera"/>
    <s v="Slim 18.6 mm"/>
    <s v="HDMI Port"/>
    <m/>
    <n v="72"/>
    <x v="7"/>
    <x v="40"/>
    <x v="2"/>
  </r>
  <r>
    <s v="Acer Aspire 3 A325-42 (UN.34QSI.004) Laptop (AMD Octa Core Ryzen 7/16 GB/1 TB SSD/Windows 11)"/>
    <s v="Acer Aspire 3 A325-42 (UN.34QSI.004) Laptop (AMD Octa Core Ryzen 7/16 GB/1 TB SSD/Windows 11) price in India"/>
    <x v="247"/>
    <n v="607"/>
    <n v="80"/>
    <x v="0"/>
    <d v="2024-10-01T00:00:00"/>
    <s v="Intel Core i5 (13th Gen) 1.9 Ghz"/>
    <s v="Windows 11"/>
    <x v="23"/>
    <s v="15.6&quot; (39.62 cm), 1920 x 1080 px, TFT LCD Display"/>
    <s v="Web Camera"/>
    <s v="Slim 19.3 mm"/>
    <s v="HDMI Port"/>
    <m/>
    <n v="74"/>
    <x v="1"/>
    <x v="41"/>
    <x v="0"/>
  </r>
  <r>
    <s v="Acer Aspire 3 A325-42 (UN.34QSI.003) Laptop (AMD Octa Core Ryzen 7/16 GB/512 GB SSD/Windows 11)"/>
    <s v="Acer Aspire 3 A325-42 (UN.34QSI.003) Laptop (AMD Octa Core Ryzen 7/16 GB/512 GB SSD/Windows 11) price in India"/>
    <x v="315"/>
    <n v="607"/>
    <n v="80"/>
    <x v="0"/>
    <d v="2024-09-01T00:00:00"/>
    <s v="Intel Core i5 (13th Gen) 3.4 Ghz"/>
    <s v="Windows 11"/>
    <x v="2"/>
    <s v="15.6&quot; (39.62 cm), 1920 x 1080 px, TFT LCD Display"/>
    <s v="Web Camera"/>
    <s v="Slim 19.3 mm"/>
    <s v="HDMI Port"/>
    <m/>
    <n v="74"/>
    <x v="1"/>
    <x v="41"/>
    <x v="0"/>
  </r>
  <r>
    <s v="HP Victus 15-fa2703TX (B7GP6PA) Laptop (Core i5 13th Gen/16 GB/512 GB SSD/Windows 11/4 GB)"/>
    <s v="HP Victus 15-fa2703TX (B7GP6PA) Laptop (Core i5 13th Gen/16 GB/512 GB SSD/Windows 11/4 GB) price in India"/>
    <x v="612"/>
    <n v="167"/>
    <n v="80"/>
    <x v="0"/>
    <d v="2025-02-01T00:00:00"/>
    <s v="Intel Core i5 (13th Gen) 4.4 Ghz, Deca-Core"/>
    <s v="Windows 11"/>
    <x v="2"/>
    <s v="15.6&quot; (39.62 cm), 1920 x 1080 px, IPS LCD Display"/>
    <s v="Web Camera"/>
    <m/>
    <s v="HDMI Port"/>
    <m/>
    <n v="85"/>
    <x v="7"/>
    <x v="41"/>
    <x v="0"/>
  </r>
  <r>
    <s v="HP 15-fd0467TU (B61ZHPA) Laptop (Core i5 13th Gen/16 GB/512 GB SSD/Windows 11)"/>
    <s v="HP 15-fd0467TU (B61ZHPA) Laptop (Core i5 13th Gen/16 GB/512 GB SSD/Windows 11) price in India"/>
    <x v="21"/>
    <n v="497"/>
    <n v="80"/>
    <x v="0"/>
    <d v="2025-01-01T00:00:00"/>
    <s v="Intel Core i5 (13th Gen) 4.4 Ghz, Deca-Core"/>
    <s v="Windows 11"/>
    <x v="2"/>
    <s v="15.6&quot; (39.62 cm), 1920 x 1080 px Display"/>
    <s v="Web Camera"/>
    <s v="Slim 18.6 mm"/>
    <s v="HDMI Port"/>
    <m/>
    <n v="79"/>
    <x v="7"/>
    <x v="41"/>
    <x v="0"/>
  </r>
  <r>
    <s v="Acer Aspire 3 A325-45 (UN.344SI.005) Laptop (Intel Celeron Dual Core/8 GB/256 GB SSD/Windows 11)"/>
    <s v="Acer Aspire 3 A325-45 (UN.344SI.005) Laptop (Intel Celeron Dual Core/8 GB/256 GB SSD/Windows 11) price in India"/>
    <x v="613"/>
    <n v="1094"/>
    <n v="80"/>
    <x v="0"/>
    <d v="2025-01-01T00:00:00"/>
    <s v="Intel Core i5 (13th Gen) 4.6 Ghz"/>
    <s v="Windows 11"/>
    <x v="57"/>
    <s v="15.6&quot; (39.62 cm), 1366 x 768 px, TFT LCD Display"/>
    <s v="Web Camera"/>
    <m/>
    <s v="HDMI Port"/>
    <s v="1 USB Ports"/>
    <m/>
    <x v="1"/>
    <x v="41"/>
    <x v="2"/>
  </r>
  <r>
    <s v="HP 15-bg005au (1DF77PA) Laptop (AMD Quad Core A6/4 GB/1 TB/DOS)"/>
    <s v="HP 15-bg005au (1DF77PA) Laptop (AMD Quad Core A6/4 GB/1 TB/DOS) price in India"/>
    <x v="271"/>
    <n v="397"/>
    <n v="80"/>
    <x v="0"/>
    <m/>
    <s v="Intel Core i5 (13th Gen) 4.6 Ghz"/>
    <s v="DOS"/>
    <x v="61"/>
    <s v="15.6&quot; (39.62 cm), 1366 x 768 px, LED Display"/>
    <s v="Web Camera"/>
    <m/>
    <s v="HDMI Port"/>
    <s v="3 USB Ports"/>
    <m/>
    <x v="7"/>
    <x v="41"/>
    <x v="7"/>
  </r>
  <r>
    <s v="HP 15-bg002AU (Z1D89PA) Laptop (AMD Quad Core A8/4 GB/1 TB/Windows 10)"/>
    <s v="HP 15-bg002AU (Z1D89PA) Laptop (AMD Quad Core A8/4 GB/1 TB/Windows 10) price in India"/>
    <x v="614"/>
    <n v="9490"/>
    <n v="80"/>
    <x v="0"/>
    <m/>
    <s v="Intel Core i5 (13th Gen) 4.6 Ghz"/>
    <s v="Windows 10"/>
    <x v="61"/>
    <s v="15.6&quot; (39.62 cm), 1366 x 768 px, LED Display"/>
    <s v="Web Camera"/>
    <m/>
    <s v="HDMI Port"/>
    <s v="3 USB Ports"/>
    <m/>
    <x v="7"/>
    <x v="41"/>
    <x v="7"/>
  </r>
  <r>
    <s v="Asus ROG Strix G16 G614JV-N4242WS Laptop (Core i9 13th Gen/16 GB/1 TB SSD/Windows 11/8 GB)"/>
    <s v="Asus ROG Strix G16 G614JV-N4242WS Laptop (Core i9 13th Gen/16 GB/1 TB SSD/Windows 11/8 GB) price in India"/>
    <x v="615"/>
    <n v="24"/>
    <n v="80"/>
    <x v="0"/>
    <d v="2025-01-01T00:00:00"/>
    <s v="Intel Core i5 (13th Gen) 4.6 Ghz"/>
    <s v="Windows 11"/>
    <x v="10"/>
    <s v="16&quot; (40.64 cm), 2560 x 1600 px Display"/>
    <s v="Web Camera"/>
    <m/>
    <s v="HDMI Port"/>
    <m/>
    <m/>
    <x v="2"/>
    <x v="41"/>
    <x v="0"/>
  </r>
  <r>
    <s v="HP 15-fd0061TU (A33FPPA) Laptop (Core i3 12th Gen/8 GB/512 GB SSD/Windows 11)"/>
    <s v="HP 15-fd0061TU (A33FPPA) Laptop (Core i3 12th Gen/8 GB/512 GB SSD/Windows 11) price in India"/>
    <x v="452"/>
    <n v="1489"/>
    <n v="80"/>
    <x v="0"/>
    <d v="2024-08-01T00:00:00"/>
    <s v="Intel Core i5 (13th Gen) 4.6 Ghz"/>
    <s v="Windows 11"/>
    <x v="5"/>
    <s v="15.6&quot; (39.62 cm), 1920 x 1080 px, IPS LCD Display"/>
    <s v="Web Camera"/>
    <m/>
    <s v="HDMI Port"/>
    <m/>
    <n v="71"/>
    <x v="7"/>
    <x v="41"/>
    <x v="2"/>
  </r>
  <r>
    <s v="Lenovo IdeaPad Slim 3 15IRU8 (82X700C8IN) Laptop (Core i3 13th Gen/8 GB/512 GB SSD/Windows 11)"/>
    <s v="Lenovo IdeaPad Slim 3 15IRU8 (82X700C8IN) Laptop (Core i3 13th Gen/8 GB/512 GB SSD/Windows 11) price in India"/>
    <x v="616"/>
    <n v="590"/>
    <n v="80"/>
    <x v="0"/>
    <d v="2024-12-01T00:00:00"/>
    <s v="Intel Core i5 (13th Gen) 4.6 Ghz"/>
    <s v="Windows 11"/>
    <x v="20"/>
    <s v="15.6&quot; (39.62 cm), 1920 x 1080 px, IPS LCD Display"/>
    <s v="Web Camera"/>
    <s v="Slim 17.9 mm"/>
    <s v="HDMI Port"/>
    <m/>
    <n v="80"/>
    <x v="5"/>
    <x v="41"/>
    <x v="2"/>
  </r>
  <r>
    <s v="Asus Vivobook 16X K3605ZF-RP458WS Laptop (Core i5 12th Gen/16 GB/512 GB SSD/Windows 11/4 GB)"/>
    <s v="Asus Vivobook 16X K3605ZF-RP458WS Laptop (Core i5 12th Gen/16 GB/512 GB SSD/Windows 11/4 GB) price in India"/>
    <x v="266"/>
    <n v="37"/>
    <n v="80"/>
    <x v="0"/>
    <d v="2025-01-01T00:00:00"/>
    <s v="Intel Core i5 (13th Gen) 4.6 Ghz"/>
    <s v="Windows 11"/>
    <x v="2"/>
    <s v="16&quot; (40.64 cm), 1920 x 1200 px, IPS LCD Display"/>
    <s v="Web Camera"/>
    <s v="Slim 18.9 mm"/>
    <s v="HDMI Port"/>
    <m/>
    <n v="83"/>
    <x v="2"/>
    <x v="41"/>
    <x v="0"/>
  </r>
  <r>
    <s v="Acer Swift Neo OLED AI PC SFN14-54H (UN.35GSI.002) Laptop (Core Ultra 5/16 GB/512 GB SSD/Windows 11)"/>
    <s v="Acer Swift Neo OLED AI PC SFN14-54H (UN.35GSI.002) Laptop (Core Ultra 5/16 GB/512 GB SSD/Windows 11) price in India"/>
    <x v="236"/>
    <n v="24"/>
    <n v="80"/>
    <x v="0"/>
    <d v="2025-05-01T00:00:00"/>
    <s v="Intel Core i5 (13th Gen) 4.6 Ghz"/>
    <s v="Windows 11"/>
    <x v="17"/>
    <s v="14&quot; (35.56 cm), 1920 x 1200 px, OLED Display"/>
    <s v="Web Camera"/>
    <s v="Slim 14.9 mm"/>
    <s v="HDMI Port"/>
    <m/>
    <n v="82"/>
    <x v="1"/>
    <x v="41"/>
    <x v="0"/>
  </r>
  <r>
    <s v="Acer Swift Neo OLED AI PC SFN14-54H (UN.35GSI.004) Laptop (Core Ultra 5/16 GB/1 TB SSD/Windows 11)"/>
    <s v="Acer Swift Neo OLED AI PC SFN14-54H (UN.35GSI.004) Laptop (Core Ultra 5/16 GB/1 TB SSD/Windows 11) price in India"/>
    <x v="617"/>
    <n v="24"/>
    <n v="80"/>
    <x v="0"/>
    <d v="2025-05-01T00:00:00"/>
    <s v="Intel Core i5 (13th Gen) 4.6 Ghz, Deca-Core"/>
    <s v="Windows 11"/>
    <x v="21"/>
    <s v="14&quot; (35.56 cm), 1920 x 1200 px, OLED Display"/>
    <s v="Web Camera"/>
    <s v="Slim 14.9 mm"/>
    <s v="HDMI Port"/>
    <m/>
    <n v="83"/>
    <x v="1"/>
    <x v="41"/>
    <x v="0"/>
  </r>
  <r>
    <s v="Acer Aspire 3 A324-45 (UN.342SI.003) Laptop (Intel Celeron Dual Core/8 GB/256 GB SSD/Windows 11)"/>
    <s v="Acer Aspire 3 A324-45 (UN.342SI.003) Laptop (Intel Celeron Dual Core/8 GB/256 GB SSD/Windows 11) price in India"/>
    <x v="618"/>
    <n v="1006"/>
    <n v="80"/>
    <x v="0"/>
    <d v="2024-07-01T00:00:00"/>
    <s v="Intel Core i5 (13th Gen) 4.6 Ghz, Deca-Core"/>
    <s v="Windows 11"/>
    <x v="57"/>
    <s v="14&quot; (35.56 cm), 1366 x 768 px, IPS LCD Display"/>
    <s v="Web Camera"/>
    <s v="Slim 17.7 mm"/>
    <s v="HDMI Port"/>
    <s v="3 USB Ports"/>
    <m/>
    <x v="1"/>
    <x v="41"/>
    <x v="2"/>
  </r>
  <r>
    <s v="Lenovo V15 Gen 4 (83CQ0006IN) Laptop (AMD Quad Core Ryzen 3/8 GB/512 GB SSD/Windows 11)"/>
    <s v="Lenovo V15 Gen 4 (83CQ0006IN) Laptop (AMD Quad Core Ryzen 3/8 GB/512 GB SSD/Windows 11) price in India"/>
    <x v="619"/>
    <n v="101"/>
    <n v="80"/>
    <x v="0"/>
    <d v="2024-08-01T00:00:00"/>
    <s v="Intel Core i5 (13th Gen) 4.6 Ghz, Deca-Core"/>
    <s v="Windows 11"/>
    <x v="20"/>
    <s v="15.6&quot; (39.62 cm), 1920 x 1080 px, TN LCD Display"/>
    <s v="Web Camera"/>
    <m/>
    <s v="HDMI Port"/>
    <m/>
    <n v="72"/>
    <x v="5"/>
    <x v="41"/>
    <x v="2"/>
  </r>
  <r>
    <s v="Lenovo IdeaPad 3 15IAU7 (82RK017PIN) Laptop (Core i3 12th Gen/8 GB/512 GB SSD/Windows 11)"/>
    <s v="Lenovo IdeaPad 3 15IAU7 (82RK017PIN) Laptop (Core i3 12th Gen/8 GB/512 GB SSD/Windows 11) price in India"/>
    <x v="348"/>
    <n v="500"/>
    <n v="80"/>
    <x v="0"/>
    <d v="2024-11-01T00:00:00"/>
    <s v="Intel Core i5 (13th Gen) 4.6 Ghz, Deca-Core"/>
    <s v="Windows 11"/>
    <x v="5"/>
    <s v="15.6&quot; (39.62 cm), 1920 x 1080 px, TN LCD Display"/>
    <s v="Web Camera"/>
    <s v="Slim 20 mm"/>
    <s v="HDMI Port"/>
    <m/>
    <n v="72"/>
    <x v="5"/>
    <x v="41"/>
    <x v="2"/>
  </r>
  <r>
    <s v="Lenovo IdeaPad 3 14IAU7 (82RJ00FKIN) Laptop (Core i3 12th Gen/8 GB/512 GB SSD/Windows 11)"/>
    <s v="Lenovo IdeaPad 3 14IAU7 (82RJ00FKIN) Laptop (Core i3 12th Gen/8 GB/512 GB SSD/Windows 11) price in India"/>
    <x v="620"/>
    <n v="599"/>
    <n v="80"/>
    <x v="0"/>
    <d v="2024-07-01T00:00:00"/>
    <s v="Intel Core i5 (13th Gen) 4.6 Ghz, Deca-Core"/>
    <s v="Windows 11"/>
    <x v="5"/>
    <s v="14&quot; (35.56 cm), 1920 x 1080 px, TN LCD Display"/>
    <s v="Web Camera"/>
    <s v="Slim 19.9 mm"/>
    <s v="HDMI Port"/>
    <m/>
    <n v="73"/>
    <x v="5"/>
    <x v="41"/>
    <x v="2"/>
  </r>
  <r>
    <s v="Asus TUF Gaming A15 FA577RM-HF031WS Laptop (AMD Octa Core Ryzen 7/16 GB/1 TB SSD/Windows 11/6 GB)"/>
    <s v="Asus TUF Gaming A15 FA577RM-HF031WS Laptop (AMD Octa Core Ryzen 7/16 GB/1 TB SSD/Windows 11/6 GB) price in India"/>
    <x v="621"/>
    <n v="18"/>
    <n v="80"/>
    <x v="0"/>
    <d v="2022-08-01T00:00:00"/>
    <s v="Intel Core i5 (13th Gen) 4.6 Ghz, Deca-Core"/>
    <s v="Windows 11"/>
    <x v="10"/>
    <s v="15.6&quot; (39.62 cm), 1920 x 1080 px, IPS LCD Display"/>
    <s v="Web Camera"/>
    <s v="Slim 10.2 mm"/>
    <s v="HDMI Port"/>
    <m/>
    <m/>
    <x v="2"/>
    <x v="41"/>
    <x v="0"/>
  </r>
  <r>
    <s v="HP Pavilion 15-au620tx (Z4Q39PA) Laptop (Core i5 7th Gen/8 GB/1 TB/Windows 10/2 GB)"/>
    <s v="HP Pavilion 15-au620tx (Z4Q39PA) Laptop (Core i5 7th Gen/8 GB/1 TB/Windows 10/2 GB) price in India"/>
    <x v="622"/>
    <n v="456"/>
    <n v="80"/>
    <x v="0"/>
    <m/>
    <s v="Intel Core i5 (13th Gen) 4.6 Ghz, Deca-Core"/>
    <s v="Windows 10"/>
    <x v="37"/>
    <s v="15.6&quot; (39.62 cm), 1366 x 768 px, LED Display"/>
    <s v="Web Camera"/>
    <m/>
    <s v="HDMI Port"/>
    <s v="2 USB Ports"/>
    <m/>
    <x v="7"/>
    <x v="41"/>
    <x v="2"/>
  </r>
  <r>
    <s v="Dell Inspiron 15 3525 (D560765WIN9S) Laptop (AMD Dual Core Athlon/8 GB/256 GB SSD/Windows 11)"/>
    <s v="Dell Inspiron 15 3525 (D560765WIN9S) Laptop (AMD Dual Core Athlon/8 GB/256 GB SSD/Windows 11) price in India"/>
    <x v="623"/>
    <n v="322"/>
    <n v="80"/>
    <x v="0"/>
    <d v="2022-03-01T00:00:00"/>
    <s v="Intel Core i5 (13th Gen) 4.6 Ghz, Deca-Core"/>
    <s v="Windows 11"/>
    <x v="38"/>
    <s v="15.6&quot; (39.62 cm), 1366 x 768 px, LED Display"/>
    <s v="Web Camera"/>
    <s v="Slim 19.5 mm"/>
    <s v="HDMI Port"/>
    <m/>
    <m/>
    <x v="6"/>
    <x v="41"/>
    <x v="2"/>
  </r>
  <r>
    <s v="Asus Zenbook 14 OLED UX3405CA-PZ163WS Laptop (Core Ultra 7/32 GB/1 TB SSD/Windows 11)"/>
    <s v="Asus Zenbook 14 OLED UX3405CA-PZ163WS Laptop (Core Ultra 7/32 GB/1 TB SSD/Windows 11) price in India"/>
    <x v="128"/>
    <n v="12"/>
    <n v="80"/>
    <x v="0"/>
    <d v="2025-02-01T00:00:00"/>
    <s v="Intel Core i5 (13th Gen) 4.6 Ghz, Deca-Core"/>
    <s v="Windows 11"/>
    <x v="7"/>
    <s v="14&quot; (35.56 cm), 2880 x 1800 px, OLED Display"/>
    <s v="Web Camera"/>
    <s v="Slim 14.9 mm"/>
    <s v="HDMI Port"/>
    <m/>
    <m/>
    <x v="2"/>
    <x v="41"/>
    <x v="3"/>
  </r>
  <r>
    <s v="Asus Zenbook 14 OLED UX3405CA-PZ348WS Laptop (Core Ultra 7/32 GB/1 TB SSD/Windows 11)"/>
    <s v="Asus Zenbook 14 OLED UX3405CA-PZ348WS Laptop (Core Ultra 7/32 GB/1 TB SSD/Windows 11) price in India"/>
    <x v="128"/>
    <n v="12"/>
    <n v="80"/>
    <x v="0"/>
    <d v="2025-02-01T00:00:00"/>
    <s v="Intel Core i5 (13th Gen) 4.6 Ghz, Deca-Core"/>
    <s v="Windows 11"/>
    <x v="7"/>
    <s v="14&quot; (35.56 cm), 2880 x 1800 px, OLED Display"/>
    <s v="Web Camera"/>
    <s v="Slim 14.9 mm"/>
    <s v="HDMI Port"/>
    <m/>
    <m/>
    <x v="2"/>
    <x v="41"/>
    <x v="3"/>
  </r>
  <r>
    <s v="Asus VivoBook S15 OLED S5504VA-MA943WS Laptop (Core i9 13th Gen/16 GB/512 GB SSD/Windows 11)"/>
    <s v="Asus VivoBook S15 OLED S5504VA-MA943WS Laptop (Core i9 13th Gen/16 GB/512 GB SSD/Windows 11) price in India"/>
    <x v="624"/>
    <n v="52"/>
    <n v="80"/>
    <x v="0"/>
    <d v="2024-08-01T00:00:00"/>
    <s v="Intel Core i5 (13th Gen) 4.6 Ghz, Deca-Core"/>
    <s v="Windows 11"/>
    <x v="17"/>
    <s v="15.6&quot; (39.62 cm), 2880 x 1620 px, OLED Display"/>
    <s v="Web Camera"/>
    <s v="Slim 17.9 mm"/>
    <s v="HDMI Port"/>
    <m/>
    <n v="84"/>
    <x v="2"/>
    <x v="41"/>
    <x v="0"/>
  </r>
  <r>
    <s v="Asus VivoBook 14 X412DA-EK140T Ultrabook (AMD Quad Core Ryzen 5/8 GB/1 TB/Windows 10)"/>
    <s v="Asus VivoBook 14 X412DA-EK140T Ultrabook (AMD Quad Core Ryzen 5/8 GB/1 TB/Windows 10) price in India"/>
    <x v="155"/>
    <n v="174"/>
    <n v="80"/>
    <x v="0"/>
    <d v="2019-12-01T00:00:00"/>
    <s v="Intel Core i5 (13th Gen) 4.6 Ghz, Deca-Core"/>
    <s v="Windows 10"/>
    <x v="37"/>
    <s v="14&quot; (35.56 cm), 1920 x 1080 px, LED Display"/>
    <s v="Web Camera"/>
    <s v="Slim 19.9 mm"/>
    <s v="HDMI Port"/>
    <m/>
    <m/>
    <x v="2"/>
    <x v="41"/>
    <x v="2"/>
  </r>
  <r>
    <s v="Dell Inspiron 15 3567 (A561208HIN9) Laptop (Core i3 6th Gen/4 GB/1 TB/Windows 10)"/>
    <s v="Dell Inspiron 15 3567 (A561208HIN9) Laptop (Core i3 6th Gen/4 GB/1 TB/Windows 10) price in India"/>
    <x v="625"/>
    <n v="434"/>
    <n v="80"/>
    <x v="0"/>
    <m/>
    <s v="Intel Core i5 (13th Gen) 4.6 Ghz, Deca-Core"/>
    <s v="Windows 10"/>
    <x v="49"/>
    <s v="15.6&quot; (39.62 cm), 1366 x 768 px, LED Display"/>
    <s v="Web Camera"/>
    <m/>
    <s v="HDMI Port"/>
    <s v="3 USB Ports"/>
    <m/>
    <x v="6"/>
    <x v="41"/>
    <x v="7"/>
  </r>
  <r>
    <s v="Asus Vivobook X540YA-XO106T Laptop (AMD Quad Core A8/4 GB/1 TB/Windows 10)"/>
    <s v="Asus Vivobook X540YA-XO106T Laptop (AMD Quad Core A8/4 GB/1 TB/Windows 10) price in India"/>
    <x v="566"/>
    <n v="1466"/>
    <n v="80"/>
    <x v="0"/>
    <m/>
    <s v="Intel Core i5 (13th Gen) 4.6 Ghz, Deca-Core"/>
    <s v="Windows 10"/>
    <x v="61"/>
    <s v="15.6&quot; (39.62 cm), 1920 x 1080 px, LED Display"/>
    <s v="Web Camera"/>
    <m/>
    <s v="HDMI Port"/>
    <s v="2 USB Ports"/>
    <m/>
    <x v="2"/>
    <x v="41"/>
    <x v="7"/>
  </r>
  <r>
    <s v="HP 15-bs545tu (2EY87PA) Laptop (Pentium Quad Core/4 GB/1 TB/DOS)"/>
    <s v="HP 15-bs545tu (2EY87PA) Laptop (Pentium Quad Core/4 GB/1 TB/DOS) price in India"/>
    <x v="626"/>
    <n v="176"/>
    <n v="80"/>
    <x v="0"/>
    <m/>
    <s v="Intel Core i5 (13th Gen) 4.6 Ghz, Deca-Core"/>
    <s v="DOS"/>
    <x v="61"/>
    <s v="15.6&quot; (39.62 cm), 1366 x 768 px, LED Display"/>
    <s v="Web Camera"/>
    <m/>
    <s v="HDMI Port"/>
    <m/>
    <m/>
    <x v="7"/>
    <x v="41"/>
    <x v="7"/>
  </r>
  <r>
    <s v="HP OmniBook 5 16-AG1048AU (BH4K2PA) Laptop (AMD Octa Core Ryzen AI 7/16 GB/512 GB SSD/Windows 11)"/>
    <s v="HP OmniBook 5 16-AG1048AU (BH4K2PA) Laptop (AMD Octa Core Ryzen AI 7/16 GB/512 GB SSD/Windows 11) price in India"/>
    <x v="254"/>
    <n v="2"/>
    <n v="80"/>
    <x v="0"/>
    <d v="2025-04-01T00:00:00"/>
    <s v="Intel Core i5 (13th Gen) 4.6 Ghz, Deca-Core"/>
    <s v="Windows 11"/>
    <x v="8"/>
    <s v="16&quot; (40.64 cm), 1920 x 1200 px, IPS LCD Display"/>
    <s v="Web Camera"/>
    <s v="Slim 17.9 mm"/>
    <s v="HDMI Port"/>
    <m/>
    <n v="77"/>
    <x v="7"/>
    <x v="41"/>
    <x v="0"/>
  </r>
  <r>
    <s v="Apple MacBook Pro M4 MW2V3HN/A Ultrabook (Apple M4/16 GB/1 TB SSD/macOS Sequoia)"/>
    <s v="Apple MacBook Pro M4 MW2V3HN/A Ultrabook (Apple M4/16 GB/1 TB SSD/macOS Sequoia) price in India"/>
    <x v="18"/>
    <n v="5"/>
    <n v="80"/>
    <x v="0"/>
    <d v="2024-11-01T00:00:00"/>
    <s v="Intel Core i5 (13th Gen) 4.6 Ghz, Deca-Core"/>
    <s v="macOS Sequoia"/>
    <x v="13"/>
    <s v="14.2&quot; (36.07 cm), 3024 x 1964 px, Liquid Retina XDR Display"/>
    <s v="Web Camera"/>
    <s v="Slim 15.5 mm"/>
    <s v="HDMI Port"/>
    <m/>
    <n v="86"/>
    <x v="0"/>
    <x v="41"/>
    <x v="0"/>
  </r>
  <r>
    <s v="HP Omen 16-C0138AX (4A3E3PA) Laptop (AMD Octa Core Ryzen 7/16 GB/512 GB SSD/Windows 11/4 GB)"/>
    <s v="HP Omen 16-C0138AX (4A3E3PA) Laptop (AMD Octa Core Ryzen 7/16 GB/512 GB SSD/Windows 11/4 GB) price in India"/>
    <x v="9"/>
    <n v="44"/>
    <n v="80"/>
    <x v="0"/>
    <d v="2022-02-01T00:00:00"/>
    <s v="Intel Core i5 (13th Gen) 4.6 Ghz, Deca-Core"/>
    <s v="Windows 11"/>
    <x v="2"/>
    <s v="16.1&quot; (40.89 cm), 1920 x 1080 px, IPS LCD Display"/>
    <s v="Web Camera"/>
    <m/>
    <s v="HDMI Port"/>
    <s v="1 USB Ports"/>
    <n v="81"/>
    <x v="7"/>
    <x v="41"/>
    <x v="0"/>
  </r>
  <r>
    <s v="Acer Aspire E5-576-31 (NX.GRSSI.001) Laptop (Core i3 6th Gen/4 GB/1 TB/DOS)"/>
    <s v="Acer Aspire E5-576-31 (NX.GRSSI.001) Laptop (Core i3 6th Gen/4 GB/1 TB/DOS) price in India"/>
    <x v="627"/>
    <n v="187"/>
    <n v="80"/>
    <x v="0"/>
    <m/>
    <s v="Intel Core i5 (13th Gen) 4.6 Ghz, Deca-Core"/>
    <s v="DOS"/>
    <x v="61"/>
    <s v="15.6&quot; (39.62 cm), 1366 x 768 px, LED Display"/>
    <s v="Web Camera"/>
    <m/>
    <s v="HDMI Port"/>
    <s v="3 USB Ports"/>
    <m/>
    <x v="1"/>
    <x v="41"/>
    <x v="7"/>
  </r>
  <r>
    <s v="Asus Vivobook Max X541UJ-GO459 Laptop (Core i3 6th Gen/4 GB/1 TB/Linux/2 GB)"/>
    <s v="Asus Vivobook Max X541UJ-GO459 Laptop (Core i3 6th Gen/4 GB/1 TB/Linux/2 GB) price in India"/>
    <x v="628"/>
    <n v="213"/>
    <n v="80"/>
    <x v="0"/>
    <m/>
    <s v="Intel Core i5 (13th Gen) 4.6 Ghz, Deca-Core"/>
    <s v="Linux"/>
    <x v="49"/>
    <s v="15.6&quot; (39.62 cm), 1366 x 768 px, LED Display"/>
    <s v="Web Camera"/>
    <m/>
    <s v="HDMI Port"/>
    <s v="2 USB Ports"/>
    <m/>
    <x v="2"/>
    <x v="41"/>
    <x v="7"/>
  </r>
  <r>
    <s v="Asus Zenbook S 16 OLED UM5606KA-RJ109WS Laptop (AMD Octa Core Ryzen AI 7/24 GB/1 TB SSD/Windows 11)"/>
    <s v="Asus Zenbook S 16 OLED UM5606KA-RJ109WS Laptop (AMD Octa Core Ryzen AI 7/24 GB/1 TB SSD/Windows 11) price in India"/>
    <x v="120"/>
    <n v="1"/>
    <n v="80"/>
    <x v="0"/>
    <d v="2025-04-01T00:00:00"/>
    <s v="Intel Core i5 (13th Gen) 4.6 Ghz, Deca-Core"/>
    <s v="Windows 11"/>
    <x v="18"/>
    <s v="16&quot; (40.64 cm), 2880 x 1800 px, OLED Display"/>
    <s v="Web Camera"/>
    <s v="Slim 12.9 mm"/>
    <s v="HDMI Port"/>
    <m/>
    <n v="80"/>
    <x v="2"/>
    <x v="41"/>
    <x v="1"/>
  </r>
  <r>
    <s v="Asus Zenbook S 16 OLED UM5606KA-RJ108WS Laptop (AMD Octa Core Ryzen AI 7/24 GB/1 TB SSD/Windows 11)"/>
    <s v="Asus Zenbook S 16 OLED UM5606KA-RJ108WS Laptop (AMD Octa Core Ryzen AI 7/24 GB/1 TB SSD/Windows 11) price in India"/>
    <x v="120"/>
    <n v="1"/>
    <n v="80"/>
    <x v="0"/>
    <d v="2025-04-01T00:00:00"/>
    <s v="Intel Core i5 (13th Gen) 4.6 Ghz, Deca-Core"/>
    <s v="Windows 11"/>
    <x v="18"/>
    <s v="16&quot; (40.64 cm), 2880 x 1800 px, OLED Display"/>
    <s v="Web Camera"/>
    <s v="Slim 12.9 mm"/>
    <s v="HDMI Port"/>
    <m/>
    <n v="80"/>
    <x v="2"/>
    <x v="41"/>
    <x v="1"/>
  </r>
  <r>
    <s v="Asus VivoBook 16 X1605VA-MB1628WS Laptop (Core i7 13th Gen/16 GB/512 GB SSD/Windows 11)"/>
    <s v="Asus VivoBook 16 X1605VA-MB1628WS Laptop (Core i7 13th Gen/16 GB/512 GB SSD/Windows 11) price in India"/>
    <x v="158"/>
    <n v="1"/>
    <n v="80"/>
    <x v="0"/>
    <d v="2025-01-01T00:00:00"/>
    <s v="Intel Core i5 (13th Gen) 4.6 Ghz, Deca-Core"/>
    <s v="Windows 11"/>
    <x v="2"/>
    <s v="16&quot; (40.64 cm), 1920 x 1200 px, IPS LCD Display"/>
    <s v="Web Camera"/>
    <s v="Slim 19.9 mm"/>
    <s v="HDMI Port"/>
    <m/>
    <n v="80"/>
    <x v="2"/>
    <x v="41"/>
    <x v="0"/>
  </r>
  <r>
    <s v="Lenovo Yoga Pro 7 14ASP9 Gen 9 (83HN0027IN) Laptop (AMD Deca Core Ryzen 9/32 GB/1 TB SSD/Windows 11)"/>
    <s v="Lenovo Yoga Pro 7 14ASP9 Gen 9 (83HN0027IN) Laptop (AMD Deca Core Ryzen 9/32 GB/1 TB SSD/Windows 11) price in India"/>
    <x v="128"/>
    <n v="1"/>
    <n v="80"/>
    <x v="0"/>
    <d v="2024-12-01T00:00:00"/>
    <s v="Intel Core i5 (13th Gen) 4.6 Ghz, Deca-Core"/>
    <s v="Windows 11"/>
    <x v="7"/>
    <s v="14.5&quot; (36.83 cm), 2880 x 1800 px, OLED Display"/>
    <s v="Web Camera"/>
    <m/>
    <s v="HDMI Port"/>
    <s v="1 USB Ports"/>
    <m/>
    <x v="5"/>
    <x v="41"/>
    <x v="3"/>
  </r>
  <r>
    <s v="Lenovo IdeaPad Slim 3 14AMN8 (82XN006TIN) Laptop (AMD Quad Core Ryzen 5/8 GB/512 SSD/Windows 11)"/>
    <s v="Lenovo IdeaPad Slim 3 14AMN8 (82XN006TIN) Laptop (AMD Quad Core Ryzen 5/8 GB/512 SSD/Windows 11) price in India"/>
    <x v="616"/>
    <n v="200"/>
    <n v="80"/>
    <x v="0"/>
    <d v="2024-09-01T00:00:00"/>
    <s v="Intel Core i5 (13th Gen) 4.6 Ghz, Deca-Core"/>
    <s v="Windows 11"/>
    <x v="62"/>
    <s v="14&quot; (35.56 cm), 1920 x 1080 px, TN LCD Display"/>
    <s v="Web Camera"/>
    <s v="Slim 17.9 mm"/>
    <s v="HDMI Port"/>
    <m/>
    <m/>
    <x v="5"/>
    <x v="41"/>
    <x v="2"/>
  </r>
  <r>
    <s v="Dell Inspiron 14 7440 (OIC7440134501RINU1) Laptop (Core i5 13th Gen/16 GB/512 GB SSD/Windows 11)"/>
    <s v="Dell Inspiron 14 7440 (OIC7440134501RINU1) Laptop (Core i5 13th Gen/16 GB/512 GB SSD/Windows 11) price in India"/>
    <x v="629"/>
    <n v="16"/>
    <n v="80"/>
    <x v="0"/>
    <d v="2024-09-01T00:00:00"/>
    <s v="Intel Core i5 (13th Gen) 4.6 Ghz, Deca-Core"/>
    <s v="Windows 11"/>
    <x v="6"/>
    <s v="14&quot; (35.56 cm), 1920 x 1200 px, IPS LCD Display"/>
    <s v="Web Camera"/>
    <s v="Slim 18.9 mm"/>
    <s v="HDMI Port"/>
    <m/>
    <n v="81"/>
    <x v="6"/>
    <x v="41"/>
    <x v="0"/>
  </r>
  <r>
    <s v="HP 240 G9 (6S6U4EA) Laptop (Core i7 12th Gen/16 GB/512 GB SSD/Windows 11)"/>
    <s v="HP 240 G9 (6S6U4EA) Laptop (Core i7 12th Gen/16 GB/512 GB SSD/Windows 11) price in India"/>
    <x v="158"/>
    <n v="25"/>
    <n v="80"/>
    <x v="0"/>
    <d v="2024-08-01T00:00:00"/>
    <s v="Intel Core i5 (13th Gen) 4.6 Ghz, Deca-Core"/>
    <s v="Windows 11"/>
    <x v="2"/>
    <s v="14&quot; (35.56 cm), 1920 x 1080 px, IPS LCD Display"/>
    <s v="Web Camera"/>
    <s v="Slim 19.9 mm"/>
    <s v="HDMI Port"/>
    <m/>
    <n v="77"/>
    <x v="7"/>
    <x v="41"/>
    <x v="0"/>
  </r>
  <r>
    <s v="HP 14-gr0001TU (A47CWPA) Laptop (Core i5 13th Gen/16 GB/512 GB SSD/Windows 11)"/>
    <s v="HP 14-gr0001TU (A47CWPA) Laptop (Core i5 13th Gen/16 GB/512 GB SSD/Windows 11) price in India"/>
    <x v="630"/>
    <n v="506"/>
    <n v="80"/>
    <x v="0"/>
    <d v="2024-07-01T00:00:00"/>
    <s v="Intel Core i5 (13th Gen) 4.6 Ghz, Deca-Core"/>
    <s v="Windows 11"/>
    <x v="2"/>
    <s v="14&quot; (35.56 cm), 1920 x 1080 px, IPS LCD Display"/>
    <s v="Web Camera"/>
    <m/>
    <s v="HDMI Port"/>
    <m/>
    <n v="80"/>
    <x v="7"/>
    <x v="41"/>
    <x v="0"/>
  </r>
  <r>
    <s v="Asus Zenbook 14 Flip OLED UN5401QA-KN511WS Laptop (AMD Hexa Core Ryzen 7/16 GB/512 GB SSD/Windows 11)"/>
    <s v="Asus Zenbook 14 Flip OLED UN5401QA-KN511WS Laptop (AMD Hexa Core Ryzen 7/16 GB/512 GB SSD/Windows 11) price in India"/>
    <x v="331"/>
    <n v="26"/>
    <n v="80"/>
    <x v="0"/>
    <d v="2022-03-01T00:00:00"/>
    <s v="Intel Core i5 (13th Gen) 4.6 Ghz, Deca-Core"/>
    <s v="Windows 11"/>
    <x v="2"/>
    <s v="14&quot; (35.56 cm), 2880 x 1800 px, OLED Display"/>
    <s v="Web Camera"/>
    <s v="Slim 16 mm"/>
    <s v="HDMI Port"/>
    <m/>
    <n v="76"/>
    <x v="2"/>
    <x v="41"/>
    <x v="0"/>
  </r>
  <r>
    <s v="HP 15q-BY004AU (2TZ87PA) Laptop (AMD Dual Core A6/4 GB/1 TB/DOS)"/>
    <s v="HP 15q-BY004AU (2TZ87PA) Laptop (AMD Dual Core A6/4 GB/1 TB/DOS) price in India"/>
    <x v="631"/>
    <n v="321"/>
    <n v="80"/>
    <x v="0"/>
    <m/>
    <s v="Intel Core i5 (13th Gen) 4.6 Ghz, Deca-Core"/>
    <s v="DOS"/>
    <x v="49"/>
    <s v="15.6&quot; (39.62 cm), 1366 x 768 px, LED Display"/>
    <s v="Web Camera"/>
    <m/>
    <s v="HDMI Port"/>
    <s v="3 USB Ports"/>
    <m/>
    <x v="7"/>
    <x v="41"/>
    <x v="7"/>
  </r>
  <r>
    <s v="Apple MacBook Pro M4 MX2K3HN/A Ultrabook (Apple M4 Max/36 GB/1 TB SSD/macOS Sequoia)"/>
    <s v="Apple MacBook Pro M4 MX2K3HN/A Ultrabook (Apple M4 Max/36 GB/1 TB SSD/macOS Sequoia) price in India"/>
    <x v="632"/>
    <n v="4"/>
    <n v="80"/>
    <x v="0"/>
    <d v="2024-11-01T00:00:00"/>
    <s v="Intel Core i5 (13th Gen) 4.6 Ghz, Deca-Core"/>
    <s v="macOS Sequoia"/>
    <x v="15"/>
    <s v="14.2&quot; (36.07 cm), 3024 x 1964 px, Liquid Retina XDR Display"/>
    <s v="Web Camera"/>
    <s v="Slim 15.5 mm"/>
    <s v="HDMI Port"/>
    <m/>
    <m/>
    <x v="0"/>
    <x v="41"/>
    <x v="5"/>
  </r>
  <r>
    <s v="Acer Chromebook CP713-2W (NX.HTZSI.007) Laptop (Core i5 10th Gen/8 GB/64 GB eMMC/Google Chrome)"/>
    <s v="Acer Chromebook CP713-2W (NX.HTZSI.007) Laptop (Core i5 10th Gen/8 GB/64 GB eMMC/Google Chrome) price in India"/>
    <x v="226"/>
    <n v="68"/>
    <n v="80"/>
    <x v="0"/>
    <d v="2024-11-01T00:00:00"/>
    <s v="Intel Core i5 (13th Gen) 4.6 Ghz, Deca-Core"/>
    <s v="Google Chrome"/>
    <x v="75"/>
    <s v="13.5&quot; (34.29 cm), 2256 x 1504 px Display"/>
    <s v="Web Camera"/>
    <s v="Slim 16.8 mm"/>
    <m/>
    <s v="1 USB Ports"/>
    <m/>
    <x v="1"/>
    <x v="41"/>
    <x v="2"/>
  </r>
  <r>
    <s v="Dell G15 5535 (OGN553549501RIN) Laptop (AMD Hexa Core Ryzen 5/16 GB/1 TB SSD/Windows 11/6 GB)"/>
    <s v="Dell G15 5535 (OGN553549501RIN) Laptop (AMD Hexa Core Ryzen 5/16 GB/1 TB SSD/Windows 11/6 GB) price in India"/>
    <x v="633"/>
    <n v="1"/>
    <n v="80"/>
    <x v="0"/>
    <d v="2024-08-01T00:00:00"/>
    <s v="Intel Core i5 (13th Gen) 4.6 Ghz, Deca-Core"/>
    <s v="Windows 11"/>
    <x v="10"/>
    <s v="15.6&quot; (39.62 cm), 1920 x 1080 px Display"/>
    <s v="Web Camera"/>
    <m/>
    <s v="HDMI Port"/>
    <m/>
    <m/>
    <x v="6"/>
    <x v="41"/>
    <x v="0"/>
  </r>
  <r>
    <s v="Lenovo ThinkPad E14 Gen 5 (21JKS13J00) Laptop (Core i7 13th Gen/16 GB/1 TB SSD/Windows 11)"/>
    <s v="Lenovo ThinkPad E14 Gen 5 (21JKS13J00) Laptop (Core i7 13th Gen/16 GB/1 TB SSD/Windows 11) price in India"/>
    <x v="634"/>
    <n v="1"/>
    <n v="80"/>
    <x v="0"/>
    <d v="2024-07-01T00:00:00"/>
    <s v="Intel Core i5 (13th Gen) 4.6 Ghz, Deca-Core"/>
    <s v="Windows 11"/>
    <x v="23"/>
    <s v="14&quot; (35.56 cm), 1920 x 1200 px, IPS LCD Display"/>
    <s v="Web Camera"/>
    <m/>
    <s v="HDMI Port"/>
    <m/>
    <n v="80"/>
    <x v="5"/>
    <x v="41"/>
    <x v="0"/>
  </r>
  <r>
    <s v="MSI Modern 15 H C13M-217IN Laptop (Core i7 13th Gen/16 GB/1 TB SSD/Windows 11)"/>
    <s v="MSI Modern 15 H C13M-217IN Laptop (Core i7 13th Gen/16 GB/1 TB SSD/Windows 11) price in India"/>
    <x v="159"/>
    <n v="1"/>
    <n v="80"/>
    <x v="0"/>
    <d v="2024-07-01T00:00:00"/>
    <s v="Intel Core i5 (13th Gen) 4.6 Ghz, Deca-Core"/>
    <s v="Windows 11"/>
    <x v="23"/>
    <s v="15.6&quot; (39.62 cm), 1920 x 1080 px, IPS LCD Display"/>
    <s v="Web Camera"/>
    <s v="Slim 19.9 mm"/>
    <s v="HDMI Port"/>
    <m/>
    <n v="84"/>
    <x v="3"/>
    <x v="41"/>
    <x v="0"/>
  </r>
  <r>
    <s v="Microsoft Surface Pro 11 (ZHY-00032) Laptop (Snapdragon X Plus/16 GB/512 GB SSD/Windows 11)"/>
    <s v="Microsoft Surface Pro 11 (ZHY-00032) Laptop (Snapdragon X Plus/16 GB/512 GB SSD/Windows 11) price in India"/>
    <x v="22"/>
    <n v="1"/>
    <n v="80"/>
    <x v="0"/>
    <d v="2024-07-01T00:00:00"/>
    <s v="Intel Core i5 (13th Gen) 4.6 Ghz, Deca-Core"/>
    <s v="Windows 11"/>
    <x v="6"/>
    <s v="13.8&quot; (35.05 cm), 2880 x 1920 px, LCD Display"/>
    <s v="Web Camera"/>
    <m/>
    <m/>
    <m/>
    <n v="81"/>
    <x v="4"/>
    <x v="41"/>
    <x v="0"/>
  </r>
  <r>
    <s v="HP Victus Special Edition (A9NC5PA) Laptop (Core i7 12th Gen/16 GB/512 GB SSD/Windows 11/4 GB RTX)"/>
    <s v="HP Victus Special Edition (A9NC5PA) Laptop (Core i7 12th Gen/16 GB/512 GB SSD/Windows 11/4 GB RTX) price in India"/>
    <x v="255"/>
    <n v="85"/>
    <n v="80"/>
    <x v="0"/>
    <d v="2024-06-01T00:00:00"/>
    <s v="Intel Core i5 (13th Gen) 4.6 Ghz, Deca-Core"/>
    <s v="Windows 11"/>
    <x v="2"/>
    <s v="15.6&quot; (39.62 cm), 1920 x 1080 px, IPS LCD Display"/>
    <s v="Web Camera"/>
    <m/>
    <s v="HDMI Port"/>
    <m/>
    <n v="86"/>
    <x v="7"/>
    <x v="41"/>
    <x v="0"/>
  </r>
  <r>
    <s v="HP Victus Special Edition (A9NC8PA) Laptop (Core i7 12th Gen/16 GB/1 TB SSD/Windows 11/4 GB RTX)"/>
    <s v="HP Victus Special Edition (A9NC8PA) Laptop (Core i7 12th Gen/16 GB/1 TB SSD/Windows 11/4 GB RTX) price in India"/>
    <x v="109"/>
    <n v="93"/>
    <n v="80"/>
    <x v="0"/>
    <d v="2024-06-01T00:00:00"/>
    <s v="Intel Core i5 (13th Gen) 4.6 Ghz, Deca-Core"/>
    <s v="Windows 11"/>
    <x v="23"/>
    <s v="15.6&quot; (39.62 cm), 1920 x 1080 px, IPS LCD Display"/>
    <s v="Web Camera"/>
    <m/>
    <s v="HDMI Port"/>
    <m/>
    <n v="87"/>
    <x v="7"/>
    <x v="41"/>
    <x v="0"/>
  </r>
  <r>
    <s v="Dell Vostro 3440 (OVN3440340401RING1) Laptop (Core i5 13th Gen/8 GB/512 GB SSD/Windows 11)"/>
    <s v="Dell Vostro 3440 (OVN3440340401RING1) Laptop (Core i5 13th Gen/8 GB/512 GB SSD/Windows 11) price in India"/>
    <x v="635"/>
    <n v="430"/>
    <n v="80"/>
    <x v="0"/>
    <d v="2024-06-01T00:00:00"/>
    <s v="Intel Core i5 (13th Gen) 4.6 Ghz, Deca-Core"/>
    <s v="Windows 11"/>
    <x v="16"/>
    <s v="14&quot; (35.56 cm), 1920 x 1200 px, IPS LCD Display"/>
    <s v="Web Camera"/>
    <s v="Slim 18 mm"/>
    <s v="HDMI Port"/>
    <m/>
    <n v="80"/>
    <x v="6"/>
    <x v="41"/>
    <x v="2"/>
  </r>
  <r>
    <s v="HP ZBook Firefly G11 (A1VX6PT) Laptop (Core Ultra 7/16 GB/1 TB SSD/Windows 11/4 GB)"/>
    <s v="HP ZBook Firefly G11 (A1VX6PT) Laptop (Core Ultra 7/16 GB/1 TB SSD/Windows 11/4 GB) price in India"/>
    <x v="636"/>
    <n v="1"/>
    <n v="80"/>
    <x v="0"/>
    <d v="2024-06-01T00:00:00"/>
    <s v="Intel Core i5 (13th Gen) 4.6 Ghz, Deca-Core"/>
    <s v="Windows 11"/>
    <x v="10"/>
    <s v="16&quot; (40.64 cm), 1920 x 1200 px, IPS LCD Display"/>
    <s v="Web Camera"/>
    <s v="Slim 19.2 mm"/>
    <s v="HDMI Port"/>
    <m/>
    <m/>
    <x v="7"/>
    <x v="41"/>
    <x v="0"/>
  </r>
  <r>
    <s v="Dell G15 5530 (GN5530N7HY001ORB1O) Laptop (Core i5 13th Gen/16 GB/1 TB SSD/Windows 11/6 GB)"/>
    <s v="Dell G15 5530 (GN5530N7HY001ORB1O) Laptop (Core i5 13th Gen/16 GB/1 TB SSD/Windows 11/6 GB) price in India"/>
    <x v="637"/>
    <n v="1051"/>
    <n v="80"/>
    <x v="0"/>
    <d v="2024-06-01T00:00:00"/>
    <s v="Intel Core i5 (13th Gen) 4.6 Ghz, Deca-Core"/>
    <s v="Windows 11"/>
    <x v="10"/>
    <s v="15.6&quot; (39.62 cm), 1920 x 1080 px Display"/>
    <s v="Web Camera"/>
    <m/>
    <s v="HDMI Port"/>
    <m/>
    <m/>
    <x v="6"/>
    <x v="41"/>
    <x v="0"/>
  </r>
  <r>
    <s v="MSI Cyborg 14 A13UDX-207IN Laptop (Core i5 13th Gen/8 GB/512 GB SSD/Windows 11/6 GB)"/>
    <s v="MSI Cyborg 14 A13UDX-207IN Laptop (Core i5 13th Gen/8 GB/512 GB SSD/Windows 11/6 GB) price in India"/>
    <x v="638"/>
    <n v="1"/>
    <n v="80"/>
    <x v="0"/>
    <d v="2024-06-01T00:00:00"/>
    <s v="Intel Core i5 (13th Gen) 4.6 Ghz, Deca-Core"/>
    <s v="Windows 11"/>
    <x v="16"/>
    <s v="14&quot; (35.56 cm), 1920 x 1200 px, IPS LCD Display"/>
    <s v="Web Camera"/>
    <s v="Slim 18.6 mm"/>
    <s v="HDMI Port"/>
    <m/>
    <m/>
    <x v="3"/>
    <x v="41"/>
    <x v="2"/>
  </r>
  <r>
    <s v="Dell Vostro 3510 (ICC-D585061WIN8) Laptop (Core i3 11th Gen/8 GB/512 GB SSD/Windows 11)"/>
    <s v="Dell Vostro 3510 (ICC-D585061WIN8) Laptop (Core i3 11th Gen/8 GB/512 GB SSD/Windows 11) price in India"/>
    <x v="505"/>
    <n v="33"/>
    <n v="80"/>
    <x v="0"/>
    <d v="2024-05-01T00:00:00"/>
    <s v="Intel Core i5 (13th Gen) 4.6 Ghz, Deca-Core"/>
    <s v="Windows 11"/>
    <x v="5"/>
    <s v="15.6&quot; (39.62 cm), 1920 x 1080 px Display"/>
    <s v="Web Camera"/>
    <s v="Slim 18.9 mm"/>
    <s v="HDMI Port"/>
    <m/>
    <n v="72"/>
    <x v="6"/>
    <x v="41"/>
    <x v="2"/>
  </r>
  <r>
    <s v="Asus Vivobook Go 15 E510MA-EJ021WS Laptop (Intel Celeron Dual Core/8 GB/512 GB SSD/Windows 11)"/>
    <s v="Asus Vivobook Go 15 E510MA-EJ021WS Laptop (Intel Celeron Dual Core/8 GB/512 GB SSD/Windows 11) price in India"/>
    <x v="639"/>
    <n v="493"/>
    <n v="80"/>
    <x v="0"/>
    <d v="2024-05-01T00:00:00"/>
    <s v="Intel Core i5 (13th Gen) 4.6 Ghz, Deca-Core"/>
    <s v="Windows 11"/>
    <x v="5"/>
    <s v="15.6&quot; (39.62 cm), 1920 x 1080 px Display"/>
    <s v="Web Camera"/>
    <s v="Slim 18.1 mm"/>
    <s v="HDMI Port"/>
    <m/>
    <m/>
    <x v="2"/>
    <x v="41"/>
    <x v="2"/>
  </r>
  <r>
    <s v="Samsung Galaxy Book 4 NP750XGJ-KG3IN Laptop (Core i7 13th Gen/16 GB/512 GB SSD/Windows 11)"/>
    <s v="Samsung Galaxy Book 4 NP750XGJ-KG3IN Laptop (Core i7 13th Gen/16 GB/512 GB SSD/Windows 11) price in India"/>
    <x v="640"/>
    <n v="3"/>
    <n v="80"/>
    <x v="0"/>
    <d v="2024-04-01T00:00:00"/>
    <s v="Intel Core i5 (13th Gen) 4.6 Ghz, Deca-Core"/>
    <s v="Windows 11"/>
    <x v="30"/>
    <s v="15.6&quot; (39.62 cm), 1920 x 1080 px, IPS LCD Display"/>
    <s v="Web Camera"/>
    <s v="Slim 15.4 mm"/>
    <s v="HDMI Port"/>
    <m/>
    <n v="81"/>
    <x v="8"/>
    <x v="41"/>
    <x v="0"/>
  </r>
  <r>
    <s v="HP Pavilion Plus 14-ew0116TU (9U100PA) Laptop (Core i5 13th Gen/16 GB/512 GB SSD/Windows 11)"/>
    <s v="HP Pavilion Plus 14-ew0116TU (9U100PA) Laptop (Core i5 13th Gen/16 GB/512 GB SSD/Windows 11) price in India"/>
    <x v="255"/>
    <n v="14"/>
    <n v="80"/>
    <x v="0"/>
    <d v="2024-02-01T00:00:00"/>
    <s v="Intel Core i5 (13th Gen) 4.6 Ghz, Deca-Core"/>
    <s v="Windows 11"/>
    <x v="8"/>
    <s v="14&quot; (35.56 cm), 1920 x 1200 px, IPS LCD Display"/>
    <s v="Web Camera"/>
    <s v="Slim 17.5 mm"/>
    <s v="HDMI Port"/>
    <m/>
    <n v="82"/>
    <x v="7"/>
    <x v="41"/>
    <x v="0"/>
  </r>
  <r>
    <s v="HP 15-fd0221TU (9D3N1PA) Laptop (Core i5 13th Gen/16 GB/512 GB SSD/Windows 11)"/>
    <s v="HP 15-fd0221TU (9D3N1PA) Laptop (Core i5 13th Gen/16 GB/512 GB SSD/Windows 11) price in India"/>
    <x v="163"/>
    <n v="22"/>
    <n v="80"/>
    <x v="0"/>
    <d v="2024-01-01T00:00:00"/>
    <s v="Intel Core i5 (13th Gen) 4.6 Ghz, Deca-Core"/>
    <s v="Windows 11"/>
    <x v="2"/>
    <s v="15.6&quot; (39.62 cm), 1920 x 1080 px, IPS LCD Display"/>
    <s v="Web Camera"/>
    <s v="Slim 18.6 mm"/>
    <s v="HDMI Port"/>
    <m/>
    <n v="80"/>
    <x v="7"/>
    <x v="41"/>
    <x v="0"/>
  </r>
  <r>
    <s v="HP 15s-fr5010TU (8Q3X5PA) Laptop (Core i5 12th Gen/8 GB/512 GB SSD/Windows 11)"/>
    <s v="HP 15s-fr5010TU (8Q3X5PA) Laptop (Core i5 12th Gen/8 GB/512 GB SSD/Windows 11) price in India"/>
    <x v="641"/>
    <n v="194"/>
    <n v="80"/>
    <x v="0"/>
    <d v="2024-01-01T00:00:00"/>
    <s v="Intel Core i5 (13th Gen) 4.6 Ghz, Deca-Core"/>
    <s v="Windows 11"/>
    <x v="5"/>
    <s v="15.6&quot; (39.62 cm), 1920 x 1080 px, IPS LCD Display"/>
    <s v="Web Camera"/>
    <m/>
    <s v="HDMI Port"/>
    <m/>
    <n v="77"/>
    <x v="7"/>
    <x v="41"/>
    <x v="2"/>
  </r>
  <r>
    <s v="Lenovo Ideapad Slim 3i 15IAH8 (83ER008GIN) Laptop (Core i5 12th Gen/16 GB/512 GB SSD/Windows 11)"/>
    <s v="Lenovo Ideapad Slim 3i 15IAH8 (83ER008GIN) Laptop (Core i5 12th Gen/16 GB/512 GB SSD/Windows 11) price in India"/>
    <x v="642"/>
    <n v="268"/>
    <n v="80"/>
    <x v="0"/>
    <d v="2024-01-01T00:00:00"/>
    <s v="Intel Core i5 (13th Gen) 4.6 Ghz, Deca-Core"/>
    <s v="Windows 11"/>
    <x v="17"/>
    <s v="15.6&quot; (39.62 cm), 1920 x 1080 px, IPS LCD Display"/>
    <s v="Web Camera"/>
    <s v="Slim 17.9 mm"/>
    <s v="HDMI Port"/>
    <m/>
    <n v="80"/>
    <x v="5"/>
    <x v="41"/>
    <x v="0"/>
  </r>
  <r>
    <s v="Lenovo ThinkBook 14 G6 (21KG00AFIN) Laptop (Core i3 13th Gen/8 GB/512 GB SSD/Windows 11)"/>
    <s v="Lenovo ThinkBook 14 G6 (21KG00AFIN) Laptop (Core i3 13th Gen/8 GB/512 GB SSD/Windows 11) price in India"/>
    <x v="643"/>
    <n v="1"/>
    <n v="80"/>
    <x v="0"/>
    <d v="2023-12-01T00:00:00"/>
    <s v="Intel Core i5 (13th Gen) 4.6 Ghz, Deca-Core"/>
    <s v="Windows 11"/>
    <x v="16"/>
    <s v="14&quot; (35.56 cm), 1920 x 1200 px, IPS LCD Display"/>
    <s v="Web Camera"/>
    <m/>
    <s v="HDMI Port"/>
    <m/>
    <n v="76"/>
    <x v="5"/>
    <x v="41"/>
    <x v="2"/>
  </r>
  <r>
    <s v="HP Victus 16-s0089AX (8L7Y4PA) Laptop (AMD Octa Core Ryzen 7/16 GB/1 TB SSD/Windows 11/6 GB)"/>
    <s v="HP Victus 16-s0089AX (8L7Y4PA) Laptop (AMD Octa Core Ryzen 7/16 GB/1 TB SSD/Windows 11/6 GB) price in India"/>
    <x v="242"/>
    <n v="69"/>
    <n v="80"/>
    <x v="0"/>
    <d v="2023-11-01T00:00:00"/>
    <s v="Intel Core i5 (13th Gen) 4.6 Ghz, Deca-Core"/>
    <s v="Windows 11"/>
    <x v="10"/>
    <s v="16.1&quot; (40.89 cm), 1920 x 1080 px, IPS LCD Display"/>
    <s v="Web Camera"/>
    <m/>
    <s v="HDMI Port"/>
    <m/>
    <m/>
    <x v="7"/>
    <x v="41"/>
    <x v="0"/>
  </r>
  <r>
    <s v="Asus VivoBook 15 X1504ZA-NJ541WS Laptop (Core i5 12th Gen/16 GB/512 GB SSD/Windows 11)"/>
    <s v="Asus VivoBook 15 X1504ZA-NJ541WS Laptop (Core i5 12th Gen/16 GB/512 GB SSD/Windows 11) price in India"/>
    <x v="15"/>
    <n v="4"/>
    <n v="80"/>
    <x v="0"/>
    <d v="2023-11-01T00:00:00"/>
    <s v="Intel Core i5 (13th Gen) 4.6 Ghz, Deca-Core"/>
    <s v="Windows 11"/>
    <x v="2"/>
    <s v="15.6&quot; (39.62 cm), 1920 x 1080 px, IPS LCD Display"/>
    <s v="Web Camera"/>
    <s v="Slim 17.9 mm"/>
    <s v="HDMI Port"/>
    <m/>
    <n v="79"/>
    <x v="2"/>
    <x v="41"/>
    <x v="0"/>
  </r>
  <r>
    <s v="HP Victus 15-fa1124TX (8U1H3PA) Laptop (Core i5 12th Gen/8 GB/512 GB SSD/Windows 11/4 GB)"/>
    <s v="HP Victus 15-fa1124TX (8U1H3PA) Laptop (Core i5 12th Gen/8 GB/512 GB SSD/Windows 11/4 GB) price in India"/>
    <x v="560"/>
    <n v="1"/>
    <n v="80"/>
    <x v="0"/>
    <d v="2023-11-01T00:00:00"/>
    <s v="Intel Core i5 (13th Gen) 4.6 Ghz, Deca-Core"/>
    <s v="Windows 11"/>
    <x v="5"/>
    <s v="15.6&quot; (39.62 cm), 1920 x 1080 px, IPS LCD Display"/>
    <s v="Web Camera"/>
    <m/>
    <s v="HDMI Port"/>
    <m/>
    <n v="84"/>
    <x v="7"/>
    <x v="41"/>
    <x v="2"/>
  </r>
  <r>
    <s v="Microsoft Surface Go 3 (XK1-00045) Laptop (Core i5 12th Gen/8 GB/256 GB SSD/Windows 11)"/>
    <s v="Microsoft Surface Go 3 (XK1-00045) Laptop (Core i5 12th Gen/8 GB/256 GB SSD/Windows 11) price in India"/>
    <x v="30"/>
    <n v="12"/>
    <n v="80"/>
    <x v="0"/>
    <d v="2023-11-01T00:00:00"/>
    <s v="Intel Core i5 (13th Gen) 4.6 Ghz, Deca-Core"/>
    <s v="Windows 11"/>
    <x v="31"/>
    <s v="12.4&quot; (31.5 cm), 1536 x 1024 px, LED Display"/>
    <s v="Web Camera"/>
    <s v="Slim 15.6 mm"/>
    <m/>
    <m/>
    <n v="75"/>
    <x v="4"/>
    <x v="41"/>
    <x v="2"/>
  </r>
  <r>
    <s v="Dell Inspiron 15 3520 (IN3520P9K46002ORS1) Laptop (Core i3 12th Gen/8 GB/512 GB SSD/Windows 11)"/>
    <s v="Dell Inspiron 15 3520 (IN3520P9K46002ORS1) Laptop (Core i3 12th Gen/8 GB/512 GB SSD/Windows 11) price in India"/>
    <x v="383"/>
    <n v="33"/>
    <n v="80"/>
    <x v="0"/>
    <d v="2023-10-01T00:00:00"/>
    <s v="Intel Core i5 (13th Gen) 4.6 Ghz, Deca-Core"/>
    <s v="Windows 11"/>
    <x v="5"/>
    <s v="15.6&quot; (39.62 cm), 1920 x 1080 px, IPS LCD Display"/>
    <s v="Web Camera"/>
    <s v="Slim 16.9 mm"/>
    <s v="HDMI Port"/>
    <m/>
    <n v="73"/>
    <x v="6"/>
    <x v="41"/>
    <x v="2"/>
  </r>
  <r>
    <s v="Gigabyte G5 MF-E2IN313SH Laptop (Core i5 12th Gen/8 GB/512 GB SSD/Windows 11/6 GB)"/>
    <s v="Gigabyte G5 MF-E2IN313SH Laptop (Core i5 12th Gen/8 GB/512 GB SSD/Windows 11/6 GB) price in India"/>
    <x v="644"/>
    <n v="6"/>
    <n v="80"/>
    <x v="0"/>
    <d v="2023-10-01T00:00:00"/>
    <s v="Intel Core i5 (13th Gen) 4.6 Ghz, Deca-Core"/>
    <s v="Windows 11"/>
    <x v="5"/>
    <s v="15.6&quot; (39.62 cm), 1920 x 1080 px, LCD Display"/>
    <s v="Web Camera"/>
    <m/>
    <m/>
    <m/>
    <n v="82"/>
    <x v="11"/>
    <x v="41"/>
    <x v="2"/>
  </r>
  <r>
    <s v="HP Omen 16-XD0007ax (90L48PA) Laptop (AMD Octa Core Ryzen 7/16 GB/1 TB SSD/Windows 11/6 GB)"/>
    <s v="HP Omen 16-XD0007ax (90L48PA) Laptop (AMD Octa Core Ryzen 7/16 GB/1 TB SSD/Windows 11/6 GB) price in India"/>
    <x v="9"/>
    <n v="43"/>
    <n v="80"/>
    <x v="0"/>
    <d v="2023-10-01T00:00:00"/>
    <s v="Intel Core i5 (13th Gen) 4.6 Ghz, Deca-Core"/>
    <s v="Windows 11"/>
    <x v="10"/>
    <s v="16.1&quot; (40.89 cm), 1920 x 1080 px, IPS LCD Display"/>
    <s v="Web Camera"/>
    <m/>
    <s v="HDMI Port"/>
    <m/>
    <n v="85"/>
    <x v="7"/>
    <x v="41"/>
    <x v="0"/>
  </r>
  <r>
    <s v="HP Pavilion 14-ey0789AU (92U77PA) Laptop (AMD Octa Core Ryzen 7/16 GB/1 TB SSD/Windows 11)"/>
    <s v="HP Pavilion 14-ey0789AU (92U77PA) Laptop (AMD Octa Core Ryzen 7/16 GB/1 TB SSD/Windows 11) price in India"/>
    <x v="645"/>
    <n v="1"/>
    <n v="80"/>
    <x v="0"/>
    <d v="2023-10-01T00:00:00"/>
    <s v="Intel Core i5 (13th Gen) 4.6 Ghz, Deca-Core"/>
    <s v="Windows 11"/>
    <x v="3"/>
    <s v="14&quot; (35.56 cm), 2880 x 1800 px, OLED Display"/>
    <s v="Web Camera"/>
    <s v="Slim 17.5 mm"/>
    <s v="HDMI Port"/>
    <m/>
    <n v="86"/>
    <x v="7"/>
    <x v="41"/>
    <x v="0"/>
  </r>
  <r>
    <s v="Asus VivoBook Go 14 E410KA-EK013W Laptop (Intel Celeron Dual Core/8 GB/256 GB SSD/Windows 11)"/>
    <s v="Asus VivoBook Go 14 E410KA-EK013W Laptop (Intel Celeron Dual Core/8 GB/256 GB SSD/Windows 11) price in India"/>
    <x v="646"/>
    <n v="191"/>
    <n v="80"/>
    <x v="0"/>
    <d v="2023-10-01T00:00:00"/>
    <s v="Intel Core i5 (13th Gen) 4.6 Ghz, Deca-Core"/>
    <s v="Windows 11"/>
    <x v="38"/>
    <s v="14&quot; (35.56 cm), 1920 x 1080 px, IPS LCD Display"/>
    <s v="Web Camera"/>
    <s v="Slim 18.4 mm"/>
    <s v="HDMI Port"/>
    <m/>
    <m/>
    <x v="2"/>
    <x v="41"/>
    <x v="2"/>
  </r>
  <r>
    <s v="Asus VivoBook 14 X1404VA-NK521WS Laptop (Core i5 13th Gen/8 GB/512 GB SSD/Windows 11)"/>
    <s v="Asus VivoBook 14 X1404VA-NK521WS Laptop (Core i5 13th Gen/8 GB/512 GB SSD/Windows 11) price in India"/>
    <x v="124"/>
    <n v="157"/>
    <n v="80"/>
    <x v="0"/>
    <d v="2023-09-01T00:00:00"/>
    <s v="Intel Core i5 (13th Gen) 4.6 Ghz, Deca-Core"/>
    <s v="Windows 11"/>
    <x v="5"/>
    <s v="14&quot; (35.56 cm), 1920 x 1080 px, IPS LCD Display"/>
    <s v="Web Camera"/>
    <s v="Slim 17.9 mm"/>
    <s v="HDMI Port"/>
    <m/>
    <n v="78"/>
    <x v="2"/>
    <x v="41"/>
    <x v="2"/>
  </r>
  <r>
    <s v="HP 15s-fq5185TU (7Q6Z7PA) Laptop (Core i3 12th Gen/8 GB/512 GB SSD/Windows 11)"/>
    <s v="HP 15s-fq5185TU (7Q6Z7PA) Laptop (Core i3 12th Gen/8 GB/512 GB SSD/Windows 11) price in India"/>
    <x v="647"/>
    <n v="42"/>
    <n v="80"/>
    <x v="0"/>
    <d v="2023-09-01T00:00:00"/>
    <s v="Intel Core i5 (13th Gen) 4.6 Ghz, Deca-Core"/>
    <s v="Windows 11"/>
    <x v="5"/>
    <s v="15.6&quot; (39.62 cm), 1920 x 1080 px, IPS LCD Display"/>
    <s v="Web Camera"/>
    <s v="Slim 17.9 mm"/>
    <s v="HDMI Port"/>
    <m/>
    <n v="77"/>
    <x v="7"/>
    <x v="41"/>
    <x v="2"/>
  </r>
  <r>
    <s v="Acer Nitro V ANV15-51 (UN.QN8SI.001) Laptop (Core i5 13th Gen/16 GB/512 GB SSD/Windows 11/6 GB)"/>
    <s v="Acer Nitro V ANV15-51 (UN.QN8SI.001) Laptop (Core i5 13th Gen/16 GB/512 GB SSD/Windows 11/6 GB) price in India"/>
    <x v="648"/>
    <n v="608"/>
    <n v="80"/>
    <x v="0"/>
    <d v="2023-09-01T00:00:00"/>
    <s v="Intel Core i5 (13th Gen) 4.6 Ghz, Deca-Core"/>
    <s v="Windows 11"/>
    <x v="6"/>
    <s v="15.6&quot; (39.62 cm), 1920 x 1080 px, TFT LCD Display"/>
    <s v="Web Camera"/>
    <m/>
    <s v="HDMI Port"/>
    <m/>
    <n v="87"/>
    <x v="1"/>
    <x v="41"/>
    <x v="0"/>
  </r>
  <r>
    <s v="HP 14-em0025AU (7N8C2PA) Laptop (AMD Quad Core Ryzen 3/8 GB/512 GB SSD/Windows 11)"/>
    <s v="HP 14-em0025AU (7N8C2PA) Laptop (AMD Quad Core Ryzen 3/8 GB/512 GB SSD/Windows 11) price in India"/>
    <x v="413"/>
    <n v="30"/>
    <n v="80"/>
    <x v="0"/>
    <d v="2023-09-01T00:00:00"/>
    <s v="Intel Core i5 (13th Gen) 4.6 Ghz, Deca-Core"/>
    <s v="Windows 11"/>
    <x v="20"/>
    <s v="14&quot; (35.56 cm), 1920 x 1080 px, IPS LCD Display"/>
    <s v="Web Camera"/>
    <s v="Slim 17.9 mm"/>
    <s v="HDMI Port"/>
    <m/>
    <n v="76"/>
    <x v="7"/>
    <x v="41"/>
    <x v="2"/>
  </r>
  <r>
    <s v="HP 255 G9 (841W6PA) Laptop (AMD Dual Core Ryzen 3/8 GB/512 GB SSD/DOS)"/>
    <s v="HP 255 G9 (841W6PA) Laptop (AMD Dual Core Ryzen 3/8 GB/512 GB SSD/DOS) price in India"/>
    <x v="649"/>
    <n v="91"/>
    <n v="80"/>
    <x v="0"/>
    <d v="2023-09-01T00:00:00"/>
    <s v="Intel Core i5 (13th Gen) 4.6 Ghz, Deca-Core"/>
    <s v="DOS"/>
    <x v="5"/>
    <s v="15.6&quot; (39.62 cm), 1366 x 768 px, IPS LCD Display"/>
    <s v="Web Camera"/>
    <s v="Slim 19.9 mm"/>
    <s v="HDMI Port"/>
    <m/>
    <m/>
    <x v="7"/>
    <x v="41"/>
    <x v="2"/>
  </r>
  <r>
    <s v="Fujitsu CH 4ZR1L82433 Laptop (Core i5 13th Gen/16 GB/512 GB SSD/Windows 11)"/>
    <s v="Fujitsu CH 4ZR1L82433 Laptop (Core i5 13th Gen/16 GB/512 GB SSD/Windows 11) price in India"/>
    <x v="256"/>
    <n v="5"/>
    <n v="80"/>
    <x v="0"/>
    <d v="2023-08-01T00:00:00"/>
    <s v="Intel Core i5 (13th Gen) 4.6 Ghz, Deca-Core"/>
    <s v="Windows 11"/>
    <x v="17"/>
    <s v="13.3&quot; (33.78 cm), 1920 x 1080 px Display"/>
    <s v="Web Camera"/>
    <m/>
    <s v="HDMI Port"/>
    <m/>
    <n v="80"/>
    <x v="9"/>
    <x v="41"/>
    <x v="0"/>
  </r>
  <r>
    <s v="Lenovo Legion Pro 5 16IRX8 (82WK00LNIN) Laptop (Core i7 13th Gen/32 GB/1 TB SSD/Windows 11/8 GB)"/>
    <s v="Lenovo Legion Pro 5 16IRX8 (82WK00LNIN) Laptop (Core i7 13th Gen/32 GB/1 TB SSD/Windows 11/8 GB) price in India"/>
    <x v="650"/>
    <n v="1"/>
    <n v="80"/>
    <x v="0"/>
    <d v="2023-08-01T00:00:00"/>
    <s v="Intel Core i5 (13th Gen) 4.6 Ghz, Deca-Core"/>
    <s v="Windows 11"/>
    <x v="19"/>
    <s v="16&quot; (40.64 cm), 2560 x 1600 px, IPS LCD Display"/>
    <s v="Web Camera"/>
    <m/>
    <s v="HDMI Port"/>
    <m/>
    <m/>
    <x v="5"/>
    <x v="41"/>
    <x v="3"/>
  </r>
  <r>
    <s v="Lenovo ThinkBook 15 G5 (21JFA00BIN) Laptop (AMD Octa Core Ryzen 7/8 GB/512 GB SSD/Windows 11)"/>
    <s v="Lenovo ThinkBook 15 G5 (21JFA00BIN) Laptop (AMD Octa Core Ryzen 7/8 GB/512 GB SSD/Windows 11) price in India"/>
    <x v="651"/>
    <n v="202"/>
    <n v="80"/>
    <x v="0"/>
    <d v="2023-08-01T00:00:00"/>
    <s v="Intel Core i5 (13th Gen) 4.6 Ghz, Deca-Core"/>
    <s v="Windows 11"/>
    <x v="5"/>
    <s v="15.6&quot; (39.62 cm), 1920 x 1080 px, IPS LCD Display"/>
    <s v="Web Camera"/>
    <m/>
    <s v="HDMI Port"/>
    <m/>
    <n v="74"/>
    <x v="5"/>
    <x v="41"/>
    <x v="2"/>
  </r>
  <r>
    <s v="Lenovo Thinkpad P14s Gen3 (21AKS02800) Laptop (Core i7 12th Gen/16 GB/512 GB SSD/Windows 11/4 GB)"/>
    <s v="Lenovo Thinkpad P14s Gen3 (21AKS02800) Laptop (Core i7 12th Gen/16 GB/512 GB SSD/Windows 11/4 GB) price in India"/>
    <x v="652"/>
    <n v="5"/>
    <n v="80"/>
    <x v="0"/>
    <d v="2023-08-01T00:00:00"/>
    <s v="Intel Core i5 (13th Gen) 4.6 Ghz, Deca-Core"/>
    <s v="Windows 11"/>
    <x v="2"/>
    <s v="14&quot; (35.56 cm), 1920 x 1080 px, IPS LCD Display"/>
    <s v="Web Camera"/>
    <s v="Slim 17.9 mm"/>
    <s v="HDMI Port"/>
    <m/>
    <n v="81"/>
    <x v="5"/>
    <x v="41"/>
    <x v="0"/>
  </r>
  <r>
    <s v="Asus VivoBook Go 15 E510MA-EJ001W Laptop (Intel Celeron Dual Core/4 GB/256 GB SSD/Windows 11)"/>
    <s v="Asus VivoBook Go 15 E510MA-EJ001W Laptop (Intel Celeron Dual Core/4 GB/256 GB SSD/Windows 11) price in India"/>
    <x v="653"/>
    <n v="1917"/>
    <n v="80"/>
    <x v="0"/>
    <d v="2023-07-01T00:00:00"/>
    <s v="Intel Core i5 (13th Gen) 4.6 Ghz, Deca-Core"/>
    <s v="Windows 11"/>
    <x v="52"/>
    <s v="15.6&quot; (39.62 cm), 1920 x 1080 px, IPS LCD Display"/>
    <s v="Web Camera"/>
    <s v="Slim 18.1 mm"/>
    <s v="HDMI Port"/>
    <m/>
    <m/>
    <x v="2"/>
    <x v="41"/>
    <x v="7"/>
  </r>
  <r>
    <s v="Asus VivoBook 14 X1404ZA-NK322WS Laptop (Core i3 12th Gen/8 GB/512 GB SSD/Windows 11)"/>
    <s v="Asus VivoBook 14 X1404ZA-NK322WS Laptop (Core i3 12th Gen/8 GB/512 GB SSD/Windows 11) price in India"/>
    <x v="337"/>
    <n v="182"/>
    <n v="80"/>
    <x v="0"/>
    <d v="2023-07-01T00:00:00"/>
    <s v="Intel Core i5 (13th Gen) 4.6 Ghz, Deca-Core"/>
    <s v="Windows 11"/>
    <x v="5"/>
    <s v="14&quot; (35.56 cm), 1920 x 1080 px, IPS LCD Display"/>
    <s v="Web Camera"/>
    <s v="Slim 17.9 mm"/>
    <s v="HDMI Port"/>
    <m/>
    <n v="78"/>
    <x v="2"/>
    <x v="41"/>
    <x v="2"/>
  </r>
  <r>
    <s v="Asus VivoBook 15 X1504ZA-NJ321WS Laptop (Core i3 12th Gen/8 GB/512 GB SSD/Windows 11)"/>
    <s v="Asus VivoBook 15 X1504ZA-NJ321WS Laptop (Core i3 12th Gen/8 GB/512 GB SSD/Windows 11) price in India"/>
    <x v="356"/>
    <n v="57"/>
    <n v="80"/>
    <x v="0"/>
    <d v="2023-07-01T00:00:00"/>
    <s v="Intel Core i5 (13th Gen) 4.6 Ghz, Deca-Core"/>
    <s v="Windows 11"/>
    <x v="5"/>
    <s v="15.6&quot; (39.62 cm), 1920 x 1080 px, IPS LCD Display"/>
    <s v="Web Camera"/>
    <s v="Slim 17.9 mm"/>
    <s v="HDMI Port"/>
    <m/>
    <n v="76"/>
    <x v="2"/>
    <x v="41"/>
    <x v="2"/>
  </r>
  <r>
    <s v="MSI Stealth 16 Mercedes AMG A13VF-265IN Laptop (Core i9 13th Gen/32 GB/1 TB SSD/Windows 11/8 GB)"/>
    <s v="MSI Stealth 16 Mercedes AMG A13VF-265IN Laptop (Core i9 13th Gen/32 GB/1 TB SSD/Windows 11/8 GB) price in India"/>
    <x v="654"/>
    <n v="4"/>
    <n v="80"/>
    <x v="0"/>
    <d v="2023-07-01T00:00:00"/>
    <s v="Intel Core i5 (13th Gen) 4.6 Ghz, Deca-Core"/>
    <s v="Windows 11"/>
    <x v="19"/>
    <s v="16&quot; (40.64 cm), 3840 x 2400 px, OLED Display"/>
    <s v="Web Camera"/>
    <s v="Slim 19.9 mm"/>
    <s v="HDMI Port"/>
    <m/>
    <m/>
    <x v="3"/>
    <x v="41"/>
    <x v="3"/>
  </r>
  <r>
    <s v="Lenovo Yoga Slim 6i 14IRP8 (82WV005JIN) Laptop (Core i5 13th Gen/16 GB/512 GB SSD/Windows 11)"/>
    <s v="Lenovo Yoga Slim 6i 14IRP8 (82WV005JIN) Laptop (Core i5 13th Gen/16 GB/512 GB SSD/Windows 11) price in India"/>
    <x v="655"/>
    <n v="1"/>
    <n v="80"/>
    <x v="0"/>
    <d v="2023-07-01T00:00:00"/>
    <s v="Intel Core i5 (13th Gen) 4.6 Ghz, Deca-Core"/>
    <s v="Windows 11"/>
    <x v="17"/>
    <s v="14&quot; (35.56 cm), 1920 x 1200 px, OLED Display"/>
    <s v="Web Camera"/>
    <s v="Slim 14.9 mm"/>
    <s v="HDMI Port"/>
    <m/>
    <n v="78"/>
    <x v="5"/>
    <x v="41"/>
    <x v="0"/>
  </r>
  <r>
    <s v="Lenovo Yoga 6 13ABR8 (83B2005TIN) Laptop (AMD Hexa Core Ryzen 5/16 GB/512 GB SSD/Windows 11)"/>
    <s v="Lenovo Yoga 6 13ABR8 (83B2005TIN) Laptop (AMD Hexa Core Ryzen 5/16 GB/512 GB SSD/Windows 11) price in India"/>
    <x v="195"/>
    <n v="20"/>
    <n v="80"/>
    <x v="0"/>
    <d v="2023-07-01T00:00:00"/>
    <s v="Intel Core i5 (13th Gen) 4.6 Ghz, Deca-Core"/>
    <s v="Windows 11"/>
    <x v="30"/>
    <s v="13.3&quot; (33.78 cm), 1920 x 1200 px, IPS LCD Display"/>
    <s v="Web Camera"/>
    <m/>
    <s v="HDMI Port"/>
    <m/>
    <n v="71"/>
    <x v="5"/>
    <x v="41"/>
    <x v="0"/>
  </r>
  <r>
    <s v="Infinix Y1 Plus Neo XL30 Laptop (Intel Celeron Quad Core/4 GB/128 GB SSD/Windows 11)"/>
    <s v="Infinix Y1 Plus Neo XL30 Laptop (Intel Celeron Quad Core/4 GB/128 GB SSD/Windows 11) price in India"/>
    <x v="656"/>
    <n v="1487"/>
    <n v="80"/>
    <x v="0"/>
    <d v="2023-07-01T00:00:00"/>
    <s v="Intel Core i5 (13th Gen) 4.6 Ghz, Deca-Core"/>
    <s v="Windows 11"/>
    <x v="69"/>
    <s v="15.6&quot; (39.62 cm), 1920 x 1080 px, IPS LCD Display"/>
    <s v="Web Camera"/>
    <s v="Slim 18.1 mm"/>
    <s v="HDMI Port"/>
    <s v="2 USB Ports"/>
    <m/>
    <x v="10"/>
    <x v="41"/>
    <x v="7"/>
  </r>
  <r>
    <s v="HP 255 G8 (6E3Z0PA) Laptop (AMD Dual Core Ryzen 3/8 GB/512 GB SSD/DOS)"/>
    <s v="HP 255 G8 (6E3Z0PA) Laptop (AMD Dual Core Ryzen 3/8 GB/512 GB SSD/DOS) price in India"/>
    <x v="147"/>
    <n v="57"/>
    <n v="80"/>
    <x v="0"/>
    <d v="2023-07-01T00:00:00"/>
    <s v="Intel Core i5 (13th Gen) 4.6 Ghz, Deca-Core"/>
    <s v="DOS"/>
    <x v="5"/>
    <s v="15.6&quot; (39.62 cm), 1366 x 768 px Display"/>
    <s v="Web Camera"/>
    <s v="Slim 17.9 mm"/>
    <s v="HDMI Port"/>
    <m/>
    <m/>
    <x v="7"/>
    <x v="41"/>
    <x v="2"/>
  </r>
  <r>
    <s v="HP Envy x360 15-fh0019AU (8C4S3PA) Laptop (AMD Octa Core Ryzen 7/16 GB/512 GB SSD/Windows 11)"/>
    <s v="HP Envy x360 15-fh0019AU (8C4S3PA) Laptop (AMD Octa Core Ryzen 7/16 GB/512 GB SSD/Windows 11) price in India"/>
    <x v="66"/>
    <n v="3"/>
    <n v="80"/>
    <x v="0"/>
    <d v="2023-07-01T00:00:00"/>
    <s v="Intel Core i5 (13th Gen) 4.6 Ghz, Octa-Core"/>
    <s v="Windows 11"/>
    <x v="30"/>
    <s v="15.6&quot; (39.62 cm), 1920 x 1080 px, IPS LCD Display"/>
    <s v="Web Camera"/>
    <s v="Slim 18.3 mm"/>
    <s v="HDMI Port"/>
    <m/>
    <n v="72"/>
    <x v="7"/>
    <x v="41"/>
    <x v="0"/>
  </r>
  <r>
    <s v="Infinix Zero Book 13 ZL513 Laptop (Core i9 13th Gen/32 GB/1 TB SSD/Windows 11)"/>
    <s v="Infinix Zero Book 13 ZL513 Laptop (Core i9 13th Gen/32 GB/1 TB SSD/Windows 11) price in India"/>
    <x v="657"/>
    <n v="676"/>
    <n v="80"/>
    <x v="0"/>
    <d v="2023-07-01T00:00:00"/>
    <s v="Intel Core i5 (13th Gen) 4.6 Ghz, Octa-Core"/>
    <s v="Windows 11"/>
    <x v="7"/>
    <s v="15.6&quot; (39.62 cm), 1920 x 1080 px, IPS LCD Display"/>
    <s v="Web Camera"/>
    <s v="Slim 16.9 mm"/>
    <s v="HDMI Port"/>
    <s v="2 USB Ports"/>
    <n v="86"/>
    <x v="10"/>
    <x v="41"/>
    <x v="3"/>
  </r>
  <r>
    <s v="MSI Modern 14 C11M-029IN Laptop (Core i5 11th Gen/16 GB/512 GB SSD/Windows 11)"/>
    <s v="MSI Modern 14 C11M-029IN Laptop (Core i5 11th Gen/16 GB/512 GB SSD/Windows 11) price in India"/>
    <x v="414"/>
    <n v="3"/>
    <n v="80"/>
    <x v="0"/>
    <d v="2023-07-01T00:00:00"/>
    <s v="Intel Core i5 (13th Gen) 4.6 Ghz, Octa-Core"/>
    <s v="Windows 11"/>
    <x v="2"/>
    <s v="14&quot; (35.56 cm), 1920 x 1080 px, IPS LCD Display"/>
    <s v="Web Camera"/>
    <s v="Slim 19.3 mm"/>
    <s v="HDMI Port"/>
    <m/>
    <n v="73"/>
    <x v="3"/>
    <x v="41"/>
    <x v="0"/>
  </r>
  <r>
    <s v="Dell Inspiron 14 5430 (IN54303CRT9001SDS1) Laptop (Core i7 13th Gen/16 GB/512 GB SSD/Windows 11)"/>
    <s v="Dell Inspiron 14 5430 (IN54303CRT9001SDS1) Laptop (Core i7 13th Gen/16 GB/512 GB SSD/Windows 11) price in India"/>
    <x v="658"/>
    <n v="7"/>
    <n v="80"/>
    <x v="0"/>
    <d v="2023-07-01T00:00:00"/>
    <s v="Intel Core i5 (13th Gen) 4.6 Ghz, Octa-Core"/>
    <s v="Windows 11"/>
    <x v="17"/>
    <s v="14&quot; (35.56 cm), 1920 x 1200 px, IPS LCD Display"/>
    <s v="Web Camera"/>
    <s v="Slim 17.6 mm"/>
    <s v="HDMI Port"/>
    <m/>
    <n v="78"/>
    <x v="6"/>
    <x v="41"/>
    <x v="0"/>
  </r>
  <r>
    <s v="Lenovo Ideapad Slim 3 15IRU8 (82X70033IN) Laptop (Core i3 13th Gen/8 GB/512 GB SSD/Windows 11)"/>
    <s v="Lenovo Ideapad Slim 3 15IRU8 (82X70033IN) Laptop (Core i3 13th Gen/8 GB/512 GB SSD/Windows 11) price in India"/>
    <x v="6"/>
    <n v="70"/>
    <n v="80"/>
    <x v="0"/>
    <d v="2023-06-01T00:00:00"/>
    <s v="Intel Core i5 (13th Gen) 4.6 Ghz, Octa-Core"/>
    <s v="Windows 11"/>
    <x v="20"/>
    <s v="15.6&quot; (39.62 cm), 1920 x 1080 px, IPS LCD Display"/>
    <s v="Web Camera"/>
    <s v="Slim 17.9 mm"/>
    <s v="HDMI Port"/>
    <m/>
    <n v="79"/>
    <x v="5"/>
    <x v="41"/>
    <x v="2"/>
  </r>
  <r>
    <s v="Asus EeeBook 15 E510MA-EJ011WS Laptop (Intel Celeron Dual Core/8 GB/256 GB SSD/Windows 11)"/>
    <s v="Asus EeeBook 15 E510MA-EJ011WS Laptop (Intel Celeron Dual Core/8 GB/256 GB SSD/Windows 11) price in India"/>
    <x v="659"/>
    <n v="1917"/>
    <n v="80"/>
    <x v="0"/>
    <d v="2023-06-01T00:00:00"/>
    <s v="Intel Core i5 (13th Gen) 4.6 Ghz, Octa-Core"/>
    <s v="Windows 11"/>
    <x v="38"/>
    <s v="15.6&quot; (39.62 cm), 1920 x 1080 px, IPS LCD Display"/>
    <s v="Web Camera"/>
    <s v="Slim 18.1 mm"/>
    <s v="HDMI Port"/>
    <m/>
    <m/>
    <x v="2"/>
    <x v="41"/>
    <x v="2"/>
  </r>
  <r>
    <s v="Asus VivoBook Go 14 E1404FA-NK323WS Laptop (AMD Quad Core Ryzen 3/8 GB/512 GB SSD/Windows 11)"/>
    <s v="Asus VivoBook Go 14 E1404FA-NK323WS Laptop (AMD Quad Core Ryzen 3/8 GB/512 GB SSD/Windows 11) price in India"/>
    <x v="354"/>
    <n v="64"/>
    <n v="80"/>
    <x v="0"/>
    <d v="2023-06-01T00:00:00"/>
    <s v="Intel Core i5 (13th Gen) 4.6 Ghz, Octa-Core"/>
    <s v="Windows 11"/>
    <x v="20"/>
    <s v="14&quot; (35.56 cm), 1920 x 1080 px, IPS LCD Display"/>
    <s v="Web Camera"/>
    <s v="Slim 17.9 mm"/>
    <s v="HDMI Port"/>
    <m/>
    <n v="72"/>
    <x v="2"/>
    <x v="41"/>
    <x v="2"/>
  </r>
  <r>
    <s v="MSI GF63 Thin 11UCX-1441IN Laptop (Core i7 11th Gen/16 GB/512 GB SSD/Windows 11/4 GB)"/>
    <s v="MSI GF63 Thin 11UCX-1441IN Laptop (Core i7 11th Gen/16 GB/512 GB SSD/Windows 11/4 GB) price in India"/>
    <x v="660"/>
    <n v="55"/>
    <n v="80"/>
    <x v="0"/>
    <d v="2023-05-01T00:00:00"/>
    <s v="Intel Core i5 (13th Gen) 4.6 Ghz, Octa-Core"/>
    <s v="Windows 11"/>
    <x v="2"/>
    <s v="15.6&quot; (39.62 cm), 1920 x 1080 px, IPS LCD Display"/>
    <s v="Web Camera"/>
    <m/>
    <m/>
    <s v="4 USB Ports"/>
    <n v="78"/>
    <x v="3"/>
    <x v="41"/>
    <x v="0"/>
  </r>
  <r>
    <s v="Lenovo V15 G3 (82TT004VIH) Laptop (Core i5 12th Gen/8 GB/512 GB SSD/DOS)"/>
    <s v="Lenovo V15 G3 (82TT004VIH) Laptop (Core i5 12th Gen/8 GB/512 GB SSD/DOS) price in India"/>
    <x v="347"/>
    <n v="1"/>
    <n v="80"/>
    <x v="0"/>
    <d v="2023-05-01T00:00:00"/>
    <s v="Intel Core i5 (13th Gen) 4.6 Ghz, Octa-Core"/>
    <s v="DOS"/>
    <x v="5"/>
    <s v="15.6&quot; (39.62 cm), 1920 x 1080 px, IPS LCD Display"/>
    <s v="Web Camera"/>
    <m/>
    <s v="HDMI Port"/>
    <m/>
    <n v="77"/>
    <x v="5"/>
    <x v="41"/>
    <x v="2"/>
  </r>
  <r>
    <s v="Asus VivoBook 15 X1502ZA-EJ544WS Laptop (Core i5 12th Gen/16 GB/512 GB SSD/Windows 11)"/>
    <s v="Asus VivoBook 15 X1502ZA-EJ544WS Laptop (Core i5 12th Gen/16 GB/512 GB SSD/Windows 11) price in India"/>
    <x v="244"/>
    <n v="6"/>
    <n v="80"/>
    <x v="0"/>
    <d v="2023-05-01T00:00:00"/>
    <s v="Intel Core i5 (13th Gen) 4.6 Ghz, Octa-Core"/>
    <s v="Windows 11"/>
    <x v="2"/>
    <s v="15.6&quot; (39.62 cm), 1920 x 1080 px Display"/>
    <s v="Web Camera"/>
    <m/>
    <s v="HDMI Port"/>
    <m/>
    <n v="80"/>
    <x v="2"/>
    <x v="41"/>
    <x v="0"/>
  </r>
  <r>
    <s v="Acer Aspire 5 A515-58P (NX.KHJSI.001) Laptop (Core i3 13th Gen/8 GB/512 GB SSD/Windows 11)"/>
    <s v="Acer Aspire 5 A515-58P (NX.KHJSI.001) Laptop (Core i3 13th Gen/8 GB/512 GB SSD/Windows 11) price in India"/>
    <x v="329"/>
    <n v="21"/>
    <n v="80"/>
    <x v="0"/>
    <d v="2023-05-01T00:00:00"/>
    <s v="Intel Core i5 (13th Gen) 4.6 Ghz, Octa-Core"/>
    <s v="Windows 11"/>
    <x v="20"/>
    <s v="15.6&quot; (39.62 cm), 1920 x 1080 px Display"/>
    <s v="Web Camera"/>
    <m/>
    <s v="HDMI Port"/>
    <m/>
    <m/>
    <x v="1"/>
    <x v="41"/>
    <x v="2"/>
  </r>
  <r>
    <s v="Asus ROG Zephyrus G16 GU603VV-N4044WS Laptop (Core i9 13th Gen/16 GB/1 TB SSD/Windows 11/8 GB)"/>
    <s v="Asus ROG Zephyrus G16 GU603VV-N4044WS Laptop (Core i9 13th Gen/16 GB/1 TB SSD/Windows 11/8 GB) price in India"/>
    <x v="661"/>
    <n v="5"/>
    <n v="80"/>
    <x v="0"/>
    <d v="2023-05-01T00:00:00"/>
    <s v="Intel Core i5 (13th Gen) 4.6 Ghz, Octa-Core"/>
    <s v="Windows 11"/>
    <x v="23"/>
    <s v="16&quot; (40.64 cm), 2560 x 1600 px Display"/>
    <s v="Web Camera"/>
    <m/>
    <s v="HDMI Port"/>
    <m/>
    <n v="87"/>
    <x v="2"/>
    <x v="41"/>
    <x v="0"/>
  </r>
  <r>
    <s v="Asus TUF Gaming F15 FX507VV-LP071WS Laptop (Core i9 13th Gen/16 GB/1 TB SSD/Windows 11/8 GB)"/>
    <s v="Asus TUF Gaming F15 FX507VV-LP071WS Laptop (Core i9 13th Gen/16 GB/1 TB SSD/Windows 11/8 GB) price in India"/>
    <x v="662"/>
    <n v="4"/>
    <n v="80"/>
    <x v="0"/>
    <d v="2023-05-01T00:00:00"/>
    <s v="Intel Core i5 (13th Gen) 4.6 Ghz, Octa-Core"/>
    <s v="Windows 11"/>
    <x v="23"/>
    <s v="15.6&quot; (39.62 cm), 1920 x 1080 px, IPS LCD Display"/>
    <s v="Web Camera"/>
    <m/>
    <s v="HDMI Port"/>
    <m/>
    <n v="86"/>
    <x v="2"/>
    <x v="41"/>
    <x v="0"/>
  </r>
  <r>
    <s v="HP 15-fc0028AU (7L032PA) Laptop (AMD Quad Core Ryzen 5/8 GB/512 GB SSD/Windows 11)"/>
    <s v="HP 15-fc0028AU (7L032PA) Laptop (AMD Quad Core Ryzen 5/8 GB/512 GB SSD/Windows 11) price in India"/>
    <x v="663"/>
    <n v="73"/>
    <n v="80"/>
    <x v="0"/>
    <d v="2023-05-01T00:00:00"/>
    <s v="Intel Core i5 (13th Gen) 4.6 Ghz, Octa-Core"/>
    <s v="Windows 11"/>
    <x v="20"/>
    <s v="15.6&quot; (39.62 cm), 1920 x 1080 px, IPS LCD Display"/>
    <s v="Web Camera"/>
    <s v="Slim 18.6 mm"/>
    <s v="HDMI Port"/>
    <m/>
    <n v="72"/>
    <x v="7"/>
    <x v="41"/>
    <x v="2"/>
  </r>
  <r>
    <s v="Asus VivoBook 15X OLED M3504YA-LK541WS Laptop (AMD Hexa Core Ryzen 5/16 GB/512 GB SSD/Windows 11)"/>
    <s v="Asus VivoBook 15X OLED M3504YA-LK541WS Laptop (AMD Hexa Core Ryzen 5/16 GB/512 GB SSD/Windows 11) price in India"/>
    <x v="664"/>
    <n v="4"/>
    <n v="80"/>
    <x v="0"/>
    <d v="2023-05-01T00:00:00"/>
    <s v="Intel Core i5 (13th Gen) 4.6 Ghz, Octa-Core"/>
    <s v="Windows 11"/>
    <x v="2"/>
    <s v="15.6&quot; (39.62 cm), 1920 x 1080 px, OLED Display"/>
    <s v="Web Camera"/>
    <s v="Slim 17.9 mm"/>
    <s v="HDMI Port"/>
    <m/>
    <m/>
    <x v="2"/>
    <x v="41"/>
    <x v="0"/>
  </r>
  <r>
    <s v="Asus ROG Flow Z13 GZ301VV-MU014WS Laptop (Core i9 13th Gen/16 GB/1 TB SSD/Windows 11/8 GB)"/>
    <s v="Asus ROG Flow Z13 GZ301VV-MU014WS Laptop (Core i9 13th Gen/16 GB/1 TB SSD/Windows 11/8 GB) price in India"/>
    <x v="29"/>
    <n v="4"/>
    <n v="80"/>
    <x v="0"/>
    <d v="2023-05-01T00:00:00"/>
    <s v="Intel Core i5 (13th Gen) 4.6 Ghz, Octa-Core"/>
    <s v="Windows 11"/>
    <x v="21"/>
    <s v="13.4&quot; (34.04 cm), 2560 x 1600 px Display"/>
    <s v="Web Camera"/>
    <s v="Slim 14.2 mm"/>
    <m/>
    <m/>
    <m/>
    <x v="2"/>
    <x v="41"/>
    <x v="0"/>
  </r>
  <r>
    <s v="Asus ROG Zephyrus G14 GA402NU-N2023WS Laptop (AMD Octa Core Ryzen 7/16 GB/1 TB SSD/Windows 11/6 GB)"/>
    <s v="Asus ROG Zephyrus G14 GA402NU-N2023WS Laptop (AMD Octa Core Ryzen 7/16 GB/1 TB SSD/Windows 11/6 GB) price in India"/>
    <x v="110"/>
    <n v="3"/>
    <n v="80"/>
    <x v="0"/>
    <d v="2023-05-01T00:00:00"/>
    <s v="Intel Core i5 (13th Gen) 4.6 Ghz, Octa-Core"/>
    <s v="Windows 11"/>
    <x v="10"/>
    <s v="14&quot; (35.56 cm), 2560 x 1600 px Display"/>
    <s v="Web Camera"/>
    <s v="Slim 19.5 mm"/>
    <s v="HDMI Port"/>
    <m/>
    <m/>
    <x v="2"/>
    <x v="41"/>
    <x v="0"/>
  </r>
  <r>
    <s v="Infinix Y1 Plus Neo XL30 Laptop (Intel Celeron Quad Core/8 GB/256 GB SSD/Windows 11)"/>
    <s v="Infinix Y1 Plus Neo XL30 Laptop (Intel Celeron Quad Core/8 GB/256 GB SSD/Windows 11) price in India"/>
    <x v="523"/>
    <n v="4097"/>
    <n v="80"/>
    <x v="0"/>
    <d v="2023-04-01T00:00:00"/>
    <s v="Intel Core i5 (13th Gen) 4.6 Ghz, Octa-Core"/>
    <s v="Windows 11"/>
    <x v="57"/>
    <s v="15.6&quot; (39.62 cm), 1920 x 1080 px, IPS LCD Display"/>
    <s v="Web Camera"/>
    <s v="Slim 18.1 mm"/>
    <s v="HDMI Port"/>
    <s v="2 USB Ports"/>
    <m/>
    <x v="10"/>
    <x v="41"/>
    <x v="2"/>
  </r>
  <r>
    <s v="Infinix Y1 Plus Neo XL30 Laptop (Intel Celeron Quad Core/8 GB/512 GB SSD/Windows 11)"/>
    <s v="Infinix Y1 Plus Neo XL30 Laptop (Intel Celeron Quad Core/8 GB/512 GB SSD/Windows 11) price in India"/>
    <x v="404"/>
    <n v="4094"/>
    <n v="80"/>
    <x v="0"/>
    <d v="2023-04-01T00:00:00"/>
    <s v="Intel Core i5 (13th Gen) 4.6 Ghz, Octa-Core"/>
    <s v="Windows 11"/>
    <x v="48"/>
    <s v="15.6&quot; (39.62 cm), 1920 x 1080 px, IPS LCD Display"/>
    <s v="Web Camera"/>
    <s v="Slim 18.1 mm"/>
    <s v="HDMI Port"/>
    <s v="2 USB Ports"/>
    <m/>
    <x v="10"/>
    <x v="41"/>
    <x v="2"/>
  </r>
  <r>
    <s v="MSI Cyborg 15 A12UCX-264IN Laptop (Core i5 12th Gen/16 GB/512 GB SSD/Windows 11/4 GB)"/>
    <s v="MSI Cyborg 15 A12UCX-264IN Laptop (Core i5 12th Gen/16 GB/512 GB SSD/Windows 11/4 GB) price in India"/>
    <x v="387"/>
    <n v="43"/>
    <n v="80"/>
    <x v="0"/>
    <d v="2023-04-01T00:00:00"/>
    <s v="Intel Core i5 (13th Gen) 4.6 Ghz, Octa-Core"/>
    <s v="Windows 11"/>
    <x v="6"/>
    <s v="15.6&quot; (39.62 cm), 1920 x 1080 px Display"/>
    <s v="Web Camera"/>
    <m/>
    <s v="HDMI Port"/>
    <m/>
    <n v="85"/>
    <x v="3"/>
    <x v="41"/>
    <x v="0"/>
  </r>
  <r>
    <s v="HP 15s-fq2738TU Laptop (Core i3 11th Gen/8 GB/512 GB SSD/Windows 11)"/>
    <s v="HP 15s-fq2738TU Laptop (Core i3 11th Gen/8 GB/512 GB SSD/Windows 11) price in India"/>
    <x v="356"/>
    <n v="235"/>
    <n v="80"/>
    <x v="0"/>
    <d v="2023-04-01T00:00:00"/>
    <s v="Intel Core i5 (13th Gen) 4.6 Ghz, Octa-Core"/>
    <s v="Windows 11"/>
    <x v="5"/>
    <s v="15.6&quot; (39.62 cm), 1366 x 768 px Display"/>
    <s v="Web Camera"/>
    <s v="Slim 17.9 mm"/>
    <s v="HDMI Port"/>
    <m/>
    <m/>
    <x v="7"/>
    <x v="41"/>
    <x v="2"/>
  </r>
  <r>
    <s v="Asus VivoBook 14 X1404VA-NK541WS Laptop (Core i5 13th Gen/16 GB/512 GB SSD/Windows 11)"/>
    <s v="Asus VivoBook 14 X1404VA-NK541WS Laptop (Core i5 13th Gen/16 GB/512 GB SSD/Windows 11) price in India"/>
    <x v="42"/>
    <n v="157"/>
    <n v="80"/>
    <x v="0"/>
    <d v="2023-04-01T00:00:00"/>
    <s v="Intel Core i5 (13th Gen) 4.6 Ghz, Octa-Core"/>
    <s v="Windows 11"/>
    <x v="2"/>
    <s v="14&quot; (35.56 cm), 1920 x 1080 px, IPS LCD Display"/>
    <s v="Web Camera"/>
    <m/>
    <m/>
    <m/>
    <n v="73"/>
    <x v="2"/>
    <x v="41"/>
    <x v="0"/>
  </r>
  <r>
    <s v="Asus VivoBook 14 X1404VA-NK522WS Laptop (Core i5 13th Gen/8 GB/512 GB SSD/Windows 11)"/>
    <s v="Asus VivoBook 14 X1404VA-NK522WS Laptop (Core i5 13th Gen/8 GB/512 GB SSD/Windows 11) price in India"/>
    <x v="314"/>
    <n v="157"/>
    <n v="80"/>
    <x v="0"/>
    <d v="2023-04-01T00:00:00"/>
    <s v="Intel Core i5 (13th Gen) 4.6 Ghz, Octa-Core"/>
    <s v="Windows 11"/>
    <x v="5"/>
    <s v="14&quot; (35.56 cm), 1920 x 1080 px, IPS LCD Display"/>
    <s v="Web Camera"/>
    <m/>
    <m/>
    <m/>
    <n v="72"/>
    <x v="2"/>
    <x v="41"/>
    <x v="2"/>
  </r>
  <r>
    <s v="HP Victus 15-fb0133AX (87B79PA) Laptop (AMD Hexa Core Ryzen 5/16 GB/512 GB SSD/Windows 11/4 GB)"/>
    <s v="HP Victus 15-fb0133AX (87B79PA) Laptop (AMD Hexa Core Ryzen 5/16 GB/512 GB SSD/Windows 11/4 GB) price in India"/>
    <x v="266"/>
    <n v="280"/>
    <n v="80"/>
    <x v="0"/>
    <d v="2023-04-01T00:00:00"/>
    <s v="Intel Core i5 (13th Gen) 4.6 Ghz, Octa-Core"/>
    <s v="Windows 11"/>
    <x v="2"/>
    <s v="15.6&quot; (39.62 cm), 1920 x 1080 px, IPS LCD Display"/>
    <s v="Web Camera"/>
    <m/>
    <s v="HDMI Port"/>
    <m/>
    <n v="83"/>
    <x v="7"/>
    <x v="41"/>
    <x v="0"/>
  </r>
  <r>
    <s v="HP 250 G8 (7M6L7PA) Laptop (Core i3 11th Gen/8 GB/1 TB 256 GB SSD/DOS)"/>
    <s v="HP 250 G8 (7M6L7PA) Laptop (Core i3 11th Gen/8 GB/1 TB 256 GB SSD/DOS) price in India"/>
    <x v="573"/>
    <n v="189"/>
    <n v="80"/>
    <x v="0"/>
    <d v="2023-04-01T00:00:00"/>
    <s v="Intel Core i5 (13th Gen) 4.6 Ghz, Octa-Core"/>
    <s v="DOS"/>
    <x v="37"/>
    <s v="15.6&quot; (39.62 cm), 1366 x 768 px, IPS LCD Display"/>
    <s v="Web Camera"/>
    <s v="Slim 19.9 mm"/>
    <s v="HDMI Port"/>
    <m/>
    <m/>
    <x v="7"/>
    <x v="41"/>
    <x v="2"/>
  </r>
  <r>
    <s v="Lenovo V15 G2 (82QYA00MIN) Laptop (Intel Celeron Dual Core/8 GB/256 GB SSD/Windows 11)"/>
    <s v="Lenovo V15 G2 (82QYA00MIN) Laptop (Intel Celeron Dual Core/8 GB/256 GB SSD/Windows 11) price in India"/>
    <x v="665"/>
    <n v="3031"/>
    <n v="80"/>
    <x v="0"/>
    <d v="2023-04-01T00:00:00"/>
    <s v="Intel Core i5 (13th Gen) 4.6 Ghz, Octa-Core"/>
    <s v="Windows 11"/>
    <x v="38"/>
    <s v="15.6&quot; (39.62 cm), 1920 x 1080 px, IPS LCD Display"/>
    <s v="Web Camera"/>
    <m/>
    <s v="HDMI Port"/>
    <m/>
    <m/>
    <x v="5"/>
    <x v="41"/>
    <x v="2"/>
  </r>
  <r>
    <s v="Asus ROG Zephyrus M16 GU604VY-NM058WS Laptop (Core i9 13th Gen/32 GB/2 TB SSD/Windows 11/16 GB)"/>
    <s v="Asus ROG Zephyrus M16 GU604VY-NM058WS Laptop (Core i9 13th Gen/32 GB/2 TB SSD/Windows 11/16 GB) price in India"/>
    <x v="168"/>
    <n v="2"/>
    <n v="80"/>
    <x v="0"/>
    <d v="2023-03-01T00:00:00"/>
    <s v="Intel Core i5 (13th Gen) 4.6 Ghz, Octa-Core"/>
    <s v="Windows 11"/>
    <x v="22"/>
    <s v="16&quot; (40.64 cm), 2560 x 1600 px, IPS LCD Display"/>
    <s v="Web Camera"/>
    <m/>
    <s v="HDMI Port"/>
    <m/>
    <m/>
    <x v="2"/>
    <x v="41"/>
    <x v="3"/>
  </r>
  <r>
    <s v="Asus ROG Strix Scar 16 G634JZ-N4062WS Laptop (Core i9 13th Gen/32 GB/1 TB SSD/Windows 11/12 GB)"/>
    <s v="Asus ROG Strix Scar 16 G634JZ-N4062WS Laptop (Core i9 13th Gen/32 GB/1 TB SSD/Windows 11/12 GB) price in India"/>
    <x v="10"/>
    <n v="4"/>
    <n v="80"/>
    <x v="0"/>
    <d v="2023-03-01T00:00:00"/>
    <s v="Intel Core i5 (13th Gen) 4.6 Ghz, Octa-Core"/>
    <s v="Windows 11"/>
    <x v="19"/>
    <s v="16&quot; (40.64 cm), 2560 x 1600 px, IPS LCD Display"/>
    <s v="Web Camera"/>
    <m/>
    <s v="HDMI Port"/>
    <m/>
    <m/>
    <x v="2"/>
    <x v="41"/>
    <x v="3"/>
  </r>
  <r>
    <s v="MSI Modern 15 B13M-289IN Laptop (Core i5 13th Gen/16 GB/512 GB SSD/Windows 11)"/>
    <s v="MSI Modern 15 B13M-289IN Laptop (Core i5 13th Gen/16 GB/512 GB SSD/Windows 11) price in India"/>
    <x v="315"/>
    <n v="71"/>
    <n v="80"/>
    <x v="0"/>
    <d v="2023-03-01T00:00:00"/>
    <s v="Intel Core i5 (13th Gen) 4.6 Ghz, Octa-Core"/>
    <s v="Windows 11"/>
    <x v="2"/>
    <s v="15.6&quot; (39.62 cm), 1920 x 1080 px, IPS LCD Display"/>
    <s v="Web Camera"/>
    <s v="Slim 19.9 mm"/>
    <s v="HDMI Port"/>
    <m/>
    <n v="75"/>
    <x v="3"/>
    <x v="41"/>
    <x v="0"/>
  </r>
  <r>
    <s v="MSI Modern 14 C13M-436IN Laptop (Core i5 13th Gen/16 GB/512 GB SSD/Windows 11)"/>
    <s v="MSI Modern 14 C13M-436IN Laptop (Core i5 13th Gen/16 GB/512 GB SSD/Windows 11) price in India"/>
    <x v="666"/>
    <n v="154"/>
    <n v="80"/>
    <x v="0"/>
    <d v="2023-03-01T00:00:00"/>
    <s v="Intel Core i5 (13th Gen) 4.7 Ghz"/>
    <s v="Windows 11"/>
    <x v="2"/>
    <s v="14&quot; (35.56 cm), 1920 x 1080 px, IPS LCD Display"/>
    <s v="Web Camera"/>
    <s v="Slim 19.3 mm"/>
    <s v="HDMI Port"/>
    <m/>
    <n v="75"/>
    <x v="3"/>
    <x v="41"/>
    <x v="0"/>
  </r>
  <r>
    <s v="MSI Modern 14 C13M-437IN Laptop (Core i5 13th Gen/8 GB/512 GB SSD/Windows 11)"/>
    <s v="MSI Modern 14 C13M-437IN Laptop (Core i5 13th Gen/8 GB/512 GB SSD/Windows 11) price in India"/>
    <x v="180"/>
    <n v="61"/>
    <n v="80"/>
    <x v="0"/>
    <d v="2023-03-01T00:00:00"/>
    <s v="Intel Core i5 (13th Gen) 4.7 Ghz"/>
    <s v="Windows 11"/>
    <x v="5"/>
    <s v="14&quot; (35.56 cm), 1920 x 1080 px, IPS LCD Display"/>
    <s v="Web Camera"/>
    <s v="Slim 19.3 mm"/>
    <s v="HDMI Port"/>
    <m/>
    <n v="74"/>
    <x v="3"/>
    <x v="41"/>
    <x v="2"/>
  </r>
  <r>
    <s v="Lenovo Thinkpad E15 (21E6S05B00) Laptop (Core i5 12th Gen/8 GB/512 GB SSD/Windows 11)"/>
    <s v="Lenovo Thinkpad E15 (21E6S05B00) Laptop (Core i5 12th Gen/8 GB/512 GB SSD/Windows 11) price in India"/>
    <x v="667"/>
    <n v="119"/>
    <n v="80"/>
    <x v="0"/>
    <d v="2023-03-01T00:00:00"/>
    <s v="Intel Core i5 (13th Gen) 4.7 Ghz"/>
    <s v="Windows 11"/>
    <x v="5"/>
    <s v="15.6&quot; (39.62 cm), 1920 x 1080 px, IPS LCD Display"/>
    <s v="Web Camera"/>
    <s v="Slim 19 mm"/>
    <s v="HDMI Port"/>
    <m/>
    <n v="74"/>
    <x v="5"/>
    <x v="41"/>
    <x v="2"/>
  </r>
  <r>
    <s v="Asus VivoBook Go 15 E1504FA-NJ542WS Laptop (AMD Quad Core Ryzen 5/16 GB/512 GB SSD/Windows 11)"/>
    <s v="Asus VivoBook Go 15 E1504FA-NJ542WS Laptop (AMD Quad Core Ryzen 5/16 GB/512 GB SSD/Windows 11) price in India"/>
    <x v="155"/>
    <n v="81"/>
    <n v="80"/>
    <x v="0"/>
    <d v="2023-03-01T00:00:00"/>
    <s v="Intel Core i5 (13th Gen) 4.7 Ghz"/>
    <s v="Windows 11"/>
    <x v="6"/>
    <s v="15.6&quot; (39.62 cm), 1920 x 1080 px, IPS LCD Display"/>
    <s v="Web Camera"/>
    <s v="Slim 18 mm"/>
    <s v="HDMI Port"/>
    <s v="3 USB Ports"/>
    <n v="72"/>
    <x v="2"/>
    <x v="41"/>
    <x v="0"/>
  </r>
  <r>
    <s v="Acer Aspire 5 A515-57 (NX.K2VSI.002) Laptop (Core i3 12th Gen/8 GB/512 GB SSD/Windows 11)"/>
    <s v="Acer Aspire 5 A515-57 (NX.K2VSI.002) Laptop (Core i3 12th Gen/8 GB/512 GB SSD/Windows 11) price in India"/>
    <x v="668"/>
    <n v="42"/>
    <n v="80"/>
    <x v="0"/>
    <d v="2023-03-01T00:00:00"/>
    <s v="Intel Core i5 (13th Gen) 4.7 Ghz"/>
    <s v="Windows 11"/>
    <x v="5"/>
    <s v="15.6&quot; (39.62 cm), 1920 x 1080 px, IPS LCD Display"/>
    <s v="Web Camera"/>
    <s v="Slim 17.9 mm"/>
    <s v="HDMI Port"/>
    <m/>
    <n v="72"/>
    <x v="1"/>
    <x v="41"/>
    <x v="2"/>
  </r>
  <r>
    <s v="MSI Modern 15 B13M-291IN Laptop (Core i5 13th Gen/8 GB/512 GB SSD/Windows 11)"/>
    <s v="MSI Modern 15 B13M-291IN Laptop (Core i5 13th Gen/8 GB/512 GB SSD/Windows 11) price in India"/>
    <x v="352"/>
    <n v="64"/>
    <n v="80"/>
    <x v="0"/>
    <d v="2023-03-01T00:00:00"/>
    <s v="Intel Core i5 (13th Gen) 4.7 Ghz"/>
    <s v="Windows 11"/>
    <x v="5"/>
    <s v="15.6&quot; (39.62 cm), 1920 x 1080 px, IPS LCD Display"/>
    <s v="Web Camera"/>
    <s v="Slim 20 mm"/>
    <s v="HDMI Port"/>
    <m/>
    <n v="74"/>
    <x v="3"/>
    <x v="41"/>
    <x v="2"/>
  </r>
  <r>
    <s v="Lenovo Thinkpad E14 (21E3S0AV00) Laptop (Core i3 12th Gen/8 GB/512 GB SSD/Windows 11)"/>
    <s v="Lenovo Thinkpad E14 (21E3S0AV00) Laptop (Core i3 12th Gen/8 GB/512 GB SSD/Windows 11) price in India"/>
    <x v="669"/>
    <n v="57"/>
    <n v="80"/>
    <x v="0"/>
    <d v="2023-02-01T00:00:00"/>
    <s v="Intel Core i5 (13th Gen) 4.7 Ghz"/>
    <s v="Windows 11"/>
    <x v="5"/>
    <s v="14&quot; (35.56 cm), 1920 x 1080 px, IPS LCD Display"/>
    <s v="Web Camera"/>
    <s v="Slim 19 mm"/>
    <s v="HDMI Port"/>
    <m/>
    <n v="72"/>
    <x v="5"/>
    <x v="41"/>
    <x v="2"/>
  </r>
  <r>
    <s v="Asus VivoBook 15 X1502ZA-EJ322WS Laptop (Core i3 12th Gen/8 GB/512 GB SSD/Windows 11)"/>
    <s v="Asus VivoBook 15 X1502ZA-EJ322WS Laptop (Core i3 12th Gen/8 GB/512 GB SSD/Windows 11) price in India"/>
    <x v="147"/>
    <n v="239"/>
    <n v="80"/>
    <x v="0"/>
    <d v="2023-02-01T00:00:00"/>
    <s v="Intel Core i5 (13th Gen) 4.7 Ghz"/>
    <s v="Windows 11"/>
    <x v="5"/>
    <s v="15.6&quot; (39.62 cm), 1920 x 1080 px, IPS LCD Display"/>
    <s v="Web Camera"/>
    <s v="Slim 20 mm"/>
    <s v="HDMI Port"/>
    <m/>
    <n v="72"/>
    <x v="2"/>
    <x v="41"/>
    <x v="2"/>
  </r>
  <r>
    <s v="Lenovo Thinkpad 14 G2 (20VDA0V1IH) Laptop (Core i3 11th Gen/8 GB/512 GB SSD/DOS)"/>
    <s v="Lenovo Thinkpad 14 G2 (20VDA0V1IH) Laptop (Core i3 11th Gen/8 GB/512 GB SSD/DOS) price in India"/>
    <x v="348"/>
    <n v="1"/>
    <n v="80"/>
    <x v="0"/>
    <d v="2023-01-01T00:00:00"/>
    <s v="Intel Core i5 (13th Gen) 4.7 Ghz"/>
    <s v="DOS"/>
    <x v="59"/>
    <s v="14&quot; (35.56 cm), 1920 x 1080 px, IPS LCD Display"/>
    <s v="Web Camera"/>
    <s v="Slim 18 mm"/>
    <s v="HDMI Port"/>
    <m/>
    <n v="75"/>
    <x v="5"/>
    <x v="41"/>
    <x v="2"/>
  </r>
  <r>
    <s v="Lenovo V15 (82KDA011IH) Laptop (AMD Hexa Core Ryzen 5/8 GB/512 GB SSD/Windows 11)"/>
    <s v="Lenovo V15 (82KDA011IH) Laptop (AMD Hexa Core Ryzen 5/8 GB/512 GB SSD/Windows 11) price in India"/>
    <x v="383"/>
    <n v="312"/>
    <n v="80"/>
    <x v="0"/>
    <d v="2023-01-01T00:00:00"/>
    <s v="Intel Core i5 (13th Gen) 4.7 Ghz"/>
    <s v="Windows 11"/>
    <x v="5"/>
    <s v="15.6&quot; (39.62 cm), 1920 x 1080 px, IPS LCD Display"/>
    <s v="Web Camera"/>
    <s v="Slim 20 mm"/>
    <s v="HDMI Port"/>
    <m/>
    <n v="73"/>
    <x v="5"/>
    <x v="41"/>
    <x v="2"/>
  </r>
  <r>
    <s v="Apple MacBook Pro M2 Max MNWA3HN/A Ultrabook (Apple M2 Max/32 GB/1 TB SSD/macOS Ventura)"/>
    <s v="Apple MacBook Pro M2 Max MNWA3HN/A Ultrabook (Apple M2 Max/32 GB/1 TB SSD/macOS Ventura) price in India"/>
    <x v="670"/>
    <n v="8"/>
    <n v="80"/>
    <x v="0"/>
    <d v="2023-01-01T00:00:00"/>
    <s v="Intel Core i5 (13th Gen) 4.7 Ghz"/>
    <s v="macOS Ventura"/>
    <x v="29"/>
    <s v="16.2&quot; (41.15 cm), 3456 x 2234 px, Liquid Retina XDR Display"/>
    <s v="Web Camera"/>
    <s v="Slim 16.8 mm"/>
    <s v="HDMI Port"/>
    <m/>
    <n v="80"/>
    <x v="0"/>
    <x v="41"/>
    <x v="3"/>
  </r>
  <r>
    <s v="Asus VivoBook Go 15 E1504FA-NJ541WS Laptop (AMD Quad Core Ryzen 5/16 GB/512 GB SSD/Windows 11)"/>
    <s v="Asus VivoBook Go 15 E1504FA-NJ541WS Laptop (AMD Quad Core Ryzen 5/16 GB/512 GB SSD/Windows 11) price in India"/>
    <x v="155"/>
    <n v="82"/>
    <n v="80"/>
    <x v="0"/>
    <d v="2022-12-01T00:00:00"/>
    <s v="Intel Core i5 (13th Gen) 4.7 Ghz"/>
    <s v="Windows 11"/>
    <x v="6"/>
    <s v="15.6&quot; (39.62 cm), 1920 x 1080 px Display"/>
    <s v="Web Camera"/>
    <s v="Slim 18 mm"/>
    <s v="HDMI Port"/>
    <m/>
    <n v="71"/>
    <x v="2"/>
    <x v="41"/>
    <x v="0"/>
  </r>
  <r>
    <s v="MSI Modern 15 B12M-226IN Laptop (Core i7 12th Gen/16 GB/512 GB SSD/Windows 11)"/>
    <s v="MSI Modern 15 B12M-226IN Laptop (Core i7 12th Gen/16 GB/512 GB SSD/Windows 11) price in India"/>
    <x v="671"/>
    <n v="22"/>
    <n v="80"/>
    <x v="0"/>
    <d v="2022-12-01T00:00:00"/>
    <s v="Intel Core i5 (13th Gen) 4.7 Ghz"/>
    <s v="Windows 11"/>
    <x v="2"/>
    <s v="15.6&quot; (39.62 cm), 1920 x 1080 px, IPS LCD Display"/>
    <s v="Web Camera"/>
    <s v="Slim 20 mm"/>
    <s v="HDMI Port"/>
    <m/>
    <n v="76"/>
    <x v="3"/>
    <x v="41"/>
    <x v="0"/>
  </r>
  <r>
    <s v="Asus Chromebook Flip C214MA-BU0452 Laptop (Celeron Dual Core/4 GB/64 GB SSD/Google Chrome)"/>
    <s v="Asus Chromebook Flip C214MA-BU0452 Laptop (Celeron Dual Core/4 GB/64 GB SSD/Google Chrome) price in India"/>
    <x v="672"/>
    <n v="3396"/>
    <n v="80"/>
    <x v="0"/>
    <d v="2022-11-01T00:00:00"/>
    <s v="Intel Core i5 (13th Gen) 4.7 Ghz"/>
    <s v="Google Chrome"/>
    <x v="76"/>
    <s v="11.6&quot; (29.46 cm), 1366 x 768 px, LED Display"/>
    <s v="Web Camera"/>
    <s v="Slim 19.5 mm"/>
    <m/>
    <s v="1 USB Ports"/>
    <m/>
    <x v="2"/>
    <x v="41"/>
    <x v="7"/>
  </r>
  <r>
    <s v="Dell Inspiron 15 3511 (D560611WIN9BE) Laptop (Core i3 11th Gen/8 GB/1 TB 256 GB SSD/Windows 10)"/>
    <s v="Dell Inspiron 15 3511 (D560611WIN9BE) Laptop (Core i3 11th Gen/8 GB/1 TB 256 GB SSD/Windows 10) price in India"/>
    <x v="673"/>
    <n v="826"/>
    <n v="80"/>
    <x v="0"/>
    <d v="2022-11-01T00:00:00"/>
    <s v="Intel Core i5 (13th Gen) 4.7 Ghz"/>
    <s v="Windows 10"/>
    <x v="37"/>
    <s v="15.6&quot; (39.62 cm), 1920 x 1080 px, LED Display"/>
    <s v="Web Camera"/>
    <s v="Slim 19 mm"/>
    <s v="HDMI Port"/>
    <m/>
    <m/>
    <x v="6"/>
    <x v="41"/>
    <x v="2"/>
  </r>
  <r>
    <s v="Dell Inspiron 14 5410 (D560596WIN9S) Laptop (Core i7 11th Gen/16 GB/512 GB SSD/Windows 10)"/>
    <s v="Dell Inspiron 14 5410 (D560596WIN9S) Laptop (Core i7 11th Gen/16 GB/512 GB SSD/Windows 10) price in India"/>
    <x v="674"/>
    <n v="47"/>
    <n v="80"/>
    <x v="0"/>
    <d v="2022-11-01T00:00:00"/>
    <s v="Intel Core i5 (13th Gen) 4.7 Ghz, Deca-Core"/>
    <s v="Windows 10"/>
    <x v="2"/>
    <s v="14&quot; (35.56 cm), 1920 x 1080 px, LED Display"/>
    <s v="Web Camera"/>
    <s v="Slim 16.3 mm"/>
    <s v="HDMI Port"/>
    <m/>
    <n v="75"/>
    <x v="6"/>
    <x v="41"/>
    <x v="0"/>
  </r>
  <r>
    <s v="Dell G15-5525 (D560894WIN9S) Laptop (AMD Octa Core Ryzen 7/16 GB/512 GB SSD/Windows 11/6 GB)"/>
    <s v="Dell G15-5525 (D560894WIN9S) Laptop (AMD Octa Core Ryzen 7/16 GB/512 GB SSD/Windows 11/6 GB) price in India"/>
    <x v="675"/>
    <n v="65"/>
    <n v="80"/>
    <x v="0"/>
    <d v="2022-10-01T00:00:00"/>
    <s v="Intel Core i5 (13th Gen) 5.0 Ghz, Deca-Core"/>
    <s v="Windows 11"/>
    <x v="6"/>
    <s v="15.6&quot; (39.62 cm), 1920 x 1080 px, IPS LCD Display"/>
    <s v="Web Camera"/>
    <m/>
    <s v="HDMI Port"/>
    <m/>
    <n v="82"/>
    <x v="6"/>
    <x v="41"/>
    <x v="0"/>
  </r>
  <r>
    <s v="Dell Inspiron 15 3511 (D560647WIN9S) Laptop (Core i5 11th Gen/8 GB/1 TB 256 GB SSD/Windows 11)"/>
    <s v="Dell Inspiron 15 3511 (D560647WIN9S) Laptop (Core i5 11th Gen/8 GB/1 TB 256 GB SSD/Windows 11) price in India"/>
    <x v="415"/>
    <n v="43"/>
    <n v="80"/>
    <x v="0"/>
    <d v="2022-10-01T00:00:00"/>
    <s v="Intel Core i5 (6th Gen) 2.3 Ghz"/>
    <s v="Windows 11"/>
    <x v="37"/>
    <s v="15.6&quot; (39.62 cm), 1920 x 1080 px, IPS LCD Display"/>
    <s v="Web Camera"/>
    <s v="Slim 19 mm"/>
    <s v="HDMI Port"/>
    <m/>
    <m/>
    <x v="6"/>
    <x v="42"/>
    <x v="2"/>
  </r>
  <r>
    <s v="Dell G15-5525 (D560898WIN9S) Laptop (AMD Octa Core Ryzen 7/16 GB/1 TB SSD/Windows 11/8 GB)"/>
    <s v="Dell G15-5525 (D560898WIN9S) Laptop (AMD Octa Core Ryzen 7/16 GB/1 TB SSD/Windows 11/8 GB) price in India"/>
    <x v="676"/>
    <n v="4"/>
    <n v="80"/>
    <x v="0"/>
    <d v="2022-10-01T00:00:00"/>
    <s v="Intel Core i5 (7th Gen) 2.5 Ghz"/>
    <s v="Windows 11"/>
    <x v="10"/>
    <s v="15.6&quot; (39.62 cm), 1920 x 1080 px, IPS LCD Display"/>
    <s v="Web Camera"/>
    <m/>
    <s v="HDMI Port"/>
    <m/>
    <n v="84"/>
    <x v="6"/>
    <x v="43"/>
    <x v="0"/>
  </r>
  <r>
    <s v="Dell Inspiron 15 3520 (D560900WIN9B) Laptop (Core i5 12th Gen/8 GB/1 TB 256 GB SSD/Windows 11)"/>
    <s v="Dell Inspiron 15 3520 (D560900WIN9B) Laptop (Core i5 12th Gen/8 GB/1 TB 256 GB SSD/Windows 11) price in India"/>
    <x v="256"/>
    <n v="414"/>
    <n v="80"/>
    <x v="0"/>
    <d v="2022-10-01T00:00:00"/>
    <s v="Intel Core i5 (7th Gen) 2.5 Ghz"/>
    <s v="Windows 11"/>
    <x v="37"/>
    <s v="15.6&quot; (39.62 cm), 1920 x 1080 px, IPS LCD Display"/>
    <s v="Web Camera"/>
    <s v="Slim 21 mm"/>
    <s v="HDMI Port"/>
    <m/>
    <n v="73"/>
    <x v="6"/>
    <x v="43"/>
    <x v="2"/>
  </r>
  <r>
    <s v="Asus ROG Zephyrus G15 GA503RM-HQ030WS Laptop (AMD Octa Core Ryzen 9/16 GB/1 TB SSD/Windows 11/6 GB)"/>
    <s v="Asus ROG Zephyrus G15 GA503RM-HQ030WS Laptop (AMD Octa Core Ryzen 9/16 GB/1 TB SSD/Windows 11/6 GB) price in India"/>
    <x v="38"/>
    <n v="1"/>
    <n v="80"/>
    <x v="0"/>
    <d v="2022-08-01T00:00:00"/>
    <s v="Intel Core i5 (7th Gen) 2.5 Ghz, Dual-Core"/>
    <s v="Windows 11"/>
    <x v="10"/>
    <s v="15.6&quot; (39.62 cm), 2560 x 1440 px, IPS LCD Display"/>
    <s v="Web Camera"/>
    <m/>
    <s v="HDMI Port"/>
    <m/>
    <n v="85"/>
    <x v="2"/>
    <x v="43"/>
    <x v="0"/>
  </r>
  <r>
    <s v="Dell Inspiron 15 3511 (D560842WIN9B) Laptop (Core i3 11th Gen/8 GB/512 GB SSD/Windows 11)"/>
    <s v="Dell Inspiron 15 3511 (D560842WIN9B) Laptop (Core i3 11th Gen/8 GB/512 GB SSD/Windows 11) price in India"/>
    <x v="383"/>
    <n v="192"/>
    <n v="80"/>
    <x v="0"/>
    <d v="2022-08-01T00:00:00"/>
    <s v="Intel Core i5 (8th Gen) 1.4 Ghz"/>
    <s v="Windows 11"/>
    <x v="5"/>
    <s v="15.6&quot; (39.62 cm), 1920 x 1080 px, IPS LCD Display"/>
    <s v="Web Camera"/>
    <m/>
    <s v="HDMI Port"/>
    <m/>
    <m/>
    <x v="6"/>
    <x v="44"/>
    <x v="2"/>
  </r>
  <r>
    <s v="Lenovo IdeaPad Flex 5 Gen 7 (82R9008GIN) Laptop (AMD Hexa Core Ryzen 5/16 GB/512 GB SSD/Windows 11)"/>
    <s v="Lenovo IdeaPad Flex 5 Gen 7 (82R9008GIN) Laptop (AMD Hexa Core Ryzen 5/16 GB/512 GB SSD/Windows 11) price in India"/>
    <x v="522"/>
    <n v="122"/>
    <n v="80"/>
    <x v="0"/>
    <d v="2022-08-01T00:00:00"/>
    <s v="Intel Core i5 (8th Gen) 1.6 Ghz"/>
    <s v="Windows 11"/>
    <x v="30"/>
    <s v="14&quot; (35.56 cm), 1920 x 1200 px Display"/>
    <s v="Web Camera"/>
    <s v="Slim 18 mm"/>
    <s v="HDMI Port"/>
    <m/>
    <n v="75"/>
    <x v="5"/>
    <x v="44"/>
    <x v="0"/>
  </r>
  <r>
    <s v="Dell Vostro 3425 (D552305WIN9BE) Laptop (AMD Quad Core Ryzen 3/8 GB/256 GB SSD/Windows 11)"/>
    <s v="Dell Vostro 3425 (D552305WIN9BE) Laptop (AMD Quad Core Ryzen 3/8 GB/256 GB SSD/Windows 11) price in India"/>
    <x v="67"/>
    <n v="350"/>
    <n v="80"/>
    <x v="0"/>
    <d v="2022-08-01T00:00:00"/>
    <s v="Intel Core i5 (8th Gen) 1.6 Ghz"/>
    <s v="Windows 11"/>
    <x v="38"/>
    <s v="14&quot; (35.56 cm), 1920 x 1080 px, IPS LCD Display"/>
    <s v="Web Camera"/>
    <m/>
    <s v="HDMI Port"/>
    <m/>
    <m/>
    <x v="6"/>
    <x v="44"/>
    <x v="2"/>
  </r>
  <r>
    <s v="HP 15s-fq5112TU (6Q2M3PA) Laptop (Core i5 12th Gen/16 GB/512 GB SSD/Windows 11)"/>
    <s v="HP 15s-fq5112TU (6Q2M3PA) Laptop (Core i5 12th Gen/16 GB/512 GB SSD/Windows 11) price in India"/>
    <x v="677"/>
    <n v="716"/>
    <n v="80"/>
    <x v="0"/>
    <d v="2022-08-01T00:00:00"/>
    <s v="Intel Core i5 (8th Gen) 1.6 Ghz"/>
    <s v="Windows 11"/>
    <x v="2"/>
    <s v="15.6&quot; (39.62 cm), 1920 x 1080 px, IPS LCD Display"/>
    <s v="Web Camera"/>
    <s v="Slim 17.9 mm"/>
    <s v="HDMI Port"/>
    <m/>
    <n v="75"/>
    <x v="7"/>
    <x v="44"/>
    <x v="0"/>
  </r>
  <r>
    <s v="HP Pavilion Plus 14-eh0025TU (6H2F4PA) Laptop (Core i5 12th Gen/16 GB/512 GB SSD/Windows 11)"/>
    <s v="HP Pavilion Plus 14-eh0025TU (6H2F4PA) Laptop (Core i5 12th Gen/16 GB/512 GB SSD/Windows 11) price in India"/>
    <x v="55"/>
    <n v="220"/>
    <n v="80"/>
    <x v="0"/>
    <d v="2022-08-01T00:00:00"/>
    <s v="Intel Core i5 (8th Gen) 1.6 Ghz"/>
    <s v="Windows 11"/>
    <x v="2"/>
    <s v="14&quot; (35.56 cm), 2240 x 1400 px, IPS LCD Display"/>
    <s v="Web Camera"/>
    <s v="Slim 18.4 mm"/>
    <s v="HDMI Port"/>
    <m/>
    <n v="78"/>
    <x v="7"/>
    <x v="44"/>
    <x v="0"/>
  </r>
  <r>
    <s v="Asus Zenbook Flip 14 OLED UP5401ZA-KN501WS Laptop (Core i5 12th Gen/16 GB/512 GB SSD/Windows 11)"/>
    <s v="Asus Zenbook Flip 14 OLED UP5401ZA-KN501WS Laptop (Core i5 12th Gen/16 GB/512 GB SSD/Windows 11) price in India"/>
    <x v="121"/>
    <n v="49"/>
    <n v="80"/>
    <x v="0"/>
    <d v="2022-07-01T00:00:00"/>
    <s v="Intel Core i5 (8th Gen) 1.6 Ghz"/>
    <s v="Windows 11"/>
    <x v="17"/>
    <s v="14&quot; (35.56 cm), 2880 x 1800 px, OLED Display"/>
    <s v="Web Camera"/>
    <s v="Slim 15.9 mm"/>
    <s v="HDMI Port"/>
    <s v="1 USB Ports"/>
    <n v="77"/>
    <x v="2"/>
    <x v="44"/>
    <x v="0"/>
  </r>
  <r>
    <s v="Asus VivoBook 14 X415JA-EB531WS Laptop (Core i5 10th Gen/16 GB/512 GB SSD/Windows 11)"/>
    <s v="Asus VivoBook 14 X415JA-EB531WS Laptop (Core i5 10th Gen/16 GB/512 GB SSD/Windows 11) price in India"/>
    <x v="678"/>
    <n v="22"/>
    <n v="80"/>
    <x v="0"/>
    <d v="2022-07-01T00:00:00"/>
    <s v="Intel Core i5 (8th Gen) 1.6 Ghz"/>
    <s v="Windows 11"/>
    <x v="2"/>
    <s v="14&quot; (35.56 cm), 1920 x 1080 px, IPS LCD Display"/>
    <s v="Web Camera"/>
    <s v="Slim 19.9 mm"/>
    <s v="HDMI Port"/>
    <m/>
    <m/>
    <x v="2"/>
    <x v="44"/>
    <x v="0"/>
  </r>
  <r>
    <s v="HP 15s-eq1559AU (6P9A3PA) Laptop (AMD Dual Core Athlon/8 GB/512 GB SSD/Windows 11)"/>
    <s v="HP 15s-eq1559AU (6P9A3PA) Laptop (AMD Dual Core Athlon/8 GB/512 GB SSD/Windows 11) price in India"/>
    <x v="317"/>
    <n v="1673"/>
    <n v="80"/>
    <x v="0"/>
    <d v="2022-07-01T00:00:00"/>
    <s v="Intel Core i5 (8th Gen) 1.6 Ghz"/>
    <s v="Windows 11"/>
    <x v="5"/>
    <s v="15.6&quot; (39.62 cm), 1366 x 768 px Display"/>
    <s v="Web Camera"/>
    <s v="Slim 17.9 mm"/>
    <s v="HDMI Port"/>
    <m/>
    <m/>
    <x v="7"/>
    <x v="44"/>
    <x v="2"/>
  </r>
  <r>
    <s v="Lenovo V15 (82KDA01BIH) Laptop (AMD Quad Core Ryzen 3/8 GB/512 GB SSD/Windows 11)"/>
    <s v="Lenovo V15 (82KDA01BIH) Laptop (AMD Quad Core Ryzen 3/8 GB/512 GB SSD/Windows 11) price in India"/>
    <x v="589"/>
    <n v="648"/>
    <n v="80"/>
    <x v="0"/>
    <d v="2022-07-01T00:00:00"/>
    <s v="Intel Core i5 (8th Gen) 1.6 Ghz"/>
    <s v="Windows 11"/>
    <x v="5"/>
    <s v="15.6&quot; (39.62 cm), 1920 x 1080 px, IPS LCD Display"/>
    <s v="Web Camera"/>
    <s v="Slim 20 mm"/>
    <s v="HDMI Port"/>
    <m/>
    <m/>
    <x v="5"/>
    <x v="44"/>
    <x v="2"/>
  </r>
  <r>
    <s v="Dell G15-5525 (D560818WIN9B) Laptop (AMD Hexa Core Ryzen 5/16 GB/512 GB SSD/Windows 11/4 GB)"/>
    <s v="Dell G15-5525 (D560818WIN9B) Laptop (AMD Hexa Core Ryzen 5/16 GB/512 GB SSD/Windows 11/4 GB) price in India"/>
    <x v="679"/>
    <n v="232"/>
    <n v="80"/>
    <x v="0"/>
    <d v="2022-07-01T00:00:00"/>
    <s v="Intel Core i5 (8th Gen) 1.6 Ghz"/>
    <s v="Windows 11"/>
    <x v="6"/>
    <s v="15.6&quot; (39.62 cm), 1920 x 1080 px, IPS LCD Display"/>
    <s v="Web Camera"/>
    <m/>
    <s v="HDMI Port"/>
    <m/>
    <n v="79"/>
    <x v="6"/>
    <x v="44"/>
    <x v="0"/>
  </r>
  <r>
    <s v="HP Pavilion x360 14-ek0072TU (6Q0Y7PA) Laptop (Core i5 12th Gen/16 GB/512 GB SSD/Windows 11)"/>
    <s v="HP Pavilion x360 14-ek0072TU (6Q0Y7PA) Laptop (Core i5 12th Gen/16 GB/512 GB SSD/Windows 11) price in India"/>
    <x v="680"/>
    <n v="96"/>
    <n v="80"/>
    <x v="0"/>
    <d v="2022-07-01T00:00:00"/>
    <s v="Intel Core i5 (8th Gen) 1.6 Ghz"/>
    <s v="Windows 11"/>
    <x v="2"/>
    <s v="14&quot; (35.56 cm), 1920 x 1080 px, IPS LCD Display"/>
    <s v="Web Camera"/>
    <s v="Slim 19.9 mm"/>
    <s v="HDMI Port"/>
    <m/>
    <n v="76"/>
    <x v="7"/>
    <x v="44"/>
    <x v="0"/>
  </r>
  <r>
    <s v="HP Victus 15-fb0053AX (6F9U1PA) Laptop (AMD Octa Core Ryzen 7/16 GB/512 GB SSD/Windows 11/4 GB)"/>
    <s v="HP Victus 15-fb0053AX (6F9U1PA) Laptop (AMD Octa Core Ryzen 7/16 GB/512 GB SSD/Windows 11/4 GB) price in India"/>
    <x v="681"/>
    <n v="14"/>
    <n v="80"/>
    <x v="0"/>
    <d v="2022-07-01T00:00:00"/>
    <s v="Intel Core i5 (8th Gen) 1.6 Ghz"/>
    <s v="Windows 11"/>
    <x v="2"/>
    <s v="15.6&quot; (39.62 cm), 1920 x 1080 px Display"/>
    <s v="Web Camera"/>
    <m/>
    <s v="HDMI Port"/>
    <m/>
    <n v="80"/>
    <x v="7"/>
    <x v="44"/>
    <x v="0"/>
  </r>
  <r>
    <s v="HP 15s-fq2671TU (6N044PA) Laptop (Core i3 11th Gen/8 GB/512 GB SSD/Windows 11)"/>
    <s v="HP 15s-fq2671TU (6N044PA) Laptop (Core i3 11th Gen/8 GB/512 GB SSD/Windows 11) price in India"/>
    <x v="500"/>
    <n v="507"/>
    <n v="80"/>
    <x v="0"/>
    <d v="2022-06-01T00:00:00"/>
    <s v="Intel Core i5 (8th Gen) 1.6 Ghz, Quad-Core"/>
    <s v="Windows 11"/>
    <x v="5"/>
    <s v="15.6&quot; (39.62 cm), 1920 x 1080 px, IPS LCD Display"/>
    <s v="Web Camera"/>
    <s v="Slim 17.9 mm"/>
    <s v="HDMI Port"/>
    <m/>
    <m/>
    <x v="7"/>
    <x v="44"/>
    <x v="2"/>
  </r>
  <r>
    <s v="Dell Inspiron 15 3511 (D560745WIN9B) Laptop (Core i5 11th Gen/8 GB/512 GB SSD/Windows 11)"/>
    <s v="Dell Inspiron 15 3511 (D560745WIN9B) Laptop (Core i5 11th Gen/8 GB/512 GB SSD/Windows 11) price in India"/>
    <x v="682"/>
    <n v="188"/>
    <n v="80"/>
    <x v="0"/>
    <d v="2022-06-01T00:00:00"/>
    <s v="Intel Core i5 (8th Gen) 2.3 Ghz"/>
    <s v="Windows 11"/>
    <x v="5"/>
    <s v="15.6&quot; (39.62 cm), 1920 x 1080 px, IPS LCD Display"/>
    <s v="Web Camera"/>
    <s v="Slim 19 mm"/>
    <s v="HDMI Port"/>
    <m/>
    <m/>
    <x v="6"/>
    <x v="44"/>
    <x v="2"/>
  </r>
  <r>
    <s v="Lenovo V15 (82KBA03TIH) Laptop (Core i3 11th Gen/8 GB/1 TB 256 GB SSD/Windows 11)"/>
    <s v="Lenovo V15 (82KBA03TIH) Laptop (Core i3 11th Gen/8 GB/1 TB 256 GB SSD/Windows 11) price in India"/>
    <x v="683"/>
    <n v="10"/>
    <n v="80"/>
    <x v="0"/>
    <d v="2022-06-01T00:00:00"/>
    <s v="Intel Core i5 (8th Gen) 3.4 Ghz, Quad-Core"/>
    <s v="Windows 11"/>
    <x v="37"/>
    <s v="15.6&quot; (39.62 cm), 1920 x 1080 px, IPS LCD Display"/>
    <s v="Web Camera"/>
    <s v="Slim 20 mm"/>
    <s v="HDMI Port"/>
    <m/>
    <m/>
    <x v="5"/>
    <x v="44"/>
    <x v="2"/>
  </r>
  <r>
    <s v="MSI Prestige 16 Intel Evo A13M-266IN Laptop (Core i7 13th Gen/16 GB/1 TB SSD/Windows 11)"/>
    <s v="MSI Prestige 16 Intel Evo A13M-266IN Laptop (Core i7 13th Gen/16 GB/1 TB SSD/Windows 11) price in India"/>
    <x v="684"/>
    <n v="1"/>
    <n v="80"/>
    <x v="0"/>
    <d v="2022-06-01T00:00:00"/>
    <s v="Intel Core i5 (8th Gen) 3.4 Ghz, Quad-Core"/>
    <s v="Windows 11"/>
    <x v="21"/>
    <s v="16&quot; (40.64 cm), 2560 x 1600 px Display"/>
    <s v="Web Camera"/>
    <s v="Slim 16.8 mm"/>
    <s v="HDMI Port"/>
    <m/>
    <n v="80"/>
    <x v="3"/>
    <x v="44"/>
    <x v="0"/>
  </r>
  <r>
    <s v="Infinix INBook X1 Neo XL22 Laptop (Intel Celeron Quad Core/4 GB/128 GB SSD/Windows 11)"/>
    <s v="Infinix INBook X1 Neo XL22 Laptop (Intel Celeron Quad Core/4 GB/128 GB SSD/Windows 11) price in India"/>
    <x v="685"/>
    <n v="1493"/>
    <n v="80"/>
    <x v="0"/>
    <d v="2022-06-01T00:00:00"/>
    <s v="Intel Core i5 (8th Gen) 3.4 Ghz, Quad-Core"/>
    <s v="Windows 11"/>
    <x v="69"/>
    <s v="14&quot; (35.56 cm), 1920 x 1080 px, IPS LCD Display"/>
    <s v="Web Camera"/>
    <s v="Slim 14.8 mm"/>
    <s v="HDMI Port"/>
    <s v="2 USB Ports"/>
    <m/>
    <x v="10"/>
    <x v="44"/>
    <x v="7"/>
  </r>
  <r>
    <s v="Asus TUF Gaming A15 FA566NCR-HN254WS Laptop (AMD Octa Core Ryzen 7/16 GB/512 GB SSD/Windows 11/4 GB)"/>
    <s v="Asus TUF Gaming A15 FA566NCR-HN254WS Laptop (AMD Octa Core Ryzen 7/16 GB/512 GB SSD/Windows 11/4 GB) price in India"/>
    <x v="686"/>
    <n v="304"/>
    <n v="78"/>
    <x v="0"/>
    <d v="2025-04-01T00:00:00"/>
    <s v="Intel Core i5 (9th Gen) 2.4 Ghz, Quad-Core"/>
    <s v="Windows 11"/>
    <x v="6"/>
    <s v="15.6&quot; (39.62 cm), 1920 x 1080 px, IPS LCD Display"/>
    <s v="Web Camera"/>
    <m/>
    <s v="HDMI Port"/>
    <m/>
    <n v="82"/>
    <x v="2"/>
    <x v="45"/>
    <x v="0"/>
  </r>
  <r>
    <s v="HP 15s-GR0007AU (21W93PA) Laptop (AMD Dual Core Ryzen 3/4 GB/1 TB/Windows 10)"/>
    <s v="HP 15s-GR0007AU (21W93PA) Laptop (AMD Dual Core Ryzen 3/4 GB/1 TB/Windows 10) price in India"/>
    <x v="687"/>
    <n v="1925"/>
    <n v="78"/>
    <x v="0"/>
    <d v="2020-08-01T00:00:00"/>
    <s v="Intel Core i5 (9th Gen) 2.6 Ghz, Quad-Core"/>
    <s v="Windows 10"/>
    <x v="49"/>
    <s v="15.6&quot; (39.62 cm), 1920 x 1080 px, LED Display"/>
    <s v="Web Camera"/>
    <s v="Slim 19.9 mm"/>
    <s v="HDMI Port"/>
    <m/>
    <m/>
    <x v="7"/>
    <x v="45"/>
    <x v="7"/>
  </r>
  <r>
    <s v="Lenovo 100e Chromebook Gen 4 (82W00004HA) Laptop (MediaTek Octa core/4 GB/32 GB eMMC/Google Chrome)"/>
    <s v="Lenovo 100e Chromebook Gen 4 (82W00004HA) Laptop (MediaTek Octa core/4 GB/32 GB eMMC/Google Chrome) price in India"/>
    <x v="688"/>
    <n v="103"/>
    <n v="78"/>
    <x v="0"/>
    <d v="2025-05-01T00:00:00"/>
    <s v="Intel Core i7 (10th Gen)"/>
    <s v="Google Chrome"/>
    <x v="63"/>
    <s v="11.6&quot; (29.46 cm), 1366 x 768 px Display"/>
    <s v="Web Camera"/>
    <s v="Slim 18.6 mm"/>
    <s v="HDMI Port"/>
    <m/>
    <m/>
    <x v="5"/>
    <x v="46"/>
    <x v="7"/>
  </r>
  <r>
    <s v="Acer Aspire 3 A325-45 (UN.344SI.004) Laptop (Intel Celeron Dual Core/8 GB/512 GB SSD/Windows 11)"/>
    <s v="Acer Aspire 3 A325-45 (UN.344SI.004) Laptop (Intel Celeron Dual Core/8 GB/512 GB SSD/Windows 11) price in India"/>
    <x v="271"/>
    <n v="2559"/>
    <n v="78"/>
    <x v="0"/>
    <d v="2024-07-01T00:00:00"/>
    <s v="Intel Core i7 (10th Gen) 1.3 Ghz, Quad-Core"/>
    <s v="Windows 11"/>
    <x v="48"/>
    <s v="15.6&quot; (39.62 cm), 1366 x 768 px, IPS LCD Display"/>
    <s v="Web Camera"/>
    <s v="Slim 17.7 mm"/>
    <s v="HDMI Port"/>
    <m/>
    <m/>
    <x v="1"/>
    <x v="46"/>
    <x v="2"/>
  </r>
  <r>
    <s v="Lenovo IdeaPad Slim 3 14IAH8 (83EQ0073IN) Laptop (Core i5 12th Gen/16 GB/512 GB SSD/Windows 11)"/>
    <s v="Lenovo IdeaPad Slim 3 14IAH8 (83EQ0073IN) Laptop (Core i5 12th Gen/16 GB/512 GB SSD/Windows 11) price in India"/>
    <x v="247"/>
    <n v="606"/>
    <n v="78"/>
    <x v="0"/>
    <d v="2024-12-01T00:00:00"/>
    <s v="Intel Core i7 (10th Gen) 1.3 Ghz, Quad-Core"/>
    <s v="Windows 11"/>
    <x v="17"/>
    <s v="14&quot; (35.56 cm), 1920 x 1080 px, IPS LCD Display"/>
    <s v="Web Camera"/>
    <s v="Slim 17.9 mm"/>
    <s v="HDMI Port"/>
    <m/>
    <n v="77"/>
    <x v="5"/>
    <x v="46"/>
    <x v="0"/>
  </r>
  <r>
    <s v="Asus VivoBook 14 X1404VA-NK760WS Laptop (Core i3 13th Gen/8 GB/512 GB SSD/Windows 11)"/>
    <s v="Asus VivoBook 14 X1404VA-NK760WS Laptop (Core i3 13th Gen/8 GB/512 GB SSD/Windows 11) price in India"/>
    <x v="6"/>
    <n v="319"/>
    <n v="78"/>
    <x v="0"/>
    <d v="2025-01-01T00:00:00"/>
    <s v="Intel Core i7 (10th Gen) 2.6 Ghz, Hexa-Core"/>
    <s v="Windows 11"/>
    <x v="5"/>
    <s v="14&quot; (35.56 cm), 1920 x 1080 px Display"/>
    <s v="Web Camera"/>
    <s v="Slim 17.9 mm"/>
    <s v="HDMI Port"/>
    <m/>
    <n v="76"/>
    <x v="2"/>
    <x v="46"/>
    <x v="2"/>
  </r>
  <r>
    <s v="Asus VivoBook 14 X1404VA-NK761WS Laptop (Core i3 13th Gen/8 GB/512 GB SSD/Windows 11)"/>
    <s v="Asus VivoBook 14 X1404VA-NK761WS Laptop (Core i3 13th Gen/8 GB/512 GB SSD/Windows 11) price in India"/>
    <x v="689"/>
    <n v="666"/>
    <n v="78"/>
    <x v="0"/>
    <d v="2025-01-01T00:00:00"/>
    <s v="Intel Core i7 (10th Gen) 2.6 Ghz, Hexa-Core"/>
    <s v="Windows 11"/>
    <x v="5"/>
    <s v="14&quot; (35.56 cm), 1920 x 1080 px Display"/>
    <s v="Web Camera"/>
    <s v="Slim 17.9 mm"/>
    <s v="HDMI Port"/>
    <m/>
    <n v="76"/>
    <x v="2"/>
    <x v="46"/>
    <x v="2"/>
  </r>
  <r>
    <s v="HP Pavilion Plus 14-EW1112TU (B6NX8PA) Laptop (Core Ultra 5/16 GB/512 GB SSD/Windows 11)"/>
    <s v="HP Pavilion Plus 14-EW1112TU (B6NX8PA) Laptop (Core Ultra 5/16 GB/512 GB SSD/Windows 11) price in India"/>
    <x v="66"/>
    <n v="42"/>
    <n v="78"/>
    <x v="0"/>
    <d v="2025-01-01T00:00:00"/>
    <s v="Intel Core i7 (10th Gen) 3.3 Ghz"/>
    <s v="Windows 11"/>
    <x v="8"/>
    <s v="14&quot; (35.56 cm), 2560 x 1600 px, IPS LCD Display"/>
    <s v="Web Camera"/>
    <s v="Slim 17.5 mm"/>
    <s v="HDMI Port"/>
    <m/>
    <n v="84"/>
    <x v="7"/>
    <x v="46"/>
    <x v="0"/>
  </r>
  <r>
    <s v="Acer Aspire 3 A324-45 (UN.342SI.004) Laptop (Intel Celeron Dual Core/8 GB/512 GB SSD/Windows 11)"/>
    <s v="Acer Aspire 3 A324-45 (UN.342SI.004) Laptop (Intel Celeron Dual Core/8 GB/512 GB SSD/Windows 11) price in India"/>
    <x v="653"/>
    <n v="2118"/>
    <n v="78"/>
    <x v="0"/>
    <d v="2024-07-01T00:00:00"/>
    <s v="Intel Core i7 (10th Gen) 4.8 Ghz, Octa-Core"/>
    <s v="Windows 11"/>
    <x v="48"/>
    <s v="14&quot; (35.56 cm), 1366 x 768 px, IPS LCD Display"/>
    <s v="Web Camera"/>
    <s v="Slim 17.7 mm"/>
    <s v="HDMI Port"/>
    <s v="3 USB Ports"/>
    <m/>
    <x v="1"/>
    <x v="46"/>
    <x v="2"/>
  </r>
  <r>
    <s v="Asus Vivobook 16X K3605VC-RP413WS Laptop (Core i5 13th Gen/16 GB/512 GB SSD/Windows 11/4 GB)"/>
    <s v="Asus Vivobook 16X K3605VC-RP413WS Laptop (Core i5 13th Gen/16 GB/512 GB SSD/Windows 11/4 GB) price in India"/>
    <x v="255"/>
    <n v="436"/>
    <n v="78"/>
    <x v="0"/>
    <d v="2025-02-01T00:00:00"/>
    <s v="Intel Core i7 (10th Gen) 5 Ghz, Hexa-Core"/>
    <s v="Windows 11"/>
    <x v="2"/>
    <s v="16&quot; (40.64 cm), 1920 x 1200 px, IPS LCD Display"/>
    <s v="Web Camera"/>
    <s v="Slim 18.9 mm"/>
    <s v="HDMI Port"/>
    <m/>
    <n v="85"/>
    <x v="2"/>
    <x v="46"/>
    <x v="0"/>
  </r>
  <r>
    <s v="Dell Inspiron 14 3467 (A561202SIN9) Laptop (Core i3 6th Gen/4 GB/1 TB/Windows 10)"/>
    <s v="Dell Inspiron 14 3467 (A561202SIN9) Laptop (Core i3 6th Gen/4 GB/1 TB/Windows 10) price in India"/>
    <x v="505"/>
    <n v="4426"/>
    <n v="78"/>
    <x v="0"/>
    <m/>
    <s v="Intel Core i7 (11th Gen) 2.3 Ghz, Octa-Core"/>
    <s v="Windows 10"/>
    <x v="49"/>
    <s v="14.0&quot; (35.56 cm), 1366 x 768 px, LED Display"/>
    <s v="Web Camera"/>
    <m/>
    <s v="HDMI Port"/>
    <s v="3 USB Ports"/>
    <m/>
    <x v="6"/>
    <x v="46"/>
    <x v="7"/>
  </r>
  <r>
    <s v="Asus VivoBook 15 X1502VA-BQ836WS Laptop (Core i5 13th Gen/16 GB/512 GB SSD/Windows 11)"/>
    <s v="Asus VivoBook 15 X1502VA-BQ836WS Laptop (Core i5 13th Gen/16 GB/512 GB SSD/Windows 11) price in India"/>
    <x v="266"/>
    <n v="34"/>
    <n v="78"/>
    <x v="0"/>
    <d v="2025-01-01T00:00:00"/>
    <s v="Intel Core i7 (11th Gen) 2.8 Ghz"/>
    <s v="Windows 11"/>
    <x v="2"/>
    <s v="15.6&quot; (39.62 cm), 1920 x 1080 px, IPS LCD Display"/>
    <s v="Web Camera"/>
    <s v="Slim 19.9 mm"/>
    <s v="HDMI Port"/>
    <m/>
    <n v="79"/>
    <x v="2"/>
    <x v="47"/>
    <x v="0"/>
  </r>
  <r>
    <s v="Asus TUF Gaming A15 FA506NFR-HN259WS Laptop (AMD Octa Core Ryzen 7/16 GB/512 GB SSD/Windows 11/4 GB)"/>
    <s v="Asus TUF Gaming A15 FA506NFR-HN259WS Laptop (AMD Octa Core Ryzen 7/16 GB/512 GB SSD/Windows 11/4 GB) price in India"/>
    <x v="266"/>
    <n v="481"/>
    <n v="78"/>
    <x v="0"/>
    <d v="2024-07-01T00:00:00"/>
    <s v="Intel Core i7 (11th Gen) 2.8 Ghz, Quad-Core"/>
    <s v="Windows 11"/>
    <x v="6"/>
    <s v="15.6&quot; (39.62 cm), 1920 x 1080 px, IPS LCD Display"/>
    <s v="Web Camera"/>
    <m/>
    <s v="HDMI Port"/>
    <m/>
    <n v="85"/>
    <x v="2"/>
    <x v="47"/>
    <x v="0"/>
  </r>
  <r>
    <s v="Asus Gaming V16 V3607VU-RP550WS Laptop (Core 5 Series 2 /16 GB/512 GB SSD/Windows 11/6 GB)"/>
    <s v="Asus Gaming V16 V3607VU-RP550WS Laptop (Core 5 Series 2 /16 GB/512 GB SSD/Windows 11/6 GB) price in India"/>
    <x v="690"/>
    <n v="26"/>
    <n v="78"/>
    <x v="0"/>
    <d v="2025-02-01T00:00:00"/>
    <s v="Intel Core i7 (11th Gen) 2.8 Ghz, Quad-Core"/>
    <s v="Windows 11"/>
    <x v="6"/>
    <s v="16&quot; (40.64 cm), 1920 x 1200 px Display"/>
    <s v="Web Camera"/>
    <m/>
    <s v="HDMI Port"/>
    <m/>
    <n v="86"/>
    <x v="2"/>
    <x v="47"/>
    <x v="0"/>
  </r>
  <r>
    <s v="HP 15q-bu100tu (3GP90PA) Laptop (Core i5 8th Gen/4 GB/1 TB/Windows 10)"/>
    <s v="HP 15q-bu100tu (3GP90PA) Laptop (Core i5 8th Gen/4 GB/1 TB/Windows 10) price in India"/>
    <x v="425"/>
    <n v="506"/>
    <n v="78"/>
    <x v="0"/>
    <m/>
    <s v="Intel Core i7 (11th Gen) 2.8 Ghz, Quad-Core"/>
    <s v="Windows 10"/>
    <x v="49"/>
    <s v="15.6&quot; (39.62 cm), 1366 x 768 px, LED Display"/>
    <s v="Web Camera"/>
    <m/>
    <s v="HDMI Port"/>
    <s v="3 USB Ports"/>
    <m/>
    <x v="7"/>
    <x v="47"/>
    <x v="7"/>
  </r>
  <r>
    <s v="Lenovo IdeaPad Slim 3 15IAH8 (83ER00KPIN) Laptop (Core i5 12th Gen/16 GB/512 GB SSD/Windows 11)"/>
    <s v="Lenovo IdeaPad Slim 3 15IAH8 (83ER00KPIN) Laptop (Core i5 12th Gen/16 GB/512 GB SSD/Windows 11) price in India"/>
    <x v="691"/>
    <n v="256"/>
    <n v="78"/>
    <x v="0"/>
    <d v="2024-12-01T00:00:00"/>
    <s v="Intel Core i7 (11th Gen) 2.8 Ghz, Quad-Core"/>
    <s v="Windows 11"/>
    <x v="17"/>
    <s v="15.6&quot; (39.62 cm), 1920 x 1080 px, IPS LCD Display"/>
    <s v="Web Camera"/>
    <s v="Slim 17.9 mm"/>
    <s v="HDMI Port"/>
    <m/>
    <n v="80"/>
    <x v="5"/>
    <x v="47"/>
    <x v="0"/>
  </r>
  <r>
    <s v="Lenovo Ideapad 330S (81F401FVIN) Laptop (Core i3 8th Gen/4 GB/1 TB/Windows 10)"/>
    <s v="Lenovo Ideapad 330S (81F401FVIN) Laptop (Core i3 8th Gen/4 GB/1 TB/Windows 10) price in India"/>
    <x v="692"/>
    <n v="61"/>
    <n v="78"/>
    <x v="0"/>
    <m/>
    <s v="Intel Core i7 (11th Gen) 2.8 Ghz, Quad-Core"/>
    <s v="Windows 10"/>
    <x v="49"/>
    <s v="14&quot; (35.56 cm), 1920 x 1080 px, LED Display"/>
    <s v="Web Camera"/>
    <s v="Slim 18.9 mm"/>
    <s v="HDMI Port"/>
    <s v="2 USB Ports"/>
    <m/>
    <x v="5"/>
    <x v="47"/>
    <x v="7"/>
  </r>
  <r>
    <s v="HP 15-fd0070TU (A47CXPA) Laptop (Core i5 12th Gen/8 GB/512 GB SSD/Windows 11)"/>
    <s v="HP 15-fd0070TU (A47CXPA) Laptop (Core i5 12th Gen/8 GB/512 GB SSD/Windows 11) price in India"/>
    <x v="693"/>
    <n v="431"/>
    <n v="78"/>
    <x v="0"/>
    <d v="2024-08-01T00:00:00"/>
    <s v="Intel Core i7 (11th Gen) 2.8 Ghz, Quad-Core"/>
    <s v="Windows 11"/>
    <x v="5"/>
    <s v="15.6&quot; (39.62 cm), 1920 x 1080 px, IPS LCD Display"/>
    <s v="Web Camera"/>
    <m/>
    <s v="HDMI Port"/>
    <m/>
    <n v="73"/>
    <x v="7"/>
    <x v="47"/>
    <x v="2"/>
  </r>
  <r>
    <s v="Lenovo Ideapad 3 15IML05 (81WB018UIN) Laptop (Core i3 10th Gen/8 GB/1 TB/Windows 11)"/>
    <s v="Lenovo Ideapad 3 15IML05 (81WB018UIN) Laptop (Core i3 10th Gen/8 GB/1 TB/Windows 11) price in India"/>
    <x v="694"/>
    <n v="854"/>
    <n v="78"/>
    <x v="0"/>
    <d v="2021-12-01T00:00:00"/>
    <s v="Intel Core i7 (11th Gen) 2.8 Ghz, Quad-Core"/>
    <s v="Windows 11"/>
    <x v="37"/>
    <s v="15.6&quot; (39.62 cm), 1920 x 1080 px, TN LCD Display"/>
    <s v="Web Camera"/>
    <s v="Slim 20 mm"/>
    <s v="HDMI Port"/>
    <m/>
    <m/>
    <x v="5"/>
    <x v="47"/>
    <x v="2"/>
  </r>
  <r>
    <s v="Asus VivoBook S15 OLED S5507QA-MA551WS Laptop (Snapdragon X Plus/16 GB/1 TB SSD/Windows 11)"/>
    <s v="Asus VivoBook S15 OLED S5507QA-MA551WS Laptop (Snapdragon X Plus/16 GB/1 TB SSD/Windows 11) price in India"/>
    <x v="123"/>
    <n v="29"/>
    <n v="78"/>
    <x v="0"/>
    <d v="2024-09-01T00:00:00"/>
    <s v="Intel Core i7 (11th Gen) 3.0 Ghz, Octa-Core"/>
    <s v="Windows 11"/>
    <x v="3"/>
    <s v="15.6&quot; (39.62 cm), 2880 x 1620 px, OLED Display"/>
    <s v="Web Camera"/>
    <s v="Slim 15.9 mm"/>
    <s v="HDMI Port"/>
    <m/>
    <n v="85"/>
    <x v="2"/>
    <x v="47"/>
    <x v="0"/>
  </r>
  <r>
    <s v="Asus TUF Gaming A15 FA506NCR-HN075WS Laptop (AMD Octa Core Ryzen 7/16 GB/512 GB SSD/Windows 11/4 GB)"/>
    <s v="Asus TUF Gaming A15 FA506NCR-HN075WS Laptop (AMD Octa Core Ryzen 7/16 GB/512 GB SSD/Windows 11/4 GB) price in India"/>
    <x v="107"/>
    <n v="20"/>
    <n v="78"/>
    <x v="0"/>
    <d v="2024-07-01T00:00:00"/>
    <s v="Intel Core i7 (11th Gen) 3.0 Ghz, Octa-Core"/>
    <s v="Windows 11"/>
    <x v="6"/>
    <s v="15.6&quot; (39.62 cm), 1920 x 1080 px, IPS LCD Display"/>
    <s v="Web Camera"/>
    <m/>
    <s v="HDMI Port"/>
    <m/>
    <n v="86"/>
    <x v="2"/>
    <x v="47"/>
    <x v="0"/>
  </r>
  <r>
    <s v="Asus VivoBook S14 OLED M5406WA-PP962WS Laptop (AMD Dodeca Core Ryzen 9/24 GB/512 GB SSD/Windows 11)"/>
    <s v="Asus VivoBook S14 OLED M5406WA-PP962WS Laptop (AMD Dodeca Core Ryzen 9/24 GB/512 GB SSD/Windows 11) price in India"/>
    <x v="199"/>
    <n v="15"/>
    <n v="78"/>
    <x v="0"/>
    <d v="2024-07-01T00:00:00"/>
    <s v="Intel Core i7 (11th Gen) 3.0 Ghz, Octa-Core"/>
    <s v="Windows 11"/>
    <x v="54"/>
    <s v="14&quot; (35.56 cm), 2880 x 1800 px, OLED Display"/>
    <s v="Web Camera"/>
    <s v="Slim 15.9 mm"/>
    <s v="HDMI Port"/>
    <m/>
    <m/>
    <x v="2"/>
    <x v="47"/>
    <x v="1"/>
  </r>
  <r>
    <s v="Acer Aspire 5 A515-58M (NX.KHFSI.007) Laptop (Core i5 13th Gen/16 GB/512 GB SSD/Windows 11)"/>
    <s v="Acer Aspire 5 A515-58M (NX.KHFSI.007) Laptop (Core i5 13th Gen/16 GB/512 GB SSD/Windows 11) price in India"/>
    <x v="124"/>
    <n v="18"/>
    <n v="78"/>
    <x v="0"/>
    <d v="2024-07-01T00:00:00"/>
    <s v="Intel Core i7 (11th Gen) 4.6 Ghz, Octa-Core"/>
    <s v="Windows 11"/>
    <x v="17"/>
    <s v="15.6&quot; (39.62 cm), 1920 x 1080 px, TFT LCD Display"/>
    <s v="Web Camera"/>
    <s v="Slim 17.9 mm"/>
    <s v="HDMI Port"/>
    <m/>
    <n v="79"/>
    <x v="1"/>
    <x v="47"/>
    <x v="0"/>
  </r>
  <r>
    <s v="Asus ZenBook 13 UX333FA-A5821TS Laptop (Core i5 10th Gen/8 GB/512 GB SSD/Windows 10)"/>
    <s v="Asus ZenBook 13 UX333FA-A5821TS Laptop (Core i5 10th Gen/8 GB/512 GB SSD/Windows 10) price in India"/>
    <x v="695"/>
    <n v="19"/>
    <n v="78"/>
    <x v="0"/>
    <d v="2019-12-01T00:00:00"/>
    <s v="Intel Core i7 (11th Gen) 4.6 Ghz, Octa-Core"/>
    <s v="Windows 10"/>
    <x v="77"/>
    <s v="13.3&quot; (33.78 cm), 1920 x 1080 px, LED Display"/>
    <s v="Web Camera"/>
    <s v="Slim 18 mm"/>
    <s v="HDMI Port"/>
    <s v="3 USB Ports"/>
    <m/>
    <x v="2"/>
    <x v="47"/>
    <x v="2"/>
  </r>
  <r>
    <s v="Asus ZenBook 13 UX333FA-A4117T Laptop (Core i5 8th Gen/8 GB/512 GB SSD/Windows 10)"/>
    <s v="Asus ZenBook 13 UX333FA-A4117T Laptop (Core i5 8th Gen/8 GB/512 GB SSD/Windows 10) price in India"/>
    <x v="107"/>
    <n v="90"/>
    <n v="78"/>
    <x v="0"/>
    <m/>
    <s v="Intel Core i7 (11th Gen) 4.6 Ghz, Octa-Core"/>
    <s v="Windows 10"/>
    <x v="77"/>
    <s v="13.3&quot; (33.78 cm), 1920 x 1080 px, LED Display"/>
    <s v="Web Camera"/>
    <s v="Slim 16.9 mm"/>
    <s v="HDMI Port"/>
    <s v="2 USB Ports"/>
    <m/>
    <x v="2"/>
    <x v="47"/>
    <x v="2"/>
  </r>
  <r>
    <s v="Lenovo IdeaPad Slim 3 14AMN8 (82XN006MIN) Laptop (AMD Quad Core Ryzen 3/8 GB/512 GB SSD/Windows 11)"/>
    <s v="Lenovo IdeaPad Slim 3 14AMN8 (82XN006MIN) Laptop (AMD Quad Core Ryzen 3/8 GB/512 GB SSD/Windows 11) price in India"/>
    <x v="317"/>
    <n v="10"/>
    <n v="78"/>
    <x v="0"/>
    <d v="2024-07-01T00:00:00"/>
    <s v="Intel Core i7 (11th Gen) 4.6 Ghz, Octa-Core"/>
    <s v="Windows 11"/>
    <x v="20"/>
    <s v="14&quot; (35.56 cm), 1920 x 1080 px, TN LCD Display"/>
    <s v="Web Camera"/>
    <s v="Slim 17.9 mm"/>
    <s v="HDMI Port"/>
    <m/>
    <n v="75"/>
    <x v="5"/>
    <x v="47"/>
    <x v="2"/>
  </r>
  <r>
    <s v="Asus Vivobook Go 15 E510KA-EJ011WS Laptop (Intel Celeron Dual Core/8 GB/512 GB SSD/Windows 11)"/>
    <s v="Asus Vivobook Go 15 E510KA-EJ011WS Laptop (Intel Celeron Dual Core/8 GB/512 GB SSD/Windows 11) price in India"/>
    <x v="639"/>
    <n v="1806"/>
    <n v="78"/>
    <x v="0"/>
    <d v="2024-06-01T00:00:00"/>
    <s v="Intel Core i7 (11th Gen) 4.6 Ghz, Octa-Core"/>
    <s v="Windows 11"/>
    <x v="5"/>
    <s v="15.6&quot; (39.62 cm), 1920 x 1080 px Display"/>
    <s v="Web Camera"/>
    <s v="Slim 18.1 mm"/>
    <s v="HDMI Port"/>
    <m/>
    <m/>
    <x v="2"/>
    <x v="47"/>
    <x v="2"/>
  </r>
  <r>
    <s v="Lenovo IdeaPad Slim 3 (83EM008GIN) Laptop (Core i7 13th Gen/16 GB/512 GB SSD/Windows 11)"/>
    <s v="Lenovo IdeaPad Slim 3 (83EM008GIN) Laptop (Core i7 13th Gen/16 GB/512 GB SSD/Windows 11) price in India"/>
    <x v="159"/>
    <n v="778"/>
    <n v="78"/>
    <x v="0"/>
    <d v="2024-06-01T00:00:00"/>
    <s v="Intel Core i7 (11th Gen) 4.7 Ghz, Octa-Core"/>
    <s v="Windows 11"/>
    <x v="17"/>
    <s v="15&quot; (38.1 cm), 1920 x 1080 px, IPS LCD Display"/>
    <s v="Web Camera"/>
    <m/>
    <s v="HDMI Port"/>
    <m/>
    <n v="79"/>
    <x v="5"/>
    <x v="47"/>
    <x v="0"/>
  </r>
  <r>
    <s v="Dell Inspiron 3525 (IN3525NV1XWS02ORS1) Laptop (AMD Hexa Core Ryzen 5/8 GB/512 GB SSD/Windows 11)"/>
    <s v="Dell Inspiron 3525 (IN3525NV1XWS02ORS1) Laptop (AMD Hexa Core Ryzen 5/8 GB/512 GB SSD/Windows 11) price in India"/>
    <x v="114"/>
    <n v="15"/>
    <n v="78"/>
    <x v="0"/>
    <d v="2024-05-01T00:00:00"/>
    <s v="Intel Core i7 (11th Gen) 4.7 Ghz, Octa-Core"/>
    <s v="Windows 11"/>
    <x v="5"/>
    <s v="15.6&quot; (39.62 cm), 1920 x 1080 px, IPS LCD Display"/>
    <s v="Web Camera"/>
    <m/>
    <m/>
    <m/>
    <n v="71"/>
    <x v="6"/>
    <x v="47"/>
    <x v="2"/>
  </r>
  <r>
    <s v="Samsung Galaxy Book 4 Pro NP960XGK-KG3IN Laptop (Core Ultra 7/32 GB/1 TB SSD/Windows 11)"/>
    <s v="Samsung Galaxy Book 4 Pro NP960XGK-KG3IN Laptop (Core Ultra 7/32 GB/1 TB SSD/Windows 11) price in India"/>
    <x v="696"/>
    <n v="11"/>
    <n v="78"/>
    <x v="0"/>
    <d v="2024-02-01T00:00:00"/>
    <s v="Intel Core i7 (11th Gen) 4.7 Ghz, Octa-Core"/>
    <s v="Windows 11"/>
    <x v="35"/>
    <s v="16&quot; (40.64 cm), 2880 x 1800 px, AMOLED Display"/>
    <s v="Web Camera"/>
    <s v="Slim 12.5 mm"/>
    <s v="HDMI Port"/>
    <m/>
    <n v="86"/>
    <x v="8"/>
    <x v="47"/>
    <x v="3"/>
  </r>
  <r>
    <s v="HP Omen 16-wf1025TX (9Q9M9PA) Laptop (Core i7 14th Gen/16 GB/1 TB SSD/Windows 11/8 GB)"/>
    <s v="HP Omen 16-wf1025TX (9Q9M9PA) Laptop (Core i7 14th Gen/16 GB/1 TB SSD/Windows 11/8 GB) price in India"/>
    <x v="697"/>
    <n v="33"/>
    <n v="78"/>
    <x v="0"/>
    <d v="2024-01-01T00:00:00"/>
    <s v="Intel Core i7 (11th Gen) 4.7 Ghz, Octa-Core"/>
    <s v="Windows 11"/>
    <x v="10"/>
    <s v="16.1&quot; (40.89 cm), 1920 x 1080 px, IPS LCD Display"/>
    <s v="Web Camera"/>
    <m/>
    <s v="HDMI Port"/>
    <m/>
    <m/>
    <x v="7"/>
    <x v="47"/>
    <x v="0"/>
  </r>
  <r>
    <s v="Lenovo Ideapad 3 15IAU7 (82RK00WXIN) Laptop (Core i3 12th Gen/8 GB/256 GB SSD/Windows 11)"/>
    <s v="Lenovo Ideapad 3 15IAU7 (82RK00WXIN) Laptop (Core i3 12th Gen/8 GB/256 GB SSD/Windows 11) price in India"/>
    <x v="152"/>
    <n v="7"/>
    <n v="78"/>
    <x v="0"/>
    <d v="2024-01-01T00:00:00"/>
    <s v="Intel Core i7 (11th Gen) 4.7 Ghz, Quad-Core"/>
    <s v="Windows 11"/>
    <x v="38"/>
    <s v="15.6&quot; (39.62 cm), 1920 x 1080 px, TN LCD Display"/>
    <s v="Web Camera"/>
    <s v="Slim 19.9 mm"/>
    <s v="HDMI Port"/>
    <m/>
    <n v="75"/>
    <x v="5"/>
    <x v="47"/>
    <x v="2"/>
  </r>
  <r>
    <s v="HP 15s- fr5011TU (8Q3X6PA) Laptop (Core i5 12th Gen/16 GB/512 GB SSD/Windows 11)"/>
    <s v="HP 15s- fr5011TU (8Q3X6PA) Laptop (Core i5 12th Gen/16 GB/512 GB SSD/Windows 11) price in India"/>
    <x v="125"/>
    <n v="111"/>
    <n v="78"/>
    <x v="0"/>
    <d v="2023-12-01T00:00:00"/>
    <s v="Intel Core i7 (11th Gen) 4.7 Ghz, Quad-Core"/>
    <s v="Windows 11"/>
    <x v="2"/>
    <s v="15.6&quot; (39.62 cm), 1920 x 1080 px, IPS LCD Display"/>
    <s v="Web Camera"/>
    <s v="Slim 18 mm"/>
    <s v="HDMI Port"/>
    <m/>
    <n v="80"/>
    <x v="7"/>
    <x v="47"/>
    <x v="0"/>
  </r>
  <r>
    <s v="Lenovo ThinkBook 15 G4 (21DJA0FGIH) Laptop (Core i5 12th Gen/16 GB/512 GB SSD/Windows 11)"/>
    <s v="Lenovo ThinkBook 15 G4 (21DJA0FGIH) Laptop (Core i5 12th Gen/16 GB/512 GB SSD/Windows 11) price in India"/>
    <x v="114"/>
    <n v="49"/>
    <n v="78"/>
    <x v="0"/>
    <d v="2023-12-01T00:00:00"/>
    <s v="Intel Core i7 (11th Gen) 4.8 Ghz, Quad-Core"/>
    <s v="Windows 11"/>
    <x v="2"/>
    <s v="15.6&quot; (39.62 cm), 1920 x 1080 px, TN LCD Display"/>
    <s v="Web Camera"/>
    <m/>
    <s v="HDMI Port"/>
    <m/>
    <n v="78"/>
    <x v="5"/>
    <x v="47"/>
    <x v="0"/>
  </r>
  <r>
    <s v="Lenovo IdeaPad Slim 3 15IAH8 (83ER008DIN) Laptop (Core i5 12th Gen/16 GB/512 GB SSD/Windows 11)"/>
    <s v="Lenovo IdeaPad Slim 3 15IAH8 (83ER008DIN) Laptop (Core i5 12th Gen/16 GB/512 GB SSD/Windows 11) price in India"/>
    <x v="698"/>
    <n v="421"/>
    <n v="78"/>
    <x v="0"/>
    <d v="2023-11-01T00:00:00"/>
    <s v="Intel Core i7 (11th Gen) 4.8 Ghz, Quad-Core"/>
    <s v="Windows 11"/>
    <x v="17"/>
    <s v="15.6&quot; (39.62 cm), 1920 x 1080 px, IPS LCD Display"/>
    <s v="Web Camera"/>
    <s v="Slim 17.9 mm"/>
    <s v="HDMI Port"/>
    <m/>
    <n v="80"/>
    <x v="5"/>
    <x v="47"/>
    <x v="0"/>
  </r>
  <r>
    <s v="Asus VivoBook 15X OLED M3504YA-LK552WS Laptop (AMD Hexa Core Ryzen 5/16 GB/1 TB SSD/Windows 11)"/>
    <s v="Asus VivoBook 15X OLED M3504YA-LK552WS Laptop (AMD Hexa Core Ryzen 5/16 GB/1 TB SSD/Windows 11) price in India"/>
    <x v="15"/>
    <n v="8"/>
    <n v="78"/>
    <x v="0"/>
    <d v="2023-10-01T00:00:00"/>
    <s v="Intel Core i7 (11th Gen) 4.8 Ghz, Quad-Core"/>
    <s v="Windows 11"/>
    <x v="23"/>
    <s v="15.6&quot; (39.62 cm), 1920 x 1080 px, OLED Display"/>
    <s v="Web Camera"/>
    <s v="Slim 17.9 mm"/>
    <s v="HDMI Port"/>
    <m/>
    <n v="75"/>
    <x v="2"/>
    <x v="47"/>
    <x v="0"/>
  </r>
  <r>
    <s v="Zebronics Pro Series Y ZEB-NBC 2S Laptop (Core i5 11th Gen/8 GB/512 GB SSD/Windows 11)"/>
    <s v="Zebronics Pro Series Y ZEB-NBC 2S Laptop (Core i5 11th Gen/8 GB/512 GB SSD/Windows 11) price in India"/>
    <x v="377"/>
    <n v="742"/>
    <n v="78"/>
    <x v="0"/>
    <d v="2023-10-01T00:00:00"/>
    <s v="Intel Core i7 (11th Gen) 5 Ghz, Quad-Core"/>
    <s v="Windows 11"/>
    <x v="59"/>
    <s v="15.6&quot; (39.62 cm), 1920 x 1080 px, IPS LCD Display"/>
    <s v="Web Camera"/>
    <s v="Slim 20 mm"/>
    <s v="HDMI Port"/>
    <m/>
    <n v="73"/>
    <x v="15"/>
    <x v="47"/>
    <x v="2"/>
  </r>
  <r>
    <s v="Zebronics Pro Series Z ZEB-NBC 4S Laptop (Core i5 12th Gen/8 GB/512 GB SSD/Windows 11)"/>
    <s v="Zebronics Pro Series Z ZEB-NBC 4S Laptop (Core i5 12th Gen/8 GB/512 GB SSD/Windows 11) price in India"/>
    <x v="699"/>
    <n v="446"/>
    <n v="78"/>
    <x v="0"/>
    <d v="2023-10-01T00:00:00"/>
    <s v="Intel Core i7 (11th Gen) 5 Ghz, Quad-Core"/>
    <s v="Windows 11"/>
    <x v="5"/>
    <s v="15.6&quot; (39.62 cm), 1920 x 1080 px, IPS LCD Display"/>
    <s v="Web Camera"/>
    <s v="Slim 20 mm"/>
    <s v="HDMI Port"/>
    <m/>
    <n v="79"/>
    <x v="15"/>
    <x v="47"/>
    <x v="2"/>
  </r>
  <r>
    <s v="Zebronics Pro Series Z ZEB-NBC 3S Laptop (Core i3 12th Gen/8 GB/512 GB SSD/Windows 11)"/>
    <s v="Zebronics Pro Series Z ZEB-NBC 3S Laptop (Core i3 12th Gen/8 GB/512 GB SSD/Windows 11) price in India"/>
    <x v="373"/>
    <n v="289"/>
    <n v="78"/>
    <x v="0"/>
    <d v="2023-09-01T00:00:00"/>
    <s v="Intel Core i7 (12th Gen) 1.1 Ghz, Deca-Core"/>
    <s v="Windows 11"/>
    <x v="5"/>
    <s v="15.6&quot; (39.62 cm), 1920 x 1080 px, IPS LCD Display"/>
    <s v="Web Camera"/>
    <s v="Slim 20 mm"/>
    <s v="HDMI Port"/>
    <m/>
    <n v="77"/>
    <x v="15"/>
    <x v="47"/>
    <x v="2"/>
  </r>
  <r>
    <s v="Lenovo Yoga 7 14ARP8 (82YM0074IN) Laptop (AMD Octa Core Ryzen 7/16 GB/1 TB SSD/Windows 11)"/>
    <s v="Lenovo Yoga 7 14ARP8 (82YM0074IN) Laptop (AMD Octa Core Ryzen 7/16 GB/1 TB SSD/Windows 11) price in India"/>
    <x v="211"/>
    <n v="17"/>
    <n v="78"/>
    <x v="0"/>
    <d v="2023-08-01T00:00:00"/>
    <s v="Intel Core i7 (12th Gen) 1.7 Ghz"/>
    <s v="Windows 11"/>
    <x v="21"/>
    <s v="14&quot; (35.56 cm), 1920 x 1200 px, OLED Display"/>
    <s v="Web Camera"/>
    <m/>
    <m/>
    <s v="2 USB Ports"/>
    <n v="75"/>
    <x v="5"/>
    <x v="48"/>
    <x v="0"/>
  </r>
  <r>
    <s v="Fujitsu UH-X 4ZR1M37246 Laptop (Core i5 13th Gen/16 GB/512 GB SSD/Windows 11)"/>
    <s v="Fujitsu UH-X 4ZR1M37246 Laptop (Core i5 13th Gen/16 GB/512 GB SSD/Windows 11) price in India"/>
    <x v="123"/>
    <n v="15"/>
    <n v="78"/>
    <x v="0"/>
    <d v="2023-08-01T00:00:00"/>
    <s v="Intel Core i7 (12th Gen) 1.7 Ghz, Deca-Core"/>
    <s v="Windows 11"/>
    <x v="17"/>
    <s v="14&quot; (35.56 cm), 1920 x 1200 px Display"/>
    <s v="Web Camera"/>
    <m/>
    <s v="HDMI Port"/>
    <m/>
    <n v="76"/>
    <x v="9"/>
    <x v="48"/>
    <x v="0"/>
  </r>
  <r>
    <s v="Lenovo Ideapad Slim 3 15AMN8 (82XQ008VIN) Laptop (AMD Quad Core Ryzen 5/16 GB/512 GB SSD/Windows 11)"/>
    <s v="Lenovo Ideapad Slim 3 15AMN8 (82XQ008VIN) Laptop (AMD Quad Core Ryzen 5/16 GB/512 GB SSD/Windows 11) price in India"/>
    <x v="180"/>
    <n v="215"/>
    <n v="78"/>
    <x v="0"/>
    <d v="2023-07-01T00:00:00"/>
    <s v="Intel Core i7 (12th Gen) 1.7 Ghz, Deca-Core"/>
    <s v="Windows 11"/>
    <x v="17"/>
    <s v="15.6&quot; (39.62 cm), 1920 x 1080 px, IPS LCD Display"/>
    <s v="Web Camera"/>
    <m/>
    <s v="HDMI Port"/>
    <m/>
    <n v="72"/>
    <x v="5"/>
    <x v="39"/>
    <x v="0"/>
  </r>
  <r>
    <s v="Asus TUF Gaming F15 FX506HF-HN024WS Laptop (Core i5 11th Gen/8 GB/512 GB SSD/Windows 11/4 GB)"/>
    <s v="Asus TUF Gaming F15 FX506HF-HN024WS Laptop (Core i5 11th Gen/8 GB/512 GB SSD/Windows 11/4 GB) price in India"/>
    <x v="700"/>
    <n v="262"/>
    <n v="78"/>
    <x v="0"/>
    <d v="2023-07-01T00:00:00"/>
    <s v="Intel Core i7 (12th Gen) 1.7 Ghz, Deca-Core"/>
    <s v="Windows 11"/>
    <x v="5"/>
    <s v="15.6&quot; (39.62 cm), 1920 x 1080 px, IPS LCD Display"/>
    <s v="Web Camera"/>
    <m/>
    <s v="HDMI Port"/>
    <m/>
    <n v="77"/>
    <x v="2"/>
    <x v="48"/>
    <x v="2"/>
  </r>
  <r>
    <s v="MSI Modern 15 B11M-063IN Laptop (Core i3 11th Gen/8 GB/512 GB SSD/Windows 11)"/>
    <s v="MSI Modern 15 B11M-063IN Laptop (Core i3 11th Gen/8 GB/512 GB SSD/Windows 11) price in India"/>
    <x v="256"/>
    <n v="129"/>
    <n v="78"/>
    <x v="0"/>
    <d v="2023-07-01T00:00:00"/>
    <s v="Intel Core i7 (12th Gen) 2.1 Ghz"/>
    <s v="Windows 11"/>
    <x v="5"/>
    <s v="15.6&quot; (39.62 cm), 1920 x 1080 px, IPS LCD Display"/>
    <s v="Web Camera"/>
    <s v="Slim 18.9 mm"/>
    <s v="HDMI Port"/>
    <m/>
    <m/>
    <x v="3"/>
    <x v="48"/>
    <x v="2"/>
  </r>
  <r>
    <s v="HP 255 G9 (840T7PA) Laptop (AMD Dual Core Athlon/4 GB/256 GB SSD/DOS)"/>
    <s v="HP 255 G9 (840T7PA) Laptop (AMD Dual Core Athlon/4 GB/256 GB SSD/DOS) price in India"/>
    <x v="701"/>
    <n v="1366"/>
    <n v="78"/>
    <x v="0"/>
    <d v="2023-06-01T00:00:00"/>
    <s v="Intel Core i7 (12th Gen) 2.1 Ghz"/>
    <s v="DOS"/>
    <x v="52"/>
    <s v="15.6&quot; (39.62 cm), 1366 x 768 px, IPS LCD Display"/>
    <s v="Web Camera"/>
    <s v="Slim 17.9 mm"/>
    <s v="HDMI Port"/>
    <m/>
    <m/>
    <x v="7"/>
    <x v="48"/>
    <x v="7"/>
  </r>
  <r>
    <s v="Lenovo ThinkBook 15 G5 (21JFA00QIN) Laptop (AMD Octa Core Ryzen 7/8 GB/512 GB SSD/DOS)"/>
    <s v="Lenovo ThinkBook 15 G5 (21JFA00QIN) Laptop (AMD Octa Core Ryzen 7/8 GB/512 GB SSD/DOS) price in India"/>
    <x v="362"/>
    <n v="22"/>
    <n v="78"/>
    <x v="0"/>
    <d v="2023-06-01T00:00:00"/>
    <s v="Intel Core i7 (12th Gen) 2.3 Ghz"/>
    <s v="DOS"/>
    <x v="5"/>
    <s v="15.6&quot; (39.62 cm), 1920 x 1080 px, IPS LCD Display"/>
    <s v="Web Camera"/>
    <s v="Slim 18.9 mm"/>
    <s v="HDMI Port"/>
    <m/>
    <n v="75"/>
    <x v="5"/>
    <x v="48"/>
    <x v="2"/>
  </r>
  <r>
    <s v="Asus TUF Gaming F15 FX506HF-HN026W Laptop (Core i5 11th Gen/8 GB/1 TB SSD/Windows 11/4 GB)"/>
    <s v="Asus TUF Gaming F15 FX506HF-HN026W Laptop (Core i5 11th Gen/8 GB/1 TB SSD/Windows 11/4 GB) price in India"/>
    <x v="203"/>
    <n v="266"/>
    <n v="78"/>
    <x v="0"/>
    <d v="2023-06-01T00:00:00"/>
    <s v="Intel Core i7 (12th Gen) 2.3 Ghz"/>
    <s v="Windows 11"/>
    <x v="14"/>
    <s v="15.6&quot; (39.62 cm), 1920 x 1080 px, IPS LCD Display"/>
    <s v="Web Camera"/>
    <s v="Slim 10.6 mm"/>
    <s v="HDMI Port"/>
    <s v="3 USB Ports"/>
    <n v="79"/>
    <x v="2"/>
    <x v="48"/>
    <x v="2"/>
  </r>
  <r>
    <s v="Asus VivoBook 15 X1502ZA-EJ544WS Laptop (Core i5 12th Gen/16 GB/512 GB SSD/Windows 11)"/>
    <s v="Asus VivoBook 15 X1502ZA-EJ544WS Laptop (Core i5 12th Gen/16 GB/512 GB SSD/Windows 11) price in India"/>
    <x v="42"/>
    <n v="100"/>
    <n v="78"/>
    <x v="0"/>
    <d v="2023-05-01T00:00:00"/>
    <s v="Intel Core i7 (12th Gen) 2.3 Ghz"/>
    <s v="Windows 11"/>
    <x v="2"/>
    <s v="15.6&quot; (39.62 cm), 1920 x 1080 px, IPS LCD Display"/>
    <s v="Web Camera"/>
    <s v="Slim 19.9 mm"/>
    <s v="HDMI Port"/>
    <m/>
    <n v="77"/>
    <x v="2"/>
    <x v="48"/>
    <x v="0"/>
  </r>
  <r>
    <s v="Asus ROG Strix G16 G614JI-N4151WS Laptop (Core i9 13th Gen/16 GB/1 TB SSD/Windows 11/8 GB)"/>
    <s v="Asus ROG Strix G16 G614JI-N4151WS Laptop (Core i9 13th Gen/16 GB/1 TB SSD/Windows 11/8 GB) price in India"/>
    <x v="702"/>
    <n v="11"/>
    <n v="78"/>
    <x v="0"/>
    <d v="2023-05-01T00:00:00"/>
    <s v="Intel Core i7 (12th Gen) 2.3 Ghz"/>
    <s v="Windows 11"/>
    <x v="10"/>
    <s v="16&quot; (40.64 cm), 2560 x 1600 px, IPS LCD Display"/>
    <s v="Web Camera"/>
    <s v="Slim 10.6 mm"/>
    <s v="HDMI Port"/>
    <m/>
    <m/>
    <x v="2"/>
    <x v="48"/>
    <x v="0"/>
  </r>
  <r>
    <s v="HP 250 G9 (7M659PA) Laptop (Core i3 12th Gen/8 GB/512 GB SSD/DOS)"/>
    <s v="HP 250 G9 (7M659PA) Laptop (Core i3 12th Gen/8 GB/512 GB SSD/DOS) price in India"/>
    <x v="703"/>
    <n v="17"/>
    <n v="78"/>
    <x v="0"/>
    <d v="2023-05-01T00:00:00"/>
    <s v="Intel Core i7 (12th Gen) 2.3 Ghz"/>
    <s v="DOS"/>
    <x v="5"/>
    <s v="15.6&quot; (39.62 cm), 1366 x 768 px, IPS LCD Display"/>
    <s v="Web Camera"/>
    <s v="Slim 19.9 mm"/>
    <s v="HDMI Port"/>
    <m/>
    <n v="75"/>
    <x v="7"/>
    <x v="48"/>
    <x v="2"/>
  </r>
  <r>
    <s v="HP Pavilion x360 14-ek1020TU (7Z1P8PA) Laptop (Core i7 13th Gen/16 GB/512 GB SSD/Windows 11)"/>
    <s v="HP Pavilion x360 14-ek1020TU (7Z1P8PA) Laptop (Core i7 13th Gen/16 GB/512 GB SSD/Windows 11) price in India"/>
    <x v="75"/>
    <n v="7"/>
    <n v="78"/>
    <x v="0"/>
    <d v="2023-05-01T00:00:00"/>
    <s v="Intel Core i7 (12th Gen) 2.3 Ghz"/>
    <s v="Windows 11"/>
    <x v="2"/>
    <s v="14&quot; (35.56 cm), 1920 x 1080 px, IPS LCD Display"/>
    <s v="Web Camera"/>
    <s v="Slim 19.9 mm"/>
    <s v="HDMI Port"/>
    <m/>
    <n v="77"/>
    <x v="7"/>
    <x v="48"/>
    <x v="0"/>
  </r>
  <r>
    <s v="HP 15-fc0025AU (7L029PA) Laptop (AMD Quad Core Ryzen 3/8 GB/512 GB SSD/Windows 11)"/>
    <s v="HP 15-fc0025AU (7L029PA) Laptop (AMD Quad Core Ryzen 3/8 GB/512 GB SSD/Windows 11) price in India"/>
    <x v="600"/>
    <n v="180"/>
    <n v="78"/>
    <x v="0"/>
    <d v="2023-03-01T00:00:00"/>
    <s v="Intel Core i7 (12th Gen) 2.3 Ghz"/>
    <s v="Windows 11"/>
    <x v="5"/>
    <s v="15.6&quot; (39.62 cm), 1920 x 1080 px, IPS LCD Display"/>
    <s v="Web Camera"/>
    <s v="Slim 19.9 mm"/>
    <s v="HDMI Port"/>
    <m/>
    <n v="71"/>
    <x v="7"/>
    <x v="48"/>
    <x v="2"/>
  </r>
  <r>
    <s v="Acer Aspire 3 A315-510P (NX.KDHSI.001) Laptop (Core i3 12th Gen/8 GB/512 GB SSD/Windows 11)"/>
    <s v="Acer Aspire 3 A315-510P (NX.KDHSI.001) Laptop (Core i3 12th Gen/8 GB/512 GB SSD/Windows 11) price in India"/>
    <x v="704"/>
    <n v="267"/>
    <n v="78"/>
    <x v="0"/>
    <d v="2023-03-01T00:00:00"/>
    <s v="Intel Core i7 (12th Gen) 2.3 Ghz"/>
    <s v="Windows 11"/>
    <x v="20"/>
    <s v="15.6&quot; (39.62 cm), 1920 x 1080 px, IPS LCD Display"/>
    <s v="Web Camera"/>
    <s v="Slim 18.9 mm"/>
    <s v="HDMI Port"/>
    <m/>
    <n v="75"/>
    <x v="1"/>
    <x v="48"/>
    <x v="2"/>
  </r>
  <r>
    <s v="HP Chromebook 15a-na0008TU (72K10PA) Laptop (Intel Celeron Dual Core/4 GB/128 GB eMMC/Google Chrome)"/>
    <s v="HP Chromebook 15a-na0008TU (72K10PA) Laptop (Intel Celeron Dual Core/4 GB/128 GB eMMC/Google Chrome) price in India"/>
    <x v="317"/>
    <n v="2887"/>
    <n v="78"/>
    <x v="0"/>
    <d v="2023-03-01T00:00:00"/>
    <s v="Intel Core i7 (12th Gen) 2.3 Ghz"/>
    <s v="Google Chrome"/>
    <x v="63"/>
    <s v="15.6&quot; (39.62 cm), 1366 x 768 px, IPS LCD Display"/>
    <s v="Web Camera"/>
    <s v="Slim 18.1 mm"/>
    <m/>
    <m/>
    <m/>
    <x v="7"/>
    <x v="48"/>
    <x v="7"/>
  </r>
  <r>
    <s v="Infinix Zero Book ZL12 Laptop (Core i7 12th Gen/16 GB/512 GB SSD/Windows 11)"/>
    <s v="Infinix Zero Book ZL12 Laptop (Core i7 12th Gen/16 GB/512 GB SSD/Windows 11) price in India"/>
    <x v="203"/>
    <n v="28"/>
    <n v="78"/>
    <x v="0"/>
    <d v="2023-02-01T00:00:00"/>
    <s v="Intel Core i7 (12th Gen) 2.3 Ghz"/>
    <s v="Windows 11"/>
    <x v="17"/>
    <s v="15.6&quot; (39.62 cm), 1920 x 1080 px, IPS LCD Display"/>
    <s v="Web Camera"/>
    <s v="Slim 16.9 mm"/>
    <s v="HDMI Port"/>
    <s v="2 USB Ports"/>
    <n v="79"/>
    <x v="10"/>
    <x v="48"/>
    <x v="0"/>
  </r>
  <r>
    <s v="Lenovo V15 (82KBA01TIH) Laptop (Core i5 11th Gen/8 GB/512 GB SSD/Windows 11)"/>
    <s v="Lenovo V15 (82KBA01TIH) Laptop (Core i5 11th Gen/8 GB/512 GB SSD/Windows 11) price in India"/>
    <x v="180"/>
    <n v="86"/>
    <n v="78"/>
    <x v="0"/>
    <d v="2023-01-01T00:00:00"/>
    <s v="Intel Core i7 (12th Gen) 2.3 Ghz"/>
    <s v="Windows 11"/>
    <x v="5"/>
    <s v="15.6&quot; (39.62 cm), 1920 x 1080 px, IPS LCD Display"/>
    <s v="Web Camera"/>
    <s v="Slim 19.9 mm"/>
    <s v="HDMI Port"/>
    <m/>
    <n v="72"/>
    <x v="5"/>
    <x v="48"/>
    <x v="2"/>
  </r>
  <r>
    <s v="HP Victus 15-fb0777AX (7K0C1PA) Laptop (AMD Hexa Core Ryzen 5/8 GB/512 GB SSD/Windows 11/4 GB)"/>
    <s v="HP Victus 15-fb0777AX (7K0C1PA) Laptop (AMD Hexa Core Ryzen 5/8 GB/512 GB SSD/Windows 11/4 GB) price in India"/>
    <x v="705"/>
    <n v="224"/>
    <n v="78"/>
    <x v="0"/>
    <d v="2023-01-01T00:00:00"/>
    <s v="Intel Core i7 (12th Gen) 2.3 Ghz"/>
    <s v="Windows 11"/>
    <x v="5"/>
    <s v="15.6&quot; (39.62 cm), 1920 x 1080 px, IPS LCD Display"/>
    <s v="Web Camera"/>
    <m/>
    <s v="HDMI Port"/>
    <m/>
    <n v="78"/>
    <x v="7"/>
    <x v="48"/>
    <x v="2"/>
  </r>
  <r>
    <s v="HP Envy x360 15-ew0021TX (7N6V9PA) Laptop (Core i5 12th Gen/16 GB/512 GB SSD/Windows 11/4 GB)"/>
    <s v="HP Envy x360 15-ew0021TX (7N6V9PA) Laptop (Core i5 12th Gen/16 GB/512 GB SSD/Windows 11/4 GB) price in India"/>
    <x v="263"/>
    <n v="42"/>
    <n v="78"/>
    <x v="0"/>
    <d v="2023-01-01T00:00:00"/>
    <s v="Intel Core i7 (12th Gen) 2.3 Ghz"/>
    <s v="Windows 11"/>
    <x v="2"/>
    <s v="15.6&quot; (39.62 cm), 1920 x 1080 px, OLED Display"/>
    <s v="Web Camera"/>
    <s v="Slim 18.7 mm"/>
    <s v="HDMI Port"/>
    <m/>
    <n v="84"/>
    <x v="7"/>
    <x v="48"/>
    <x v="0"/>
  </r>
  <r>
    <s v="MSI Modern 15 B12M-227IN Laptop (Core i5 12th Gen/16 GB/512 GB SSD/Windows 11)"/>
    <s v="MSI Modern 15 B12M-227IN Laptop (Core i5 12th Gen/16 GB/512 GB SSD/Windows 11) price in India"/>
    <x v="30"/>
    <n v="29"/>
    <n v="78"/>
    <x v="0"/>
    <d v="2022-12-01T00:00:00"/>
    <s v="Intel Core i7 (12th Gen) 2.3 Ghz, Deca-Core"/>
    <s v="Windows 11"/>
    <x v="2"/>
    <s v="15.6&quot; (39.62 cm), 1920 x 1080 px, IPS LCD Display"/>
    <s v="Web Camera"/>
    <s v="Slim 20 mm"/>
    <s v="HDMI Port"/>
    <m/>
    <n v="76"/>
    <x v="3"/>
    <x v="48"/>
    <x v="0"/>
  </r>
  <r>
    <s v="Lenovo E41-55 (82FJ00BLIH) Laptop (AMD Dual Core Athlon/4 GB/256 GB SSD/Windows 10)"/>
    <s v="Lenovo E41-55 (82FJ00BLIH) Laptop (AMD Dual Core Athlon/4 GB/256 GB SSD/Windows 10) price in India"/>
    <x v="706"/>
    <n v="323"/>
    <n v="78"/>
    <x v="0"/>
    <d v="2022-12-01T00:00:00"/>
    <s v="Intel Core i7 (12th Gen) 2.5 Ghz"/>
    <s v="Windows 10"/>
    <x v="52"/>
    <s v="14&quot; (35.56 cm), 1366 x 768 px, IPS LCD Display"/>
    <s v="Web Camera"/>
    <s v="Slim 20 mm"/>
    <s v="HDMI Port"/>
    <m/>
    <m/>
    <x v="5"/>
    <x v="48"/>
    <x v="7"/>
  </r>
  <r>
    <s v="Lenovo V15 ITL (82KBA03JIH) Laptop (Core i3 11th Gen/8 GB/512 GB SSD/Windows 11)"/>
    <s v="Lenovo V15 ITL (82KBA03JIH) Laptop (Core i3 11th Gen/8 GB/512 GB SSD/Windows 11) price in India"/>
    <x v="707"/>
    <n v="7"/>
    <n v="78"/>
    <x v="0"/>
    <d v="2022-12-01T00:00:00"/>
    <s v="Intel Core i7 (12th Gen) 2.7 Ghz, Deca-Core"/>
    <s v="Windows 11"/>
    <x v="5"/>
    <s v="15.6&quot; (39.62 cm), 1920 x 1080 px Display"/>
    <s v="Web Camera"/>
    <m/>
    <m/>
    <s v="3 USB Ports"/>
    <m/>
    <x v="5"/>
    <x v="48"/>
    <x v="2"/>
  </r>
  <r>
    <s v="HP Pavilion Plus 14-eh0037TU (77S54PA) Laptop (Core i5 12th Gen/16 GB/512 GB SSD/Windows 11)"/>
    <s v="HP Pavilion Plus 14-eh0037TU (77S54PA) Laptop (Core i5 12th Gen/16 GB/512 GB SSD/Windows 11) price in India"/>
    <x v="254"/>
    <n v="302"/>
    <n v="78"/>
    <x v="0"/>
    <d v="2022-11-01T00:00:00"/>
    <s v="Intel Core i7 (12th Gen) 3.1 Ghz, Deca-Core"/>
    <s v="Windows 11"/>
    <x v="2"/>
    <s v="14&quot; (35.56 cm), 2880 x 1800 px, OLED Display"/>
    <s v="Web Camera"/>
    <s v="Slim 17 mm"/>
    <s v="HDMI Port"/>
    <m/>
    <n v="78"/>
    <x v="7"/>
    <x v="48"/>
    <x v="0"/>
  </r>
  <r>
    <s v="Microsoft Surface Pro 9 (QIL-00031) Laptop (Core i7 12th Gen/16 GB/256 GB SSD/Windows 11)"/>
    <s v="Microsoft Surface Pro 9 (QIL-00031) Laptop (Core i7 12th Gen/16 GB/256 GB SSD/Windows 11) price in India"/>
    <x v="708"/>
    <n v="8"/>
    <n v="78"/>
    <x v="0"/>
    <d v="2022-11-01T00:00:00"/>
    <s v="Intel Core i7 (12th Gen) 3.1 Ghz, Deca-Core"/>
    <s v="Windows 11"/>
    <x v="27"/>
    <s v="13&quot; (33.02 cm), 2880 x 1920 px Display"/>
    <s v="Web Camera"/>
    <s v="Slim 9.3 mm"/>
    <m/>
    <m/>
    <n v="78"/>
    <x v="4"/>
    <x v="48"/>
    <x v="0"/>
  </r>
  <r>
    <s v="Lenovo V15 (82KB00M0IH) Laptop (Core i3 11th Gen/4 GB/256 GB SSD/Windows 10)"/>
    <s v="Lenovo V15 (82KB00M0IH) Laptop (Core i3 11th Gen/4 GB/256 GB SSD/Windows 10) price in India"/>
    <x v="354"/>
    <n v="33"/>
    <n v="78"/>
    <x v="0"/>
    <d v="2022-11-01T00:00:00"/>
    <s v="Intel Core i7 (12th Gen) 3.1 Ghz, Deca-Core"/>
    <s v="Windows 10"/>
    <x v="52"/>
    <s v="15.6&quot; (39.62 cm), 1920 x 1080 px, LED Display"/>
    <s v="Web Camera"/>
    <m/>
    <s v="HDMI Port"/>
    <s v="2 USB Ports"/>
    <m/>
    <x v="5"/>
    <x v="48"/>
    <x v="7"/>
  </r>
  <r>
    <s v="Dell Inspiron 15 3515 (D560523WIN9BE) Laptop (AMD Dual Core Ryzen 3/8 GB/256 GB SSD/Windows 10)"/>
    <s v="Dell Inspiron 15 3515 (D560523WIN9BE) Laptop (AMD Dual Core Ryzen 3/8 GB/256 GB SSD/Windows 10) price in India"/>
    <x v="709"/>
    <n v="262"/>
    <n v="78"/>
    <x v="0"/>
    <d v="2022-11-01T00:00:00"/>
    <s v="Intel Core i7 (12th Gen) 3.1 Ghz, Deca-Core"/>
    <s v="Windows 10"/>
    <x v="38"/>
    <s v="15.6&quot; (39.62 cm), 1920 x 1080 px, LED Display"/>
    <s v="Web Camera"/>
    <s v="Slim 19 mm"/>
    <s v="HDMI Port"/>
    <m/>
    <m/>
    <x v="6"/>
    <x v="48"/>
    <x v="2"/>
  </r>
  <r>
    <s v="Lenovo Ideapad 3 15IGL05 (81WQ00B6IN) Laptop (Celeron Dual Core/4 GB/256 GB SSD/Windows 10)"/>
    <s v="Lenovo Ideapad 3 15IGL05 (81WQ00B6IN) Laptop (Celeron Dual Core/4 GB/256 GB SSD/Windows 10) price in India"/>
    <x v="536"/>
    <n v="84"/>
    <n v="78"/>
    <x v="0"/>
    <d v="2022-11-01T00:00:00"/>
    <s v="Intel Core i7 (12th Gen) 3.3 Ghz, Deca-Core"/>
    <s v="Windows 10"/>
    <x v="52"/>
    <s v="15.6&quot; (39.62 cm), 1366 x 768 px, LED Display"/>
    <s v="Web Camera"/>
    <s v="Slim 19.9 mm"/>
    <s v="HDMI Port"/>
    <m/>
    <m/>
    <x v="5"/>
    <x v="48"/>
    <x v="7"/>
  </r>
  <r>
    <s v="Dell Inspiron 15 3520 (D560920WIN9G) Laptop (Core i3 12th Gen/8 GB/512 GB SSD/Windows 11)"/>
    <s v="Dell Inspiron 15 3520 (D560920WIN9G) Laptop (Core i3 12th Gen/8 GB/512 GB SSD/Windows 11) price in India"/>
    <x v="114"/>
    <n v="21"/>
    <n v="78"/>
    <x v="0"/>
    <d v="2022-10-01T00:00:00"/>
    <s v="Intel Core i7 (12th Gen) 3.4 Ghz"/>
    <s v="Windows 11"/>
    <x v="5"/>
    <s v="15.6&quot; (39.62 cm), 1920 x 1080 px, IPS LCD Display"/>
    <s v="Web Camera"/>
    <s v="Slim 21 mm"/>
    <s v="HDMI Port"/>
    <m/>
    <n v="72"/>
    <x v="6"/>
    <x v="48"/>
    <x v="2"/>
  </r>
  <r>
    <s v="Infinix INBook X2 Plus XL25 Laptop (Core i7 11th Gen/16 GB/512 GB SSD/Windows 11)"/>
    <s v="Infinix INBook X2 Plus XL25 Laptop (Core i7 11th Gen/16 GB/512 GB SSD/Windows 11) price in India"/>
    <x v="573"/>
    <n v="79"/>
    <n v="78"/>
    <x v="0"/>
    <d v="2022-10-01T00:00:00"/>
    <s v="Intel Core i7 (12th Gen) 3.4 Ghz"/>
    <s v="Windows 11"/>
    <x v="30"/>
    <s v="15.6&quot; (39.62 cm), 1920 x 1080 px, IPS LCD Display"/>
    <s v="Web Camera"/>
    <m/>
    <s v="HDMI Port"/>
    <s v="2 USB Ports"/>
    <n v="71"/>
    <x v="10"/>
    <x v="48"/>
    <x v="0"/>
  </r>
  <r>
    <s v="Dell Inspiron 14 7420 (D560776WIN9S) Laptop (Core i5 12th Gen/16 GB/512 GB SSD/Windows 11)"/>
    <s v="Dell Inspiron 14 7420 (D560776WIN9S) Laptop (Core i5 12th Gen/16 GB/512 GB SSD/Windows 11) price in India"/>
    <x v="710"/>
    <n v="53"/>
    <n v="78"/>
    <x v="0"/>
    <d v="2022-10-01T00:00:00"/>
    <s v="Intel Core i7 (12th Gen) 3.4 Ghz"/>
    <s v="Windows 11"/>
    <x v="2"/>
    <s v="14&quot; (35.56 cm), 1920 x 1080 px, IPS LCD Display"/>
    <s v="Web Camera"/>
    <s v="Slim 18 mm"/>
    <s v="HDMI Port"/>
    <m/>
    <n v="75"/>
    <x v="6"/>
    <x v="48"/>
    <x v="0"/>
  </r>
  <r>
    <s v="Dell Inspiron 15 3520 (D560866WIN9S) Laptop (Core i5 12th Gen/8 GB/512 GB SSD/Windows 11)"/>
    <s v="Dell Inspiron 15 3520 (D560866WIN9S) Laptop (Core i5 12th Gen/8 GB/512 GB SSD/Windows 11) price in India"/>
    <x v="711"/>
    <n v="288"/>
    <n v="78"/>
    <x v="0"/>
    <d v="2022-10-01T00:00:00"/>
    <s v="Intel Core i7 (12th Gen) 3.4 Ghz"/>
    <s v="Windows 11"/>
    <x v="5"/>
    <s v="15.6&quot; (39.62 cm), 1920 x 1080 px, IPS LCD Display"/>
    <s v="Web Camera"/>
    <s v="Slim 21 mm"/>
    <s v="HDMI Port"/>
    <m/>
    <n v="73"/>
    <x v="6"/>
    <x v="48"/>
    <x v="2"/>
  </r>
  <r>
    <s v="Lenovo V15 IGL (82C3A00DIH) Laptop (Intel Celeron Dual Core/4 GB/256 GB SSD/Windows 11)"/>
    <s v="Lenovo V15 IGL (82C3A00DIH) Laptop (Intel Celeron Dual Core/4 GB/256 GB SSD/Windows 11) price in India"/>
    <x v="712"/>
    <n v="654"/>
    <n v="78"/>
    <x v="0"/>
    <d v="2022-09-01T00:00:00"/>
    <s v="Intel Core i7 (12th Gen) 3.4 Ghz"/>
    <s v="Windows 11"/>
    <x v="52"/>
    <s v="15.6&quot; (39.62 cm), 1920 x 1080 px Display"/>
    <s v="Web Camera"/>
    <m/>
    <m/>
    <m/>
    <m/>
    <x v="5"/>
    <x v="48"/>
    <x v="7"/>
  </r>
  <r>
    <s v="Lenovo Thinkpad E14 Gen 4 (21E3S05B00) Laptop (Core i7 12th Gen/16 GB/512 GB SSD/Windows 11)"/>
    <s v="Lenovo Thinkpad E14 Gen 4 (21E3S05B00) Laptop (Core i7 12th Gen/16 GB/512 GB SSD/Windows 11) price in India"/>
    <x v="713"/>
    <n v="24"/>
    <n v="78"/>
    <x v="0"/>
    <d v="2022-09-01T00:00:00"/>
    <s v="Intel Core i7 (12th Gen) 3.4 Ghz"/>
    <s v="Windows 11"/>
    <x v="2"/>
    <s v="14&quot; (35.56 cm), 1920 x 1080 px, IPS LCD Display"/>
    <s v="Web Camera"/>
    <s v="Slim 19 mm"/>
    <s v="HDMI Port"/>
    <m/>
    <n v="76"/>
    <x v="5"/>
    <x v="48"/>
    <x v="0"/>
  </r>
  <r>
    <s v="HP Chromebook 15a-na0012TU (743A1PA) Laptop (Intel Celeron Dual Core/4 GB/128 GB eMMC/Google Chrome)"/>
    <s v="HP Chromebook 15a-na0012TU (743A1PA) Laptop (Intel Celeron Dual Core/4 GB/128 GB eMMC/Google Chrome) price in India"/>
    <x v="714"/>
    <n v="2878"/>
    <n v="78"/>
    <x v="0"/>
    <d v="2022-09-01T00:00:00"/>
    <s v="Intel Core i7 (12th Gen) 3.4 Ghz"/>
    <s v="Google Chrome"/>
    <x v="63"/>
    <s v="15.6&quot; (39.62 cm), 1366 x 768 px, IPS LCD Display"/>
    <s v="Web Camera"/>
    <s v="Slim 18.1 mm"/>
    <m/>
    <m/>
    <m/>
    <x v="7"/>
    <x v="48"/>
    <x v="7"/>
  </r>
  <r>
    <s v="Lenovo Ideapad Slim 5 (82SF008YIN) Laptop (Core i5 12th Gen/16 GB/512 GB SSD/Windows 11)"/>
    <s v="Lenovo Ideapad Slim 5 (82SF008YIN) Laptop (Core i5 12th Gen/16 GB/512 GB SSD/Windows 11) price in India"/>
    <x v="715"/>
    <n v="183"/>
    <n v="78"/>
    <x v="0"/>
    <d v="2022-07-01T00:00:00"/>
    <s v="Intel Core i7 (12th Gen) 3.4 Ghz, Deca-Core"/>
    <s v="Windows 11"/>
    <x v="2"/>
    <s v="15.6&quot; (39.62 cm), 1920 x 1080 px Display"/>
    <s v="Web Camera"/>
    <m/>
    <s v="HDMI Port"/>
    <m/>
    <n v="75"/>
    <x v="5"/>
    <x v="48"/>
    <x v="0"/>
  </r>
  <r>
    <s v="Lenovo Yoga 7i Gen 7 Intel Evo (82QE0060IN) Laptop (Core i7 12th Gen/16 GB/512 GB SSD/Windows 11)"/>
    <s v="Lenovo Yoga 7i Gen 7 Intel Evo (82QE0060IN) Laptop (Core i7 12th Gen/16 GB/512 GB SSD/Windows 11) price in India"/>
    <x v="716"/>
    <n v="21"/>
    <n v="78"/>
    <x v="0"/>
    <d v="2022-07-01T00:00:00"/>
    <s v="Intel Core i7 (12th Gen) 3.4 Ghz, Deca-Core"/>
    <s v="Windows 11"/>
    <x v="17"/>
    <s v="14&quot; (35.56 cm), 2880 x 1800 px, OLED Display"/>
    <s v="Web Camera"/>
    <s v="Slim 17 mm"/>
    <s v="HDMI Port"/>
    <m/>
    <n v="79"/>
    <x v="5"/>
    <x v="48"/>
    <x v="0"/>
  </r>
  <r>
    <s v="HP 247 G8 (6B5R3PA) Laptop (AMD Quad Core Ryzen 3/8 GB/512 GB SSD/DOS)"/>
    <s v="HP 247 G8 (6B5R3PA) Laptop (AMD Quad Core Ryzen 3/8 GB/512 GB SSD/DOS) price in India"/>
    <x v="337"/>
    <n v="622"/>
    <n v="78"/>
    <x v="0"/>
    <d v="2022-07-01T00:00:00"/>
    <s v="Intel Core i7 (12th Gen) 3.4 Ghz, Deca-Core"/>
    <s v="DOS"/>
    <x v="5"/>
    <s v="14&quot; (35.56 cm), 1366 x 768 px, IPS LCD Display"/>
    <s v="Web Camera"/>
    <s v="Slim 19.9 mm"/>
    <s v="HDMI Port"/>
    <m/>
    <m/>
    <x v="7"/>
    <x v="48"/>
    <x v="2"/>
  </r>
  <r>
    <s v="Dell G15-5525 (D560819WIN9B) Laptop (AMD Octa Core Ryzen 7/16 GB/512 GB SSD/Windows 11/4 GB)"/>
    <s v="Dell G15-5525 (D560819WIN9B) Laptop (AMD Octa Core Ryzen 7/16 GB/512 GB SSD/Windows 11/4 GB) price in India"/>
    <x v="562"/>
    <n v="26"/>
    <n v="78"/>
    <x v="0"/>
    <d v="2022-07-01T00:00:00"/>
    <s v="Intel Core i7 (12th Gen) 3.4 Ghz, Deca-Core"/>
    <s v="Windows 11"/>
    <x v="6"/>
    <s v="15.6&quot; (39.62 cm), 1920 x 1080 px, IPS LCD Display"/>
    <s v="Web Camera"/>
    <m/>
    <s v="HDMI Port"/>
    <m/>
    <n v="80"/>
    <x v="6"/>
    <x v="48"/>
    <x v="0"/>
  </r>
  <r>
    <s v="HP Victus 15-fa0354TX (6N031PA) Laptop (Core i7 12th Gen/16 GB/512 GB SSD/Windows 11/4 GB)"/>
    <s v="HP Victus 15-fa0354TX (6N031PA) Laptop (Core i7 12th Gen/16 GB/512 GB SSD/Windows 11/4 GB) price in India"/>
    <x v="717"/>
    <n v="27"/>
    <n v="78"/>
    <x v="0"/>
    <d v="2022-07-01T00:00:00"/>
    <s v="Intel Core i7 (12th Gen) 3.4 Ghz, Deca-Core"/>
    <s v="Windows 11"/>
    <x v="2"/>
    <s v="15.6&quot; (39.62 cm), 1920 x 1080 px, IPS LCD Display"/>
    <s v="Web Camera"/>
    <m/>
    <s v="HDMI Port"/>
    <m/>
    <n v="82"/>
    <x v="7"/>
    <x v="48"/>
    <x v="0"/>
  </r>
  <r>
    <s v="Dell Inspiron 15 3511 (D560816WIN9S) Laptop (Core i5 11th Gen/16 GB/512 GB SSD/Windows 11)"/>
    <s v="Dell Inspiron 15 3511 (D560816WIN9S) Laptop (Core i5 11th Gen/16 GB/512 GB SSD/Windows 11) price in India"/>
    <x v="718"/>
    <n v="85"/>
    <n v="78"/>
    <x v="0"/>
    <d v="2022-07-01T00:00:00"/>
    <s v="Intel Core i7 (12th Gen) 3.4 Ghz, Deca-Core"/>
    <s v="Windows 11"/>
    <x v="2"/>
    <s v="15.6&quot; (39.62 cm), 1920 x 1080 px, IPS LCD Display"/>
    <s v="Web Camera"/>
    <s v="Slim 19 mm"/>
    <m/>
    <s v="3 USB Ports"/>
    <n v="71"/>
    <x v="6"/>
    <x v="48"/>
    <x v="0"/>
  </r>
  <r>
    <s v="Acer Aspire 3 A311-45 (UN.354SI.004) Laptop (Intel Celeron Dual Core/8 GB/256 GB SSD/Windows 11)"/>
    <s v="Acer Aspire 3 A311-45 (UN.354SI.004) Laptop (Intel Celeron Dual Core/8 GB/256 GB SSD/Windows 11) price in India"/>
    <x v="426"/>
    <n v="1528"/>
    <n v="76"/>
    <x v="0"/>
    <d v="2025-01-01T00:00:00"/>
    <s v="Intel Core i7 (12th Gen) 3.4 Ghz, Deca-Core"/>
    <s v="Windows 11"/>
    <x v="38"/>
    <s v="11.6&quot; (29.46 cm), 1366 x 768 px, TFT LCD Display"/>
    <s v="Web Camera"/>
    <s v="Slim 16.8 mm"/>
    <s v="HDMI Port"/>
    <m/>
    <m/>
    <x v="1"/>
    <x v="48"/>
    <x v="2"/>
  </r>
  <r>
    <s v="Acer Aspire 3 A311-45 (UN.354SI.002) Laptop (Intel Celeron Dual Core/8 GB/512 GB SSD/Windows 11)"/>
    <s v="Acer Aspire 3 A311-45 (UN.354SI.002) Laptop (Intel Celeron Dual Core/8 GB/512 GB SSD/Windows 11) price in India"/>
    <x v="653"/>
    <n v="1528"/>
    <n v="76"/>
    <x v="0"/>
    <d v="2025-01-01T00:00:00"/>
    <s v="Intel Core i7 (12th Gen) 4.7 Ghz"/>
    <s v="Windows 11"/>
    <x v="5"/>
    <s v="11.6&quot; (29.46 cm), 1366 x 768 px Display"/>
    <s v="Web Camera"/>
    <s v="Slim 16.8 mm"/>
    <s v="HDMI Port"/>
    <m/>
    <m/>
    <x v="1"/>
    <x v="48"/>
    <x v="2"/>
  </r>
  <r>
    <s v="Acer Aspire 3 A311-45 (UN.354SI.006) Laptop (Celeron Dual Core/8 GB/128 GB SSD/Windows 11)"/>
    <s v="Acer Aspire 3 A311-45 (UN.354SI.006) Laptop (Celeron Dual Core/8 GB/128 GB SSD/Windows 11) price in India"/>
    <x v="719"/>
    <n v="1528"/>
    <n v="76"/>
    <x v="0"/>
    <d v="2025-01-01T00:00:00"/>
    <s v="Intel Core i7 (12th Gen) 4.7 Ghz"/>
    <s v="Windows 11"/>
    <x v="78"/>
    <s v="11.6&quot; (29.46 cm), 1366 x 768 px, TFT LCD Display"/>
    <s v="Web Camera"/>
    <s v="Slim 16.8 mm"/>
    <s v="HDMI Port"/>
    <m/>
    <m/>
    <x v="1"/>
    <x v="48"/>
    <x v="2"/>
  </r>
  <r>
    <s v="HP Victus 15-FA1198TX (9Q039PA) Laptop (Core i5 13th Gen/16 GB/512 GB SSD/Windows 11/6 GB)"/>
    <s v="HP Victus 15-FA1198TX (9Q039PA) Laptop (Core i5 13th Gen/16 GB/512 GB SSD/Windows 11/6 GB) price in India"/>
    <x v="30"/>
    <n v="41"/>
    <n v="76"/>
    <x v="0"/>
    <d v="2024-10-01T00:00:00"/>
    <s v="Intel Core i7 (12th Gen) 4.7 Ghz"/>
    <s v="Windows 11"/>
    <x v="79"/>
    <s v="15.6&quot; (39.62 cm), 1920 x 1080 px, IPS LCD Display"/>
    <s v="Web Camera"/>
    <m/>
    <s v="HDMI Port"/>
    <m/>
    <n v="82"/>
    <x v="7"/>
    <x v="48"/>
    <x v="0"/>
  </r>
  <r>
    <s v="HP 15-fd0316TU (A4KF0PA) Laptop (Core i5 13th Gen/16 GB/512 GB SSD/Windows 11)"/>
    <s v="HP 15-fd0316TU (A4KF0PA) Laptop (Core i5 13th Gen/16 GB/512 GB SSD/Windows 11) price in India"/>
    <x v="15"/>
    <n v="179"/>
    <n v="76"/>
    <x v="0"/>
    <d v="2024-11-01T00:00:00"/>
    <s v="Intel Core i7 (12th Gen) 4.7 Ghz"/>
    <s v="Windows 11"/>
    <x v="2"/>
    <s v="15.6&quot; (39.62 cm), 1920 x 1080 px, IPS LCD Display"/>
    <s v="Web Camera"/>
    <s v="Slim 19 mm"/>
    <s v="HDMI Port"/>
    <m/>
    <n v="80"/>
    <x v="7"/>
    <x v="48"/>
    <x v="0"/>
  </r>
  <r>
    <s v="Acer Chromebook Plus CB514-4H (NX.KUTSI.002) Laptop (Core i3 12th Gen/8 GB/256 GB SSD/Google Chrome)"/>
    <s v="Acer Chromebook Plus CB514-4H (NX.KUTSI.002) Laptop (Core i3 12th Gen/8 GB/256 GB SSD/Google Chrome) price in India"/>
    <x v="720"/>
    <n v="863"/>
    <n v="76"/>
    <x v="0"/>
    <d v="2024-07-01T00:00:00"/>
    <s v="Intel Core i7 (12th Gen) 4.7 Ghz"/>
    <s v="Google Chrome"/>
    <x v="31"/>
    <s v="14&quot; (35.56 cm), 1920 x 1080 px, LCD Display"/>
    <s v="Web Camera"/>
    <s v="Slim 20.5 mm"/>
    <m/>
    <m/>
    <n v="78"/>
    <x v="1"/>
    <x v="48"/>
    <x v="2"/>
  </r>
  <r>
    <s v="Samsung Galaxy Book 4 Pro NP940XGK-LG3IN Laptop (Core Ultra 7/32 GB/1 TB SSD/Windows 11)"/>
    <s v="Samsung Galaxy Book 4 Pro NP940XGK-LG3IN Laptop (Core Ultra 7/32 GB/1 TB SSD/Windows 11) price in India"/>
    <x v="721"/>
    <n v="21"/>
    <n v="76"/>
    <x v="0"/>
    <d v="2024-07-01T00:00:00"/>
    <s v="Intel Core i7 (12th Gen) 4.7 Ghz"/>
    <s v="Windows 11"/>
    <x v="7"/>
    <s v="14&quot; (35.56 cm), 2880 x 1800 px, AMOLED Display"/>
    <s v="Web Camera"/>
    <s v="Slim 11.6 mm"/>
    <s v="HDMI Port"/>
    <m/>
    <n v="87"/>
    <x v="8"/>
    <x v="48"/>
    <x v="3"/>
  </r>
  <r>
    <s v="Acer Aspire Lite AL15-52 (UN.431SI.361) Laptop (Core i5 12th Gen/16 GB/1 TB SSD/Windows 11)"/>
    <s v="Acer Aspire Lite AL15-52 (UN.431SI.361) Laptop (Core i5 12th Gen/16 GB/1 TB SSD/Windows 11) price in India"/>
    <x v="247"/>
    <n v="236"/>
    <n v="76"/>
    <x v="0"/>
    <d v="2024-11-01T00:00:00"/>
    <s v="Intel Core i7 (12th Gen) 4.7 Ghz"/>
    <s v="Windows 11"/>
    <x v="23"/>
    <s v="15.6&quot; (39.62 cm), 1920 x 1080 px, TFT LCD Display"/>
    <s v="Web Camera"/>
    <s v="Slim 19.9 mm"/>
    <s v="HDMI Port"/>
    <m/>
    <n v="75"/>
    <x v="1"/>
    <x v="48"/>
    <x v="0"/>
  </r>
  <r>
    <s v="Lenovo Ideapad Slim 3i (81WE00S2IN) Laptop (Core i3 10th Gen/4 GB/1 TB/DOS)"/>
    <s v="Lenovo Ideapad Slim 3i (81WE00S2IN) Laptop (Core i3 10th Gen/4 GB/1 TB/DOS) price in India"/>
    <x v="317"/>
    <n v="558"/>
    <n v="76"/>
    <x v="0"/>
    <d v="2020-09-01T00:00:00"/>
    <s v="Intel Core i7 (12th Gen) 4.7 Ghz"/>
    <s v="DOS"/>
    <x v="49"/>
    <s v="15.6&quot; (39.62 cm), 1366 x 768 px, LED Display"/>
    <s v="Web Camera"/>
    <s v="Slim 19.9 mm"/>
    <s v="HDMI Port"/>
    <m/>
    <m/>
    <x v="5"/>
    <x v="48"/>
    <x v="7"/>
  </r>
  <r>
    <s v="HP 15-fd0465TU (B61ZFPA) Laptop (Core i3/8 GB/512 GB SSD/Windows 11)"/>
    <s v="HP 15-fd0465TU (B61ZFPA) Laptop (Core i3/8 GB/512 GB SSD/Windows 11) price in India"/>
    <x v="114"/>
    <n v="118"/>
    <n v="76"/>
    <x v="0"/>
    <d v="2025-01-01T00:00:00"/>
    <s v="Intel Core i7 (12th Gen) 4.7 Ghz"/>
    <s v="Windows 11"/>
    <x v="5"/>
    <s v="15.6&quot; (39.62 cm), 1920 x 1080 px, IPS LCD Display"/>
    <s v="Web Camera"/>
    <s v="Slim 18.6 mm"/>
    <s v="HDMI Port"/>
    <m/>
    <n v="78"/>
    <x v="7"/>
    <x v="48"/>
    <x v="2"/>
  </r>
  <r>
    <s v="Samsung Galaxy Book 4 Pro NP940XGK-KG3IN Laptop (Core Ultra 7/32 GB/1 TB SSD/Windows 11)"/>
    <s v="Samsung Galaxy Book 4 Pro NP940XGK-KG3IN Laptop (Core Ultra 7/32 GB/1 TB SSD/Windows 11) price in India"/>
    <x v="721"/>
    <n v="21"/>
    <n v="76"/>
    <x v="0"/>
    <d v="2024-02-01T00:00:00"/>
    <s v="Intel Core i7 (12th Gen) 4.7 Ghz"/>
    <s v="Windows 11"/>
    <x v="7"/>
    <s v="14&quot; (35.56 cm), 2880 x 1800 px, AMOLED Display"/>
    <s v="Web Camera"/>
    <s v="Slim 11.6 mm"/>
    <s v="HDMI Port"/>
    <m/>
    <n v="87"/>
    <x v="8"/>
    <x v="48"/>
    <x v="3"/>
  </r>
  <r>
    <s v="HP Pavilion 15-eh3036AU Laptop (AMD Hexa Core Ryzen 5/8 GB/512 GB SSD/Windows 11)"/>
    <s v="HP Pavilion 15-eh3036AU Laptop (AMD Hexa Core Ryzen 5/8 GB/512 GB SSD/Windows 11) price in India"/>
    <x v="722"/>
    <n v="87"/>
    <n v="76"/>
    <x v="0"/>
    <d v="2024-11-01T00:00:00"/>
    <s v="Intel Core i7 (12th Gen) 4.7 Ghz"/>
    <s v="Windows 11"/>
    <x v="5"/>
    <s v="15.6&quot; (39.62 cm), 1920 x 1080 px, LED Display"/>
    <s v="Web Camera"/>
    <s v="Slim 18 mm"/>
    <s v="HDMI Port"/>
    <m/>
    <n v="74"/>
    <x v="7"/>
    <x v="48"/>
    <x v="2"/>
  </r>
  <r>
    <s v="HP Pavilion x360 14-ek1149TU (B6PA2PA) Laptop (Core i5 13th Gen/16 GB/1 TB SSD/Windows 11)"/>
    <s v="HP Pavilion x360 14-ek1149TU (B6PA2PA) Laptop (Core i5 13th Gen/16 GB/1 TB SSD/Windows 11) price in India"/>
    <x v="242"/>
    <n v="100"/>
    <n v="76"/>
    <x v="0"/>
    <d v="2025-02-01T00:00:00"/>
    <s v="Intel Core i7 (12th Gen) 4.7 Ghz, Deca-Core"/>
    <s v="Windows 11"/>
    <x v="23"/>
    <s v="14&quot; (35.56 cm), 1920 x 1080 px, IPS LCD Display"/>
    <s v="Web Camera"/>
    <s v="Slim 18.9 mm"/>
    <s v="HDMI Port"/>
    <m/>
    <n v="81"/>
    <x v="7"/>
    <x v="48"/>
    <x v="0"/>
  </r>
  <r>
    <s v="Lenovo IdeaPad Slim 1i 15IGL7 Gen 7 (82V700L2IN) Laptop (Celeron Dual Core/8 GB/512 GB SSD/Windows 11)"/>
    <s v="Lenovo IdeaPad Slim 1i 15IGL7 Gen 7 (82V700L2IN) Laptop (Celeron Dual Core/8 GB/512 GB SSD/Windows 11) price in India"/>
    <x v="723"/>
    <n v="20"/>
    <n v="76"/>
    <x v="0"/>
    <d v="2025-01-01T00:00:00"/>
    <s v="Intel Core i7 (12th Gen) 4.7 Ghz, Deca-Core"/>
    <s v="Windows 11"/>
    <x v="5"/>
    <s v="15.6&quot; (39.62 cm), 1366 x 768 px, TN LCD Display"/>
    <s v="Web Camera"/>
    <s v="Slim 17.9 mm"/>
    <s v="HDMI Port"/>
    <m/>
    <m/>
    <x v="5"/>
    <x v="48"/>
    <x v="2"/>
  </r>
  <r>
    <s v="Asus VivoBook S15 OLED S5504VA-MA941WS Laptop (Core i9 13th Gen/16 GB/512 GB SSD/Windows 11)"/>
    <s v="Asus VivoBook S15 OLED S5504VA-MA941WS Laptop (Core i9 13th Gen/16 GB/512 GB SSD/Windows 11) price in India"/>
    <x v="104"/>
    <n v="46"/>
    <n v="76"/>
    <x v="0"/>
    <d v="2024-08-01T00:00:00"/>
    <s v="Intel Core i7 (12th Gen) 4.7 Ghz, Deca-Core"/>
    <s v="Windows 11"/>
    <x v="17"/>
    <s v="15.6&quot; (39.62 cm), 2880 x 1620 px, OLED Display"/>
    <s v="Web Camera"/>
    <s v="Slim 17.9 mm"/>
    <s v="HDMI Port"/>
    <m/>
    <n v="84"/>
    <x v="2"/>
    <x v="48"/>
    <x v="0"/>
  </r>
  <r>
    <s v="Dell Inspiron 14 Plus 7440 (OIN74402204A1RINU1) Laptop (Core Ultra 7/16 GB/1 TB SSD/Windows 11)"/>
    <s v="Dell Inspiron 14 Plus 7440 (OIN74402204A1RINU1) Laptop (Core Ultra 7/16 GB/1 TB SSD/Windows 11) price in India"/>
    <x v="724"/>
    <n v="28"/>
    <n v="76"/>
    <x v="0"/>
    <d v="2024-10-01T00:00:00"/>
    <s v="Intel Core i7 (12th Gen) 4.7 Ghz, Deca-Core"/>
    <s v="Windows 11"/>
    <x v="3"/>
    <s v="14&quot; (35.56 cm), 2240 x 1400 px, IPS LCD Display"/>
    <s v="Web Camera"/>
    <s v="Slim 18.9 mm"/>
    <s v="HDMI Port"/>
    <m/>
    <n v="85"/>
    <x v="6"/>
    <x v="48"/>
    <x v="0"/>
  </r>
  <r>
    <s v="Dell Inspiron 14 5409 (D560374WIN9PE) Laptop (Core i7 11th Gen/8 GB/512 GB SSD/Windows 10/2 GB)"/>
    <s v="Dell Inspiron 14 5409 (D560374WIN9PE) Laptop (Core i7 11th Gen/8 GB/512 GB SSD/Windows 10/2 GB) price in India"/>
    <x v="725"/>
    <n v="32"/>
    <n v="76"/>
    <x v="0"/>
    <d v="2021-01-01T00:00:00"/>
    <s v="Intel Core i7 (12th Gen) 4.7 Ghz, Deca-Core"/>
    <s v="Windows 10"/>
    <x v="5"/>
    <s v="14&quot; (35.56 cm), 1920 x 1080 px, LED Display"/>
    <s v="Web Camera"/>
    <s v="Slim 18 mm"/>
    <s v="HDMI Port"/>
    <m/>
    <n v="74"/>
    <x v="6"/>
    <x v="48"/>
    <x v="2"/>
  </r>
  <r>
    <s v="Asus Vivobook 14 Flip OLED TP3407SA-QL024WS Laptop (Core Ultra 5/16 GB/512 GB SSD/Windows 11)"/>
    <s v="Asus Vivobook 14 Flip OLED TP3407SA-QL024WS Laptop (Core Ultra 5/16 GB/512 GB SSD/Windows 11) price in India"/>
    <x v="331"/>
    <n v="6"/>
    <n v="76"/>
    <x v="0"/>
    <d v="2025-02-01T00:00:00"/>
    <s v="Intel Core i7 (12th Gen) 4.7 Ghz, Deca-Core"/>
    <s v="Windows 11"/>
    <x v="8"/>
    <s v="14&quot; (35.56 cm), 1920 x 1200 px, OLED Display"/>
    <s v="Web Camera"/>
    <s v="Slim 17.1 mm"/>
    <s v="HDMI Port"/>
    <m/>
    <m/>
    <x v="2"/>
    <x v="48"/>
    <x v="0"/>
  </r>
  <r>
    <s v="Asus VivoBook 15 X1504VA-NJ322WS Laptop (Core i3 13th Gen/8 GB/512 GB SSD/Windows 11)"/>
    <s v="Asus VivoBook 15 X1504VA-NJ322WS Laptop (Core i3 13th Gen/8 GB/512 GB SSD/Windows 11) price in India"/>
    <x v="356"/>
    <n v="356"/>
    <n v="76"/>
    <x v="0"/>
    <d v="2023-04-01T00:00:00"/>
    <s v="Intel Core i7 (12th Gen) 4.7 Ghz, Deca-Core"/>
    <s v="Windows 11"/>
    <x v="5"/>
    <s v="15.6&quot; (39.62 cm), 1920 x 1080 px Display"/>
    <s v="Web Camera"/>
    <s v="Slim 17.9 mm"/>
    <s v="HDMI Port"/>
    <m/>
    <n v="77"/>
    <x v="2"/>
    <x v="48"/>
    <x v="2"/>
  </r>
  <r>
    <s v="Dell Inspiron 15 3520 (IN3520KMJ5V001ORS1) Laptop (Core i5 12th Gen/16 GB/512 GB SSD/Windows 11)"/>
    <s v="Dell Inspiron 15 3520 (IN3520KMJ5V001ORS1) Laptop (Core i5 12th Gen/16 GB/512 GB SSD/Windows 11) price in India"/>
    <x v="125"/>
    <n v="66"/>
    <n v="76"/>
    <x v="0"/>
    <d v="2024-12-01T00:00:00"/>
    <s v="Intel Core i7 (12th Gen) 4.7 Ghz, Deca-Core"/>
    <s v="Windows 11"/>
    <x v="2"/>
    <s v="15.6&quot; (39.62 cm), 1920 x 1080 px, IPS LCD Display"/>
    <s v="Web Camera"/>
    <s v="Slim 21 mm"/>
    <s v="HDMI Port"/>
    <m/>
    <n v="74"/>
    <x v="6"/>
    <x v="48"/>
    <x v="0"/>
  </r>
  <r>
    <s v="Avita NS12T5IN001P Laptop (Celeron Dual Core/4 GB/64 GB SSD/Windows 10)"/>
    <s v="Avita NS12T5IN001P Laptop (Celeron Dual Core/4 GB/64 GB SSD/Windows 10) price in India"/>
    <x v="726"/>
    <n v="3302"/>
    <n v="76"/>
    <x v="0"/>
    <d v="2019-05-01T00:00:00"/>
    <s v="Intel Core i7 (12th Gen) 4.7 Ghz, Deca-Core"/>
    <s v="Windows 10"/>
    <x v="80"/>
    <s v="12.5&quot; (31.75 cm), 1920 x 1080 px, LED Display"/>
    <s v="Web Camera"/>
    <s v="Slim 14.8 mm"/>
    <s v="HDMI Port"/>
    <s v="2 USB Ports"/>
    <m/>
    <x v="16"/>
    <x v="48"/>
    <x v="7"/>
  </r>
  <r>
    <s v="Acer Swift 3 SF315-51-50B5 (NX.GSKSI.003) Laptop (Core i5 8th Gen/8 GB/1 TB/Linux)"/>
    <s v="Acer Swift 3 SF315-51-50B5 (NX.GSKSI.003) Laptop (Core i5 8th Gen/8 GB/1 TB/Linux) price in India"/>
    <x v="125"/>
    <n v="71"/>
    <n v="76"/>
    <x v="0"/>
    <m/>
    <s v="Intel Core i7 (12th Gen) 4.7 Ghz, Deca-Core"/>
    <s v="Linux"/>
    <x v="37"/>
    <s v="15.6&quot; (39.62 cm), 1920 x 1080 px, LED Display"/>
    <s v="Web Camera"/>
    <s v="Slim 18.9 mm"/>
    <s v="HDMI Port"/>
    <s v="3 USB Ports"/>
    <m/>
    <x v="1"/>
    <x v="48"/>
    <x v="2"/>
  </r>
  <r>
    <s v="Lenovo ThinkPad E14 Gen 5 (21JRS0H200) Laptop (AMD Hexa Core Ryzen 5/16 GB/1 TB SSD/Windows 11)"/>
    <s v="Lenovo ThinkPad E14 Gen 5 (21JRS0H200) Laptop (AMD Hexa Core Ryzen 5/16 GB/1 TB SSD/Windows 11) price in India"/>
    <x v="727"/>
    <n v="5"/>
    <n v="76"/>
    <x v="0"/>
    <d v="2024-08-01T00:00:00"/>
    <s v="Intel Core i7 (12th Gen) 4.7 Ghz, Deca-Core"/>
    <s v="Windows 11"/>
    <x v="23"/>
    <s v="14&quot; (35.56 cm), 1920 x 1200 px, IPS LCD Display"/>
    <s v="Web Camera"/>
    <m/>
    <s v="HDMI Port"/>
    <m/>
    <n v="74"/>
    <x v="5"/>
    <x v="48"/>
    <x v="0"/>
  </r>
  <r>
    <s v="HP Pavilion TouchSmart 14 x360 14-cd0080tu (4LS22PA) Laptop (Core i5 8th Gen/8 GB/1 TB 8 GB SSD/Windows 10)"/>
    <s v="HP Pavilion TouchSmart 14 x360 14-cd0080tu (4LS22PA) Laptop (Core i5 8th Gen/8 GB/1 TB 8 GB SSD/Windows 10) price in India"/>
    <x v="158"/>
    <n v="327"/>
    <n v="76"/>
    <x v="0"/>
    <m/>
    <s v="Intel Core i7 (12th Gen) 4.7 Ghz, Deca-Core"/>
    <s v="Windows 10"/>
    <x v="37"/>
    <s v="14&quot; (35.56 cm), 1920 x 1080 px, LED Display"/>
    <s v="Web Camera"/>
    <s v="Slim 19.7 mm"/>
    <s v="HDMI Port"/>
    <m/>
    <m/>
    <x v="7"/>
    <x v="48"/>
    <x v="2"/>
  </r>
  <r>
    <s v="HP 14-GR1022TU (A4VJ0PA) Laptop (Core Ultra 5/16 GB/512 GB SSD/Windows 11)"/>
    <s v="HP 14-GR1022TU (A4VJ0PA) Laptop (Core Ultra 5/16 GB/512 GB SSD/Windows 11) price in India"/>
    <x v="46"/>
    <n v="36"/>
    <n v="76"/>
    <x v="0"/>
    <d v="2024-07-01T00:00:00"/>
    <s v="Intel Core i7 (12th Gen) 4.7 Ghz, Deca-Core"/>
    <s v="Windows 11"/>
    <x v="6"/>
    <s v="14&quot; (35.56 cm), 1920 x 1080 px, IPS LCD Display"/>
    <s v="Web Camera"/>
    <m/>
    <s v="HDMI Port"/>
    <m/>
    <n v="83"/>
    <x v="7"/>
    <x v="48"/>
    <x v="0"/>
  </r>
  <r>
    <s v="Lenovo IdeaPad Gaming 3 15ARH7 (82SB00QSIN) Laptop (AMD Octa Core Ryzen 7/16 GB/512 GB SSD/Windows 11/6 GB)"/>
    <s v="Lenovo IdeaPad Gaming 3 15ARH7 (82SB00QSIN) Laptop (AMD Octa Core Ryzen 7/16 GB/512 GB SSD/Windows 11/6 GB) price in India"/>
    <x v="272"/>
    <n v="58"/>
    <n v="76"/>
    <x v="0"/>
    <d v="2024-07-01T00:00:00"/>
    <s v="Intel Core i7 (12th Gen) 4.7 Ghz, Deca-Core"/>
    <s v="Windows 11"/>
    <x v="6"/>
    <s v="15.6&quot; (39.62 cm), 1920 x 1080 px, IPS LCD Display"/>
    <s v="Web Camera"/>
    <s v="Slim 21.8 mm"/>
    <s v="HDMI Port"/>
    <m/>
    <n v="87"/>
    <x v="5"/>
    <x v="48"/>
    <x v="0"/>
  </r>
  <r>
    <s v="Lenovo IdeaPad 14IGL7 (82V6009HIN) Laptop (Intel Celeron Dual Core/8 GB/512 GB SSD/Windows 11)"/>
    <s v="Lenovo IdeaPad 14IGL7 (82V6009HIN) Laptop (Intel Celeron Dual Core/8 GB/512 GB SSD/Windows 11) price in India"/>
    <x v="728"/>
    <n v="614"/>
    <n v="76"/>
    <x v="0"/>
    <d v="2024-06-01T00:00:00"/>
    <s v="Intel Core i7 (12th Gen) 4.7 Ghz, Deca-Core"/>
    <s v="Windows 11"/>
    <x v="5"/>
    <s v="14&quot; (35.56 cm), 1366 x 768 px, TN LCD Display"/>
    <s v="Web Camera"/>
    <s v="Slim 17.9 mm"/>
    <s v="HDMI Port"/>
    <m/>
    <m/>
    <x v="5"/>
    <x v="48"/>
    <x v="2"/>
  </r>
  <r>
    <s v="Asus Chromebook CX1400CKA-NK0453 Laptop (Intel Celeron Dual Core/4 GB/64 GB eMMC/Google Chrome)"/>
    <s v="Asus Chromebook CX1400CKA-NK0453 Laptop (Intel Celeron Dual Core/4 GB/64 GB eMMC/Google Chrome) price in India"/>
    <x v="729"/>
    <n v="2589"/>
    <n v="76"/>
    <x v="0"/>
    <d v="2024-06-01T00:00:00"/>
    <s v="Intel Core i7 (12th Gen) 4.7 Ghz, Deca-Core"/>
    <s v="Google Chrome"/>
    <x v="63"/>
    <s v="14&quot; (35.56 cm), 1920 x 1080 px Display"/>
    <s v="Web Camera"/>
    <s v="Slim 18.7 mm"/>
    <m/>
    <m/>
    <m/>
    <x v="2"/>
    <x v="48"/>
    <x v="7"/>
  </r>
  <r>
    <s v="Asus Chromebook CX1500CKA-NJ0395 Laptop (Intel Celeron Dual Core/8 GB/128 GB eMMC/Google Chrome)"/>
    <s v="Asus Chromebook CX1500CKA-NJ0395 Laptop (Intel Celeron Dual Core/8 GB/128 GB eMMC/Google Chrome) price in India"/>
    <x v="147"/>
    <n v="2239"/>
    <n v="76"/>
    <x v="0"/>
    <d v="2024-06-01T00:00:00"/>
    <s v="Intel Core i7 (12th Gen) 4.7 Ghz, Deca-Core"/>
    <s v="Google Chrome"/>
    <x v="56"/>
    <s v="15.6&quot; (39.62 cm), 1920 x 1080 px Display"/>
    <s v="Web Camera"/>
    <s v="Slim 18.7 mm"/>
    <m/>
    <m/>
    <m/>
    <x v="2"/>
    <x v="48"/>
    <x v="2"/>
  </r>
  <r>
    <s v="Asus Chromebook CX1500CKA-NJ0393 Laptop (Intel Celeron Dual Core/4 GB/64 GB eMMC/Google Chrome)"/>
    <s v="Asus Chromebook CX1500CKA-NJ0393 Laptop (Intel Celeron Dual Core/4 GB/64 GB eMMC/Google Chrome) price in India"/>
    <x v="147"/>
    <n v="2261"/>
    <n v="76"/>
    <x v="0"/>
    <d v="2024-06-01T00:00:00"/>
    <s v="Intel Core i7 (12th Gen) 4.7 Ghz, Deca-Core"/>
    <s v="Google Chrome"/>
    <x v="63"/>
    <s v="15.6&quot; (39.62 cm), 1920 x 1080 px Display"/>
    <s v="Web Camera"/>
    <s v="Slim 18.7 mm"/>
    <m/>
    <m/>
    <m/>
    <x v="2"/>
    <x v="48"/>
    <x v="7"/>
  </r>
  <r>
    <s v="Asus VivoBook S15 OLED S5504VA-MA553WS Laptop (Core i5 13th Gen/16 GB/1 TB SSD/Windows 11)"/>
    <s v="Asus VivoBook S15 OLED S5504VA-MA553WS Laptop (Core i5 13th Gen/16 GB/1 TB SSD/Windows 11) price in India"/>
    <x v="717"/>
    <n v="36"/>
    <n v="76"/>
    <x v="0"/>
    <d v="2024-06-01T00:00:00"/>
    <s v="Intel Core i7 (12th Gen) 4.7 Ghz, Deca-Core"/>
    <s v="Windows 11"/>
    <x v="21"/>
    <s v="15.6&quot; (39.62 cm), 2880 x 1620 px, OLED Display"/>
    <s v="Web Camera"/>
    <s v="Slim 17.9 mm"/>
    <s v="HDMI Port"/>
    <m/>
    <n v="83"/>
    <x v="2"/>
    <x v="48"/>
    <x v="0"/>
  </r>
  <r>
    <s v="MSI Modern 14 H D13MG-071IN Laptop (Core i9 13th Gen/16 GB/1 TB SSD/Windows 11)"/>
    <s v="MSI Modern 14 H D13MG-071IN Laptop (Core i9 13th Gen/16 GB/1 TB SSD/Windows 11) price in India"/>
    <x v="730"/>
    <n v="5"/>
    <n v="76"/>
    <x v="0"/>
    <d v="2024-03-01T00:00:00"/>
    <s v="Intel Core i7 (12th Gen) 4.7 Ghz, Deca-Core"/>
    <s v="Windows 11"/>
    <x v="23"/>
    <s v="14&quot; (35.56 cm), x px, IPS LCD Display"/>
    <s v="Web Camera"/>
    <s v="Slim 18.6 mm"/>
    <s v="HDMI Port"/>
    <m/>
    <n v="80"/>
    <x v="3"/>
    <x v="48"/>
    <x v="0"/>
  </r>
  <r>
    <s v="Asus Chromebook Plus CX3402CBA-PQ0173 Laptop (Core i3 12th Gen/8 GB/128 GB eMMC/Google Chrome)"/>
    <s v="Asus Chromebook Plus CX3402CBA-PQ0173 Laptop (Core i3 12th Gen/8 GB/128 GB eMMC/Google Chrome) price in India"/>
    <x v="317"/>
    <n v="10"/>
    <n v="76"/>
    <x v="0"/>
    <d v="2023-12-01T00:00:00"/>
    <s v="Intel Core i7 (12th Gen) 4.7 Ghz, Deca-Core"/>
    <s v="Google Chrome"/>
    <x v="81"/>
    <s v="14&quot; (35.56 cm), 1920 x 1080 px Display"/>
    <s v="Web Camera"/>
    <s v="Slim 18.7 mm"/>
    <s v="HDMI Port"/>
    <m/>
    <m/>
    <x v="2"/>
    <x v="48"/>
    <x v="2"/>
  </r>
  <r>
    <s v="Lenovo Legion Pro 5 16ARX8 (82WM00B7IN) Laptop (AMD Octa Core Ryzen 7/16 GB/1 TB SSD/Windows 11/8 GB)"/>
    <s v="Lenovo Legion Pro 5 16ARX8 (82WM00B7IN) Laptop (AMD Octa Core Ryzen 7/16 GB/1 TB SSD/Windows 11/8 GB) price in India"/>
    <x v="731"/>
    <n v="6"/>
    <n v="76"/>
    <x v="0"/>
    <d v="2023-10-01T00:00:00"/>
    <s v="Intel Core i7 (12th Gen) 4.7 Ghz, Deca-Core"/>
    <s v="Windows 11"/>
    <x v="10"/>
    <s v="16&quot; (40.64 cm), 2560 x 1600 px, IPS LCD Display"/>
    <s v="Web Camera"/>
    <m/>
    <s v="HDMI Port"/>
    <m/>
    <m/>
    <x v="5"/>
    <x v="48"/>
    <x v="0"/>
  </r>
  <r>
    <s v="HP Victus 15-fa1134TX (8X059PA) Laptop (Core i7 12th Gen/16 GB/512 GB SSD/Windows 11/6 GB)"/>
    <s v="HP Victus 15-fa1134TX (8X059PA) Laptop (Core i7 12th Gen/16 GB/512 GB SSD/Windows 11/6 GB) price in India"/>
    <x v="732"/>
    <n v="13"/>
    <n v="76"/>
    <x v="0"/>
    <d v="2023-09-01T00:00:00"/>
    <s v="Intel Core i7 (12th Gen) 4.7 Ghz, Deca-Core"/>
    <s v="Windows 11"/>
    <x v="2"/>
    <s v="15.6&quot; (39.62 cm), 1920 x 1080 px, IPS LCD Display"/>
    <s v="Web Camera"/>
    <m/>
    <s v="HDMI Port"/>
    <m/>
    <m/>
    <x v="7"/>
    <x v="48"/>
    <x v="0"/>
  </r>
  <r>
    <s v="Asus Chromebook CX1500CKA-EJ0275 Laptop (Intel Celeron Dual Core/8 GB/64 GB eMMC/Google Chrome)"/>
    <s v="Asus Chromebook CX1500CKA-EJ0275 Laptop (Intel Celeron Dual Core/8 GB/64 GB eMMC/Google Chrome) price in India"/>
    <x v="147"/>
    <n v="160"/>
    <n v="76"/>
    <x v="0"/>
    <d v="2023-09-01T00:00:00"/>
    <s v="Intel Core i7 (12th Gen) 4.7 Ghz, Deca-Core"/>
    <s v="Google Chrome"/>
    <x v="56"/>
    <s v="15.6&quot; (39.62 cm), 1920 x 1080 px Display"/>
    <s v="Web Camera"/>
    <s v="Slim 18.7 mm"/>
    <m/>
    <m/>
    <m/>
    <x v="2"/>
    <x v="48"/>
    <x v="2"/>
  </r>
  <r>
    <s v="Lenovo Legion Slim 5 16APH8 (82Y9009JIN) Laptop (AMD Octa Core Ryzen 7/16 GB/1 TB SSD/Windows 11/8 GB)"/>
    <s v="Lenovo Legion Slim 5 16APH8 (82Y9009JIN) Laptop (AMD Octa Core Ryzen 7/16 GB/1 TB SSD/Windows 11/8 GB) price in India"/>
    <x v="150"/>
    <n v="13"/>
    <n v="76"/>
    <x v="0"/>
    <d v="2023-08-01T00:00:00"/>
    <s v="Intel Core i7 (12th Gen) 4.7 Ghz, Deca-Core"/>
    <s v="Windows 11"/>
    <x v="10"/>
    <s v="16&quot; (40.64 cm), 2560 x 1600 px, IPS LCD Display"/>
    <s v="Web Camera"/>
    <m/>
    <s v="HDMI Port"/>
    <m/>
    <m/>
    <x v="5"/>
    <x v="48"/>
    <x v="0"/>
  </r>
  <r>
    <s v="Dell Inspiron 14 5430 (IN54308DXWP001ORS1) Laptop (Core i7 13th Gen/16 GB/1 TB SSD/Windows 11)"/>
    <s v="Dell Inspiron 14 5430 (IN54308DXWP001ORS1) Laptop (Core i7 13th Gen/16 GB/1 TB SSD/Windows 11) price in India"/>
    <x v="123"/>
    <n v="12"/>
    <n v="76"/>
    <x v="0"/>
    <d v="2023-08-01T00:00:00"/>
    <s v="Intel Core i7 (12th Gen) 4.7 Ghz, Deca-Core"/>
    <s v="Windows 11"/>
    <x v="21"/>
    <s v="14.1&quot; (35.81 cm), 1920 x 1080 px, IPS LCD Display"/>
    <s v="Web Camera"/>
    <s v="Slim 17.6 mm"/>
    <s v="HDMI Port"/>
    <m/>
    <n v="83"/>
    <x v="6"/>
    <x v="48"/>
    <x v="0"/>
  </r>
  <r>
    <s v="Acer Aspire 5 A515-56G (NX.AT2SI.001) Laptop (Core i5 11th Gen/8 GB/512 GB SSD/Windows 11/2 GB)"/>
    <s v="Acer Aspire 5 A515-56G (NX.AT2SI.001) Laptop (Core i5 11th Gen/8 GB/512 GB SSD/Windows 11/2 GB) price in India"/>
    <x v="733"/>
    <n v="15"/>
    <n v="76"/>
    <x v="0"/>
    <d v="2023-07-01T00:00:00"/>
    <s v="Intel Core i7 (12th Gen) 4.7 Ghz, Deca-Core"/>
    <s v="Windows 11"/>
    <x v="5"/>
    <s v="15.6&quot; (39.62 cm), 1920 x 1080 px Display"/>
    <s v="Web Camera"/>
    <s v="Slim 17.9 mm"/>
    <s v="HDMI Port"/>
    <m/>
    <n v="72"/>
    <x v="1"/>
    <x v="39"/>
    <x v="2"/>
  </r>
  <r>
    <s v="Lenovo IdeaPad Slim 3 15AMN8 (82XQ008DIN) Laptop (AMD Quad Core Ryzen 3/8 GB/512 GB SSD/Windows 11)"/>
    <s v="Lenovo IdeaPad Slim 3 15AMN8 (82XQ008DIN) Laptop (AMD Quad Core Ryzen 3/8 GB/512 GB SSD/Windows 11) price in India"/>
    <x v="734"/>
    <n v="125"/>
    <n v="76"/>
    <x v="0"/>
    <d v="2023-07-01T00:00:00"/>
    <s v="Intel Core i7 (12th Gen) 4.7 Ghz, Deca-Core"/>
    <s v="Windows 11"/>
    <x v="20"/>
    <s v="15.6&quot; (39.62 cm), 1920 x 1080 px, IPS LCD Display"/>
    <s v="Web Camera"/>
    <s v="Slim 17.9 mm"/>
    <s v="HDMI Port"/>
    <m/>
    <n v="76"/>
    <x v="5"/>
    <x v="48"/>
    <x v="2"/>
  </r>
  <r>
    <s v="Lenovo Ideapad Slim 3 15AMN8 (82XQ008GIN) Laptop (AMD Quad Core Ryzen 5/8 GB/512 GB SSD/Windows 11)"/>
    <s v="Lenovo Ideapad Slim 3 15AMN8 (82XQ008GIN) Laptop (AMD Quad Core Ryzen 5/8 GB/512 GB SSD/Windows 11) price in India"/>
    <x v="176"/>
    <n v="70"/>
    <n v="76"/>
    <x v="0"/>
    <d v="2023-07-01T00:00:00"/>
    <s v="Intel Core i7 (12th Gen) 4.7 Ghz, Deca-Core"/>
    <s v="Windows 11"/>
    <x v="20"/>
    <s v="15.6&quot; (39.62 cm), 1920 x 1080 px, IPS LCD Display"/>
    <s v="Web Camera"/>
    <s v="Slim 17.9 mm"/>
    <s v="HDMI Port"/>
    <m/>
    <n v="76"/>
    <x v="5"/>
    <x v="48"/>
    <x v="2"/>
  </r>
  <r>
    <s v="HP 15s-fy5005TU (8K8J3PA) Laptop (Core i3 12th Gen/8 GB/1 TB SSD/Windows 11)"/>
    <s v="HP 15s-fy5005TU (8K8J3PA) Laptop (Core i3 12th Gen/8 GB/1 TB SSD/Windows 11) price in India"/>
    <x v="735"/>
    <n v="63"/>
    <n v="76"/>
    <x v="0"/>
    <d v="2023-07-01T00:00:00"/>
    <s v="Intel Core i7 (12th Gen) 4.7 Ghz, Deca-Core"/>
    <s v="Windows 11"/>
    <x v="14"/>
    <s v="15.6&quot; (39.62 cm), 1920 x 1080 px, IPS LCD Display"/>
    <s v="Web Camera"/>
    <s v="Slim 17.9 mm"/>
    <s v="HDMI Port"/>
    <m/>
    <n v="76"/>
    <x v="7"/>
    <x v="48"/>
    <x v="2"/>
  </r>
  <r>
    <s v="Asus VivoBook 15 X1502ZA-EJ542WS Laptop (Core i5 12th Gen/16 GB/512 GB SSD/Windows 11)"/>
    <s v="Asus VivoBook 15 X1502ZA-EJ542WS Laptop (Core i5 12th Gen/16 GB/512 GB SSD/Windows 11) price in India"/>
    <x v="163"/>
    <n v="153"/>
    <n v="76"/>
    <x v="0"/>
    <d v="2023-05-01T00:00:00"/>
    <s v="Intel Core i7 (12th Gen) 4.7 Ghz, Deca-Core"/>
    <s v="Windows 11"/>
    <x v="2"/>
    <s v="15.6&quot; (39.62 cm), 1920 x 1080 px Display"/>
    <s v="Web Camera"/>
    <m/>
    <s v="HDMI Port"/>
    <m/>
    <n v="75"/>
    <x v="2"/>
    <x v="48"/>
    <x v="0"/>
  </r>
  <r>
    <s v="HP Victus 16-d0333TX (81H59PA) Laptop (Core i5 11th Gen/16 GB/512 GB SSD/Windows 11/4 GB)"/>
    <s v="HP Victus 16-d0333TX (81H59PA) Laptop (Core i5 11th Gen/16 GB/512 GB SSD/Windows 11/4 GB) price in India"/>
    <x v="736"/>
    <n v="107"/>
    <n v="76"/>
    <x v="0"/>
    <d v="2023-04-01T00:00:00"/>
    <s v="Intel Core i7 (12th Gen) 4.7 Ghz, Deca-Core"/>
    <s v="Windows 11"/>
    <x v="2"/>
    <s v="16.1&quot; (40.89 cm), 1920 x 1080 px, IPS LCD Display"/>
    <s v="Web Camera"/>
    <m/>
    <s v="HDMI Port"/>
    <m/>
    <n v="77"/>
    <x v="7"/>
    <x v="48"/>
    <x v="0"/>
  </r>
  <r>
    <s v="Lenovo V15 G3 (82TTA01EIN) Laptop (Core i3 12th Gen/8 GB/512 GB SSD/DOS)"/>
    <s v="Lenovo V15 G3 (82TTA01EIN) Laptop (Core i3 12th Gen/8 GB/512 GB SSD/DOS) price in India"/>
    <x v="586"/>
    <n v="32"/>
    <n v="76"/>
    <x v="0"/>
    <d v="2023-03-01T00:00:00"/>
    <s v="Intel Core i7 (12th Gen) 4.7 Ghz, Deca-Core"/>
    <s v="DOS"/>
    <x v="5"/>
    <s v="15.6&quot; (39.62 cm), 1920 x 1080 px, IPS LCD Display"/>
    <s v="Web Camera"/>
    <m/>
    <s v="HDMI Port"/>
    <m/>
    <m/>
    <x v="5"/>
    <x v="48"/>
    <x v="2"/>
  </r>
  <r>
    <s v="MSI Titan GT77 HX 13VH-093IN Laptop (Core i9 13th Gen/64 GB/2 TB SSD/Windows 11/12 GB)"/>
    <s v="MSI Titan GT77 HX 13VH-093IN Laptop (Core i9 13th Gen/64 GB/2 TB SSD/Windows 11/12 GB) price in India"/>
    <x v="737"/>
    <n v="18"/>
    <n v="76"/>
    <x v="0"/>
    <d v="2023-02-01T00:00:00"/>
    <s v="Intel Core i7 (12th Gen) 4.7 Ghz, Deca-Core"/>
    <s v="Windows 11"/>
    <x v="60"/>
    <s v="17.3&quot; (43.94 cm), 3840 x 2160 px, Mini LED Display"/>
    <s v="Web Camera"/>
    <m/>
    <s v="HDMI Port"/>
    <m/>
    <m/>
    <x v="3"/>
    <x v="39"/>
    <x v="9"/>
  </r>
  <r>
    <s v="Asus VivoBook 15 X1500EA-EJ3379WS Laptop (Core i3 11th Gen/8 GB/512 GB SSD/Windows 11)"/>
    <s v="Asus VivoBook 15 X1500EA-EJ3379WS Laptop (Core i3 11th Gen/8 GB/512 GB SSD/Windows 11) price in India"/>
    <x v="738"/>
    <n v="385"/>
    <n v="76"/>
    <x v="0"/>
    <d v="2023-01-01T00:00:00"/>
    <s v="Intel Core i7 (12th Gen) 4.7 Ghz, Deca-Core"/>
    <s v="Windows 11"/>
    <x v="5"/>
    <s v="15.6&quot; (39.62 cm), 1920 x 1080 px, OLED Display"/>
    <s v="Web Camera"/>
    <s v="Slim 20 mm"/>
    <s v="HDMI Port"/>
    <m/>
    <n v="74"/>
    <x v="2"/>
    <x v="48"/>
    <x v="2"/>
  </r>
  <r>
    <s v="HP Omen 16-n0091AX (7K4X2PA) Laptop (AMD Octa Core Ryzen 7/16 GB/512 GB SSD/Windows 11/4 GB)"/>
    <s v="HP Omen 16-n0091AX (7K4X2PA) Laptop (AMD Octa Core Ryzen 7/16 GB/512 GB SSD/Windows 11/4 GB) price in India"/>
    <x v="739"/>
    <n v="9"/>
    <n v="76"/>
    <x v="0"/>
    <d v="2023-01-01T00:00:00"/>
    <s v="Intel Core i7 (12th Gen) 4.8 Ghz"/>
    <s v="Windows 11"/>
    <x v="6"/>
    <s v="16.2&quot; (41.15 cm), 1920 x 1080 px, IPS LCD Display"/>
    <s v="Web Camera"/>
    <m/>
    <s v="HDMI Port"/>
    <m/>
    <n v="83"/>
    <x v="7"/>
    <x v="48"/>
    <x v="0"/>
  </r>
  <r>
    <s v="HP 245 G8 (689T5PA) Laptop (AMD Hexa Core Ryzen 5/8 GB/512 GB SSD/Windows 11)"/>
    <s v="HP 245 G8 (689T5PA) Laptop (AMD Hexa Core Ryzen 5/8 GB/512 GB SSD/Windows 11) price in India"/>
    <x v="586"/>
    <n v="48"/>
    <n v="76"/>
    <x v="0"/>
    <d v="2023-01-01T00:00:00"/>
    <s v="Intel Core i7 (12th Gen) 4.8 Ghz"/>
    <s v="Windows 11"/>
    <x v="5"/>
    <s v="14&quot; (35.56 cm), 1366 x 768 px, IPS LCD Display"/>
    <s v="Web Camera"/>
    <s v="Slim 19.9 mm"/>
    <s v="HDMI Port"/>
    <m/>
    <m/>
    <x v="7"/>
    <x v="48"/>
    <x v="2"/>
  </r>
  <r>
    <s v="Asus VivoBook 15 X1500EA-EJ3381WS Laptop (Core i3 11th Gen/8 GB/512 GB SSD/Windows 11)"/>
    <s v="Asus VivoBook 15 X1500EA-EJ3381WS Laptop (Core i3 11th Gen/8 GB/512 GB SSD/Windows 11) price in India"/>
    <x v="740"/>
    <n v="45"/>
    <n v="76"/>
    <x v="0"/>
    <d v="2023-01-01T00:00:00"/>
    <s v="Intel Core i7 (13th Gen) 2.2 Ghz"/>
    <s v="Windows 11"/>
    <x v="5"/>
    <s v="15.6&quot; (39.62 cm), 1920 x 1080 px, OLED Display"/>
    <s v="Web Camera"/>
    <s v="Slim 20 mm"/>
    <s v="HDMI Port"/>
    <m/>
    <m/>
    <x v="2"/>
    <x v="48"/>
    <x v="2"/>
  </r>
  <r>
    <s v="Lenovo V15 (82KDA01UIH) Laptop (AMD Quad Core Ryzen 3/8 GB/512 GB SSD/DOS)"/>
    <s v="Lenovo V15 (82KDA01UIH) Laptop (AMD Quad Core Ryzen 3/8 GB/512 GB SSD/DOS) price in India"/>
    <x v="133"/>
    <n v="5"/>
    <n v="76"/>
    <x v="0"/>
    <d v="2023-01-01T00:00:00"/>
    <s v="Intel Core i7 (13th Gen) 3.4 Ghz"/>
    <s v="DOS"/>
    <x v="5"/>
    <s v="15.6&quot; (39.62 cm), 1920 x 1080 px, IPS LCD Display"/>
    <s v="Web Camera"/>
    <s v="Slim 20 mm"/>
    <s v="HDMI Port"/>
    <m/>
    <m/>
    <x v="5"/>
    <x v="49"/>
    <x v="2"/>
  </r>
  <r>
    <s v="Dell Inspiron 15 3525 (D560863WIN9B) Laptop (AMD Hexa Core Ryzen 5/8 GB/512 GB SSD/Windows 11)"/>
    <s v="Dell Inspiron 15 3525 (D560863WIN9B) Laptop (AMD Hexa Core Ryzen 5/8 GB/512 GB SSD/Windows 11) price in India"/>
    <x v="741"/>
    <n v="19"/>
    <n v="76"/>
    <x v="0"/>
    <d v="2022-11-01T00:00:00"/>
    <s v="Intel Core i7 (13th Gen) 3.6 Ghz"/>
    <s v="Windows 11"/>
    <x v="5"/>
    <s v="15.6&quot; (39.62 cm), 1920 x 1080 px, IPS LCD Display"/>
    <s v="Web Camera"/>
    <s v="Slim 21 mm"/>
    <s v="HDMI Port"/>
    <m/>
    <m/>
    <x v="6"/>
    <x v="49"/>
    <x v="2"/>
  </r>
  <r>
    <s v="Dell Inspiron 15 3511 (D560505WIN9S) Laptop (Core i5 11th Gen/8 GB/1 TB 256 GB SSD/Windows 10/2 GB)"/>
    <s v="Dell Inspiron 15 3511 (D560505WIN9S) Laptop (Core i5 11th Gen/8 GB/1 TB 256 GB SSD/Windows 10/2 GB) price in India"/>
    <x v="247"/>
    <n v="81"/>
    <n v="76"/>
    <x v="0"/>
    <d v="2022-11-01T00:00:00"/>
    <s v="Intel Core i7 (13th Gen) 3.7 Ghz, Deca-Core"/>
    <s v="Windows 10"/>
    <x v="37"/>
    <s v="15.6&quot; (39.62 cm), 1920 x 1080 px, LED Display"/>
    <s v="Web Camera"/>
    <s v="Slim 19 mm"/>
    <s v="HDMI Port"/>
    <m/>
    <n v="72"/>
    <x v="6"/>
    <x v="49"/>
    <x v="2"/>
  </r>
  <r>
    <s v="Dell Inspiron 13 5320 (D560754WIN9S) Laptop (Core i7 12th Gen/16 GB/512 GB SSD/Windows 11)"/>
    <s v="Dell Inspiron 13 5320 (D560754WIN9S) Laptop (Core i7 12th Gen/16 GB/512 GB SSD/Windows 11) price in India"/>
    <x v="742"/>
    <n v="24"/>
    <n v="76"/>
    <x v="0"/>
    <d v="2022-10-01T00:00:00"/>
    <s v="Intel Core i7 (13th Gen) 4.6 Ghz, Deca-Core"/>
    <s v="Windows 11"/>
    <x v="17"/>
    <s v="13.3&quot; (33.78 cm), 1920 x 1080 px, IPS LCD Display"/>
    <s v="Web Camera"/>
    <s v="Slim 15.6 mm"/>
    <s v="HDMI Port"/>
    <m/>
    <n v="80"/>
    <x v="6"/>
    <x v="49"/>
    <x v="0"/>
  </r>
  <r>
    <s v="Dell Inspiron 15 3525 (D560788WIN9BD) Laptop (AMD Hexa Core Ryzen 5/8 GB/512 GB SSD/Windows 11)"/>
    <s v="Dell Inspiron 15 3525 (D560788WIN9BD) Laptop (AMD Hexa Core Ryzen 5/8 GB/512 GB SSD/Windows 11) price in India"/>
    <x v="743"/>
    <n v="12"/>
    <n v="76"/>
    <x v="0"/>
    <d v="2022-10-01T00:00:00"/>
    <s v="Intel Core i7 (13th Gen) 4.7 Ghz, Deca-Core"/>
    <s v="Windows 11"/>
    <x v="5"/>
    <s v="15.6&quot; (39.62 cm), 1920 x 1080 px, IPS LCD Display"/>
    <s v="Web Camera"/>
    <s v="Slim 21 mm"/>
    <s v="HDMI Port"/>
    <m/>
    <m/>
    <x v="6"/>
    <x v="49"/>
    <x v="2"/>
  </r>
  <r>
    <s v="Dell Inspiron 15 3520 (D560880WIN9S) Laptop (Core i5 12th Gen/8 GB/512 GB SSD/Windows 11/2 GB)"/>
    <s v="Dell Inspiron 15 3520 (D560880WIN9S) Laptop (Core i5 12th Gen/8 GB/512 GB SSD/Windows 11/2 GB) price in India"/>
    <x v="744"/>
    <n v="14"/>
    <n v="76"/>
    <x v="0"/>
    <d v="2022-10-01T00:00:00"/>
    <s v="Intel Core i7 (13th Gen) 4.9 Ghz"/>
    <s v="Windows 11"/>
    <x v="5"/>
    <s v="15.6&quot; (39.62 cm), 1920 x 1080 px, IPS LCD Display"/>
    <s v="Web Camera"/>
    <s v="Slim 20 mm"/>
    <s v="HDMI Port"/>
    <m/>
    <n v="76"/>
    <x v="6"/>
    <x v="49"/>
    <x v="2"/>
  </r>
  <r>
    <s v="Lenovo V15 (82KDA01DIH) Laptop (AMD Quad Core Ryzen 3/8 GB/256 GB SSD/Windows 11)"/>
    <s v="Lenovo V15 (82KDA01DIH) Laptop (AMD Quad Core Ryzen 3/8 GB/256 GB SSD/Windows 11) price in India"/>
    <x v="745"/>
    <n v="128"/>
    <n v="76"/>
    <x v="0"/>
    <d v="2022-08-01T00:00:00"/>
    <s v="Intel Core i7 (13th Gen) 4.9 Ghz"/>
    <s v="Windows 11"/>
    <x v="38"/>
    <s v="15.6&quot; (39.62 cm), 1920 x 1080 px, IPS LCD Display"/>
    <s v="Web Camera"/>
    <s v="Slim 20 mm"/>
    <s v="HDMI Port"/>
    <m/>
    <m/>
    <x v="5"/>
    <x v="49"/>
    <x v="2"/>
  </r>
  <r>
    <s v="Asus ZenBook Pro 14 Duo OLED Intel Evo UX8402ZE-LM921WS Laptop (Core i9 12th Gen/32 GB/1 TB SSD/Windows 45234 GB)"/>
    <s v="Asus ZenBook Pro 14 Duo OLED Intel Evo UX8402ZE-LM921WS Laptop (Core i9 12th Gen/32 GB/1 TB SSD/Windows 45234 GB) price in India"/>
    <x v="746"/>
    <n v="12"/>
    <n v="76"/>
    <x v="0"/>
    <d v="2022-08-01T00:00:00"/>
    <s v="Intel Core i7 (13th Gen) 4.9 Ghz"/>
    <s v="Windows 11"/>
    <x v="46"/>
    <s v="14.5&quot; (36.83 cm), 2880 x 1800 px, OLED Display"/>
    <s v="Web Camera"/>
    <s v="Slim 17.9 mm"/>
    <s v="HDMI Port"/>
    <m/>
    <n v="85"/>
    <x v="2"/>
    <x v="49"/>
    <x v="3"/>
  </r>
  <r>
    <s v="HP 15s-eq1561AU (6Q0M9PA) Laptop (AMD Dual Core Ryzen 3/8 GB/256 GB SSD/Windows 11)"/>
    <s v="HP 15s-eq1561AU (6Q0M9PA) Laptop (AMD Dual Core Ryzen 3/8 GB/256 GB SSD/Windows 11) price in India"/>
    <x v="611"/>
    <n v="219"/>
    <n v="76"/>
    <x v="0"/>
    <d v="2022-08-01T00:00:00"/>
    <s v="Intel Core i7 (13th Gen) 4.9 Ghz"/>
    <s v="Windows 11"/>
    <x v="38"/>
    <s v="15.6&quot; (39.62 cm), 1920 x 1080 px, IPS LCD Display"/>
    <s v="Web Camera"/>
    <s v="Slim 18 mm"/>
    <s v="HDMI Port"/>
    <m/>
    <m/>
    <x v="7"/>
    <x v="49"/>
    <x v="2"/>
  </r>
  <r>
    <s v="HP Pavilion Plus 14-eh0021TU (6H1Q2PA) Laptop (Core i5 12th Gen/16 GB/512 GB SSD/Windows 11)"/>
    <s v="HP Pavilion Plus 14-eh0021TU (6H1Q2PA) Laptop (Core i5 12th Gen/16 GB/512 GB SSD/Windows 11) price in India"/>
    <x v="747"/>
    <n v="53"/>
    <n v="76"/>
    <x v="0"/>
    <d v="2022-08-01T00:00:00"/>
    <s v="Intel Core i7 (13th Gen) 4.9 Ghz, Deca-Core"/>
    <s v="Windows 11"/>
    <x v="2"/>
    <s v="14&quot; (35.56 cm), 2240 x 1400 px, IPS LCD Display"/>
    <s v="Web Camera"/>
    <s v="Slim 18.4 mm"/>
    <s v="HDMI Port"/>
    <m/>
    <n v="78"/>
    <x v="7"/>
    <x v="49"/>
    <x v="0"/>
  </r>
  <r>
    <s v="Lenovo Ideapad Flex 5i Gen 7 (82R70069IN) Laptop (Core i5 12th Gen/16 GB/512 GB SSD/Windows 11)"/>
    <s v="Lenovo Ideapad Flex 5i Gen 7 (82R70069IN) Laptop (Core i5 12th Gen/16 GB/512 GB SSD/Windows 11) price in India"/>
    <x v="339"/>
    <n v="55"/>
    <n v="76"/>
    <x v="0"/>
    <d v="2022-07-01T00:00:00"/>
    <s v="Intel Core i7 (13th Gen) 4.9 Ghz, Deca-Core"/>
    <s v="Windows 11"/>
    <x v="30"/>
    <s v="14&quot; (35.56 cm), 1920 x 1200 px, IPS LCD Display"/>
    <s v="Web Camera"/>
    <s v="Slim 17 mm"/>
    <s v="HDMI Port"/>
    <m/>
    <n v="76"/>
    <x v="5"/>
    <x v="49"/>
    <x v="0"/>
  </r>
  <r>
    <s v="Lenovo Yoga 6 Gen 7 (82UD0068IN) Laptop (AMD Octa Core Ryzen 7/16 GB/512 GB SSD/Windows 11)"/>
    <s v="Lenovo Yoga 6 Gen 7 (82UD0068IN) Laptop (AMD Octa Core Ryzen 7/16 GB/512 GB SSD/Windows 11) price in India"/>
    <x v="27"/>
    <n v="24"/>
    <n v="76"/>
    <x v="0"/>
    <d v="2022-07-01T00:00:00"/>
    <s v="Intel Core i7 (13th Gen) 4.9 Ghz, Deca-Core"/>
    <s v="Windows 11"/>
    <x v="30"/>
    <s v="13.3&quot; (33.78 cm), 1920 x 1200 px Display"/>
    <s v="Web Camera"/>
    <s v="Slim 17 mm"/>
    <s v="HDMI Port"/>
    <m/>
    <n v="71"/>
    <x v="5"/>
    <x v="49"/>
    <x v="0"/>
  </r>
  <r>
    <s v="Asus ROG Zephyrus Duo 16 GX650RM-LS019WS Laptop (AMD Octa Core Ryzen 7/32 GB/2 TB SSD/Windows 11/6 GB)"/>
    <s v="Asus ROG Zephyrus Duo 16 GX650RM-LS019WS Laptop (AMD Octa Core Ryzen 7/32 GB/2 TB SSD/Windows 11/6 GB) price in India"/>
    <x v="748"/>
    <n v="9"/>
    <n v="76"/>
    <x v="0"/>
    <d v="2022-07-01T00:00:00"/>
    <s v="Intel Core i7 (13th Gen) 4.9 Ghz, Deca-Core"/>
    <s v="Windows 11"/>
    <x v="22"/>
    <s v="16&quot; (40.64 cm), 1920 x 1200 px Display"/>
    <s v="Web Camera"/>
    <s v="Slim 21 mm"/>
    <s v="HDMI Port"/>
    <m/>
    <n v="86"/>
    <x v="2"/>
    <x v="49"/>
    <x v="3"/>
  </r>
  <r>
    <s v="Dell Vostro 3420 (D552299WIN9BE) Laptop (Core i3 11th Gen/8 GB/256 GB SSD/Windows 11)"/>
    <s v="Dell Vostro 3420 (D552299WIN9BE) Laptop (Core i3 11th Gen/8 GB/256 GB SSD/Windows 11) price in India"/>
    <x v="749"/>
    <n v="833"/>
    <n v="76"/>
    <x v="0"/>
    <d v="2022-07-01T00:00:00"/>
    <s v="Intel Core i7 (13th Gen) 4.9 Ghz, Deca-Core"/>
    <s v="Windows 11"/>
    <x v="38"/>
    <s v="14&quot; (35.56 cm), 1920 x 1080 px, IPS LCD Display"/>
    <s v="Web Camera"/>
    <m/>
    <s v="HDMI Port"/>
    <m/>
    <m/>
    <x v="6"/>
    <x v="49"/>
    <x v="2"/>
  </r>
  <r>
    <s v="HP 250 G8 (6G9R1PA) Laptop (Core i3 11th Gen/8 GB/512 GB SSD/DOS)"/>
    <s v="HP 250 G8 (6G9R1PA) Laptop (Core i3 11th Gen/8 GB/512 GB SSD/DOS) price in India"/>
    <x v="354"/>
    <n v="262"/>
    <n v="76"/>
    <x v="0"/>
    <d v="2022-07-01T00:00:00"/>
    <s v="Intel Core i7 (13th Gen) 4.9 Ghz, Deca-Core"/>
    <s v="DOS"/>
    <x v="5"/>
    <s v="15.6&quot; (39.62 cm), 1366 x 768 px, IPS LCD Display"/>
    <s v="Web Camera"/>
    <s v="Slim 19.9 mm"/>
    <s v="HDMI Port"/>
    <m/>
    <m/>
    <x v="7"/>
    <x v="49"/>
    <x v="2"/>
  </r>
  <r>
    <s v="Asus ROG Zephyrus G14 GA402RJ-L8181WS Laptop (AMD Octa Core Ryzen 7/16 GB/1 TB SSD/Windows 11/8)"/>
    <s v="Asus ROG Zephyrus G14 GA402RJ-L8181WS Laptop (AMD Octa Core Ryzen 7/16 GB/1 TB SSD/Windows 11/8) price in India"/>
    <x v="750"/>
    <n v="4"/>
    <n v="76"/>
    <x v="0"/>
    <d v="2022-07-01T00:00:00"/>
    <s v="Intel Core i7 (13th Gen) 4.9 Ghz, Deca-Core"/>
    <s v="Windows 11"/>
    <x v="10"/>
    <s v="14&quot; (35.56 cm), 2560 x 1600 px Display"/>
    <s v="Web Camera"/>
    <s v="Slim 19.5 mm"/>
    <s v="HDMI Port"/>
    <m/>
    <n v="77"/>
    <x v="2"/>
    <x v="49"/>
    <x v="0"/>
  </r>
  <r>
    <s v="Dell Inspiron 15 3525 (D560760WIN9B) Laptop (AMD Quad Core Ryzen 3/8 GB/512 GB SSD/Windows 11)"/>
    <s v="Dell Inspiron 15 3525 (D560760WIN9B) Laptop (AMD Quad Core Ryzen 3/8 GB/512 GB SSD/Windows 11) price in India"/>
    <x v="751"/>
    <n v="176"/>
    <n v="76"/>
    <x v="0"/>
    <d v="2022-06-01T00:00:00"/>
    <s v="Intel Core i7 (13th Gen) 4.9 Ghz, Deca-Core"/>
    <s v="Windows 11"/>
    <x v="5"/>
    <s v="15.6&quot; (39.62 cm), 1920 x 1080 px, IPS LCD Display"/>
    <s v="Web Camera"/>
    <s v="Slim 17 mm"/>
    <s v="HDMI Port"/>
    <m/>
    <m/>
    <x v="6"/>
    <x v="49"/>
    <x v="2"/>
  </r>
  <r>
    <s v="Lenovo IdeaPad Slim 3 14AMN8 (82XN006JIN) Laptop (AMD Quad Core Ryzen 3/8 GB/512 GB SSD/Windows 11)"/>
    <s v="Lenovo IdeaPad Slim 3 14AMN8 (82XN006JIN) Laptop (AMD Quad Core Ryzen 3/8 GB/512 GB SSD/Windows 11) price in India"/>
    <x v="317"/>
    <n v="19"/>
    <n v="74"/>
    <x v="0"/>
    <d v="2024-12-01T00:00:00"/>
    <s v="Intel Core i7 (13th Gen) 4.9 Ghz, Deca-Core"/>
    <s v="Windows 11"/>
    <x v="20"/>
    <s v="14&quot; (35.56 cm), 1920 x 1080 px, TN LCD Display"/>
    <s v="Web Camera"/>
    <s v="Slim 17.9 mm"/>
    <s v="HDMI Port"/>
    <m/>
    <n v="74"/>
    <x v="5"/>
    <x v="49"/>
    <x v="2"/>
  </r>
  <r>
    <s v="HP 255 G10 (B15J0PT) Laptop (AMD Quad Core Ryzen 5/8 GB/512 GB SSD/DOS)"/>
    <s v="HP 255 G10 (B15J0PT) Laptop (AMD Quad Core Ryzen 5/8 GB/512 GB SSD/DOS) price in India"/>
    <x v="752"/>
    <n v="89"/>
    <n v="74"/>
    <x v="0"/>
    <d v="2024-10-01T00:00:00"/>
    <s v="Intel Core i7 (13th Gen) 4.9 Ghz, Deca-Core"/>
    <s v="DOS"/>
    <x v="5"/>
    <s v="15.6&quot; (39.62 cm), 1366 x 768 px, IPS LCD Display"/>
    <s v="Web Camera"/>
    <s v="Slim 18.6 mm"/>
    <s v="HDMI Port"/>
    <m/>
    <n v="75"/>
    <x v="7"/>
    <x v="49"/>
    <x v="2"/>
  </r>
  <r>
    <s v="Lenovo IdeaPad Slim 3 15IRH8 (83EM00H0IN) Laptop (Core i5 13th Gen/16 GB/512 GB SSD/Windows 11)"/>
    <s v="Lenovo IdeaPad Slim 3 15IRH8 (83EM00H0IN) Laptop (Core i5 13th Gen/16 GB/512 GB SSD/Windows 11) price in India"/>
    <x v="753"/>
    <n v="13"/>
    <n v="74"/>
    <x v="0"/>
    <d v="2024-12-01T00:00:00"/>
    <s v="Intel Core i7 (13th Gen) 4.9 Ghz, Deca-Core"/>
    <s v="Windows 11"/>
    <x v="17"/>
    <s v="15.6&quot; (39.62 cm), 1920 x 1080 px, IPS LCD Display"/>
    <s v="Web Camera"/>
    <s v="Slim 17.9 mm"/>
    <s v="HDMI Port"/>
    <m/>
    <n v="81"/>
    <x v="5"/>
    <x v="49"/>
    <x v="0"/>
  </r>
  <r>
    <s v="Asus ROG Flow Z13 GZ302EA-RU420WS Laptop (AMD Dodeca Core Ryzen AI Max/32 GB/1 TB SSD/Windows 11)"/>
    <s v="Asus ROG Flow Z13 GZ302EA-RU420WS Laptop (AMD Dodeca Core Ryzen AI Max/32 GB/1 TB SSD/Windows 11) price in India"/>
    <x v="754"/>
    <n v="3"/>
    <n v="74"/>
    <x v="0"/>
    <d v="2025-05-01T00:00:00"/>
    <s v="Intel Core i7 (13th Gen) 4.9 Ghz, Deca-Core"/>
    <s v="Windows 11"/>
    <x v="7"/>
    <s v="13.4&quot; (34.04 cm), 2560 x 1600 px, IPS LCD Display"/>
    <s v="Web Camera"/>
    <s v="Slim 14.9 mm"/>
    <s v="HDMI Port"/>
    <m/>
    <n v="86"/>
    <x v="2"/>
    <x v="49"/>
    <x v="3"/>
  </r>
  <r>
    <s v="HP OmniBook 5 16-AG1037AU (BP0J7PA) Laptop (AMD Hexa Core Ryzen AI 5/16 GB/512 GB SSD/Windows 11)"/>
    <s v="HP OmniBook 5 16-AG1037AU (BP0J7PA) Laptop (AMD Hexa Core Ryzen AI 5/16 GB/512 GB SSD/Windows 11) price in India"/>
    <x v="755"/>
    <n v="3"/>
    <n v="74"/>
    <x v="0"/>
    <d v="2025-04-01T00:00:00"/>
    <s v="Intel Core i7 (13th Gen) 4.9 Ghz, Deca-Core"/>
    <s v="Windows 11"/>
    <x v="8"/>
    <s v="16&quot; (40.64 cm), 1920 x 1080 px Display"/>
    <s v="Web Camera"/>
    <s v="Slim 17.9 mm"/>
    <s v="HDMI Port"/>
    <m/>
    <n v="76"/>
    <x v="7"/>
    <x v="49"/>
    <x v="0"/>
  </r>
  <r>
    <s v="Asus TUF Gaming A14 FA401UU-RG033WS Laptop (AMD Octa Core Ryzen 7/16 GB/1 TB SSD/Windows 11/6 GB)"/>
    <s v="Asus TUF Gaming A14 FA401UU-RG033WS Laptop (AMD Octa Core Ryzen 7/16 GB/1 TB SSD/Windows 11/6 GB) price in India"/>
    <x v="756"/>
    <n v="3"/>
    <n v="74"/>
    <x v="0"/>
    <d v="2024-07-01T00:00:00"/>
    <s v="Intel Core i7 (13th Gen) 4.9 Ghz, Deca-Core"/>
    <s v="Windows 11"/>
    <x v="3"/>
    <s v="14&quot; (35.56 cm), 2560 x 1600 px, IPS LCD Display"/>
    <s v="Web Camera"/>
    <s v="Slim 19.9 mm"/>
    <s v="HDMI Port"/>
    <m/>
    <m/>
    <x v="2"/>
    <x v="49"/>
    <x v="0"/>
  </r>
  <r>
    <s v="Dell Inspiron 15 3567 (A561222SIN9) Laptop (Core i3 6th Gen/4 GB/1 TB/Windows 10)"/>
    <s v="Dell Inspiron 15 3567 (A561222SIN9) Laptop (Core i3 6th Gen/4 GB/1 TB/Windows 10) price in India"/>
    <x v="348"/>
    <n v="515"/>
    <n v="74"/>
    <x v="0"/>
    <m/>
    <s v="Intel Core i7 (13th Gen) 4.9 Ghz, Deca-Core"/>
    <s v="Windows 10"/>
    <x v="49"/>
    <s v="15.6&quot; (39.62 cm), 1366 x 768 px, LED Display"/>
    <s v="Web Camera"/>
    <m/>
    <s v="HDMI Port"/>
    <s v="4 USB Ports"/>
    <m/>
    <x v="6"/>
    <x v="49"/>
    <x v="7"/>
  </r>
  <r>
    <s v="Acer Aspire 5 A515-51 (UN.GSZSI.005) Laptop (Core i5 8th Gen/4 GB/1 TB/Windows 10)"/>
    <s v="Acer Aspire 5 A515-51 (UN.GSZSI.005) Laptop (Core i5 8th Gen/4 GB/1 TB/Windows 10) price in India"/>
    <x v="348"/>
    <n v="208"/>
    <n v="74"/>
    <x v="0"/>
    <m/>
    <s v="Intel Core i7 (13th Gen) 4.9 Ghz, Deca-Core"/>
    <s v="Windows 10"/>
    <x v="49"/>
    <s v="15.6&quot; (39.62 cm), 1366 x 768 px, LED Display"/>
    <s v="Web Camera"/>
    <s v="Slim 20.9 mm"/>
    <s v="HDMI Port"/>
    <s v="3 USB Ports"/>
    <m/>
    <x v="1"/>
    <x v="49"/>
    <x v="7"/>
  </r>
  <r>
    <s v="HP 245 G9 (8M397PA) Laptop (AMD Hexa Core Ryzen 5/8 GB/512 GB SSD/DOS)"/>
    <s v="HP 245 G9 (8M397PA) Laptop (AMD Hexa Core Ryzen 5/8 GB/512 GB SSD/DOS) price in India"/>
    <x v="133"/>
    <n v="36"/>
    <n v="74"/>
    <x v="0"/>
    <d v="2024-08-01T00:00:00"/>
    <s v="Intel Core i7 (13th Gen) 4.9 Ghz, Deca-Core"/>
    <s v="DOS"/>
    <x v="5"/>
    <s v="14&quot; (35.56 cm), 1366 x 768 px, IPS LCD Display"/>
    <s v="Web Camera"/>
    <s v="Slim 19.9 mm"/>
    <s v="HDMI Port"/>
    <m/>
    <n v="74"/>
    <x v="7"/>
    <x v="49"/>
    <x v="2"/>
  </r>
  <r>
    <s v="HP 245 G10 (B0WM2PT) Laptop (AMD Quad Core Ryzen 5/8 GB/512 GB SSD/Windows 11)"/>
    <s v="HP 245 G10 (B0WM2PT) Laptop (AMD Quad Core Ryzen 5/8 GB/512 GB SSD/Windows 11) price in India"/>
    <x v="356"/>
    <n v="6"/>
    <n v="74"/>
    <x v="0"/>
    <d v="2024-11-01T00:00:00"/>
    <s v="Intel Core i7 (13th Gen) 4.9 Ghz, Deca-Core"/>
    <s v="Windows 11"/>
    <x v="59"/>
    <s v="14&quot; (35.56 cm), x px Display"/>
    <s v="Web Camera"/>
    <m/>
    <s v="HDMI Port"/>
    <m/>
    <m/>
    <x v="7"/>
    <x v="49"/>
    <x v="2"/>
  </r>
  <r>
    <s v="MSI Modern 14 C12MO-1211IN Laptop (Core i7 13th Gen/16 GB/512 GB SSD/Windows 11)"/>
    <s v="MSI Modern 14 C12MO-1211IN Laptop (Core i7 13th Gen/16 GB/512 GB SSD/Windows 11) price in India"/>
    <x v="757"/>
    <n v="3"/>
    <n v="74"/>
    <x v="0"/>
    <d v="2024-07-01T00:00:00"/>
    <s v="Intel Core i7 (13th Gen) 4.9 Ghz, Deca-Core"/>
    <s v="Windows 11"/>
    <x v="6"/>
    <s v="14&quot; (35.56 cm), 1920 x 1080 px, IPS LCD Display"/>
    <s v="Web Camera"/>
    <m/>
    <s v="HDMI Port"/>
    <m/>
    <n v="80"/>
    <x v="3"/>
    <x v="49"/>
    <x v="0"/>
  </r>
  <r>
    <s v="HP Omen 16-wf0055TX (834T9PA) Laptop (Core i7 13th Gen/16 GB/512 GB SSD/Windows 11/8 GB)"/>
    <s v="HP Omen 16-wf0055TX (834T9PA) Laptop (Core i7 13th Gen/16 GB/512 GB SSD/Windows 11/8 GB) price in India"/>
    <x v="758"/>
    <n v="3"/>
    <n v="74"/>
    <x v="0"/>
    <d v="2023-07-01T00:00:00"/>
    <s v="Intel Core i7 (13th Gen) 4.9 Ghz, Deca-Core"/>
    <s v="Windows 11"/>
    <x v="6"/>
    <s v="16.1&quot; (40.89 cm), 1920 x 1080 px, IPS LCD Display"/>
    <s v="Web Camera"/>
    <m/>
    <s v="HDMI Port"/>
    <m/>
    <m/>
    <x v="7"/>
    <x v="49"/>
    <x v="0"/>
  </r>
  <r>
    <s v="Acer Predator Triton 700 PT715-51 (NH.Q2KSI.002) Laptop (Core i7 7th Gen/16 GB/1 TB SSD/Windows 10/6 GB)"/>
    <s v="Acer Predator Triton 700 PT715-51 (NH.Q2KSI.002) Laptop (Core i7 7th Gen/16 GB/1 TB SSD/Windows 10/6 GB) price in India"/>
    <x v="9"/>
    <n v="115"/>
    <n v="74"/>
    <x v="0"/>
    <d v="2019-12-01T00:00:00"/>
    <s v="Intel Core i7 (13th Gen) 4.9 Ghz, Deca-Core"/>
    <s v="Windows 10"/>
    <x v="23"/>
    <s v="15.6&quot; (39.62 cm), 1920 x 1080 px, LED Display"/>
    <s v="Web Camera"/>
    <s v="Slim 18.9 mm"/>
    <s v="HDMI Port"/>
    <s v="4 USB Ports"/>
    <m/>
    <x v="1"/>
    <x v="49"/>
    <x v="0"/>
  </r>
  <r>
    <s v="Lenovo IdeaPad Slim 5 16IRL8 (82XF003HIN) Laptop (Core i7 13th Gen/16 GB/512 GB SSD/Windows 11)"/>
    <s v="Lenovo IdeaPad Slim 5 16IRL8 (82XF003HIN) Laptop (Core i7 13th Gen/16 GB/512 GB SSD/Windows 11) price in India"/>
    <x v="759"/>
    <n v="44"/>
    <n v="74"/>
    <x v="0"/>
    <d v="2024-11-01T00:00:00"/>
    <s v="Intel Core i7 (13th Gen) 4.9 Ghz, Deca-Core"/>
    <s v="Windows 11"/>
    <x v="17"/>
    <s v="16&quot; (40.64 cm), 1920 x 1200 px, IPS LCD Display"/>
    <s v="Web Camera"/>
    <s v="Slim 16.9 mm"/>
    <s v="HDMI Port"/>
    <m/>
    <n v="85"/>
    <x v="5"/>
    <x v="49"/>
    <x v="0"/>
  </r>
  <r>
    <s v="Dell Vostro 3520 (VN3520VMN67001SDB1) Laptop (Core i3 12th Gen/8 GB/512 GB SSD/Windows 11)"/>
    <s v="Dell Vostro 3520 (VN3520VMN67001SDB1) Laptop (Core i3 12th Gen/8 GB/512 GB SSD/Windows 11) price in India"/>
    <x v="356"/>
    <n v="891"/>
    <n v="74"/>
    <x v="0"/>
    <d v="2024-06-01T00:00:00"/>
    <s v="Intel Core i7 (13th Gen) 4.9 Ghz, Deca-Core"/>
    <s v="Windows 11"/>
    <x v="5"/>
    <s v="15.6&quot; (39.62 cm), 1920 x 1080 px, IPS LCD Display"/>
    <s v="Web Camera"/>
    <m/>
    <s v="HDMI Port"/>
    <m/>
    <n v="76"/>
    <x v="6"/>
    <x v="49"/>
    <x v="2"/>
  </r>
  <r>
    <s v="Lenovo IdeaPad Slim 14IGL7 (82V6009LIN) Laptop (Intel Celeron Dual Core/8 GB/512 GB SSD/Windows 11)"/>
    <s v="Lenovo IdeaPad Slim 14IGL7 (82V6009LIN) Laptop (Intel Celeron Dual Core/8 GB/512 GB SSD/Windows 11) price in India"/>
    <x v="760"/>
    <n v="270"/>
    <n v="74"/>
    <x v="0"/>
    <d v="2024-06-01T00:00:00"/>
    <s v="Intel Core i7 (13th Gen) 5 Ghz"/>
    <s v="Windows 11"/>
    <x v="5"/>
    <s v="14&quot; (35.56 cm), 1920 x 1080 px, IPS LCD Display"/>
    <s v="Web Camera"/>
    <m/>
    <s v="HDMI Port"/>
    <m/>
    <m/>
    <x v="5"/>
    <x v="49"/>
    <x v="2"/>
  </r>
  <r>
    <s v="Dell Alienware m16 R2 (OANM162129001RIN) Laptop (Core Ultra 9/16 GB/1 TB SSD/Windows 11/8 GB)"/>
    <s v="Dell Alienware m16 R2 (OANM162129001RIN) Laptop (Core Ultra 9/16 GB/1 TB SSD/Windows 11/8 GB) price in India"/>
    <x v="761"/>
    <n v="7"/>
    <n v="74"/>
    <x v="0"/>
    <d v="2024-06-01T00:00:00"/>
    <s v="Intel Core i7 (13th Gen) 5 Ghz"/>
    <s v="Windows 11"/>
    <x v="10"/>
    <s v="16&quot; (40.64 cm), 2560 x 1600 px Display"/>
    <s v="Web Camera"/>
    <m/>
    <s v="HDMI Port"/>
    <m/>
    <m/>
    <x v="6"/>
    <x v="49"/>
    <x v="0"/>
  </r>
  <r>
    <s v="Dell Alienware m16 R2 (OANM162126701RIN) Laptop (Core Ultra 7/16 GB/1 TB SSD/Windows 11/6 GB)"/>
    <s v="Dell Alienware m16 R2 (OANM162126701RIN) Laptop (Core Ultra 7/16 GB/1 TB SSD/Windows 11/6 GB) price in India"/>
    <x v="762"/>
    <n v="3"/>
    <n v="74"/>
    <x v="0"/>
    <d v="2024-06-01T00:00:00"/>
    <s v="Intel Core i7 (13th Gen) 5 Ghz"/>
    <s v="Windows 11"/>
    <x v="10"/>
    <s v="16&quot; (40.64 cm), 2560 x 1600 px Display"/>
    <s v="Web Camera"/>
    <m/>
    <s v="HDMI Port"/>
    <m/>
    <m/>
    <x v="6"/>
    <x v="49"/>
    <x v="0"/>
  </r>
  <r>
    <s v="HP Omen 16-xd0015AX (9X649PA) Laptop (AMD Octa Core Ryzen 7/16 GB/1 TB SSD/Windows 11/6 GB)"/>
    <s v="HP Omen 16-xd0015AX (9X649PA) Laptop (AMD Octa Core Ryzen 7/16 GB/1 TB SSD/Windows 11/6 GB) price in India"/>
    <x v="151"/>
    <n v="6"/>
    <n v="74"/>
    <x v="0"/>
    <d v="2024-06-01T00:00:00"/>
    <s v="Intel Core i7 (13th Gen) 5 Ghz"/>
    <s v="Windows 11"/>
    <x v="10"/>
    <s v="16.1&quot; (40.89 cm), x px, IPS LCD Display"/>
    <s v="Web Camera"/>
    <m/>
    <s v="HDMI Port"/>
    <m/>
    <n v="85"/>
    <x v="7"/>
    <x v="49"/>
    <x v="0"/>
  </r>
  <r>
    <s v="Dell Inspiron 14 5430 (IN5430FR0KC001ORS1) Laptop (Core i3 12th Gen/8 GB/512 GB SSD/Windows 11)"/>
    <s v="Dell Inspiron 14 5430 (IN5430FR0KC001ORS1) Laptop (Core i3 12th Gen/8 GB/512 GB SSD/Windows 11) price in India"/>
    <x v="486"/>
    <n v="70"/>
    <n v="74"/>
    <x v="0"/>
    <d v="2024-06-01T00:00:00"/>
    <s v="Intel Core i7 (13th Gen) 5 Ghz"/>
    <s v="Windows 11"/>
    <x v="16"/>
    <s v="14&quot; (35.56 cm), 2220 x 1080 px Display"/>
    <s v="Web Camera"/>
    <s v="Slim 19.5 mm"/>
    <s v="HDMI Port"/>
    <m/>
    <n v="75"/>
    <x v="6"/>
    <x v="49"/>
    <x v="2"/>
  </r>
  <r>
    <s v="Lenovo IdeaPad Slim 3 14M868 (82XJ002RHA) Laptop (MediaTek Octa core/8 GB/128 GB eMMC/Google Chrome)"/>
    <s v="Lenovo IdeaPad Slim 3 14M868 (82XJ002RHA) Laptop (MediaTek Octa core/8 GB/128 GB eMMC/Google Chrome) price in India"/>
    <x v="763"/>
    <n v="168"/>
    <n v="74"/>
    <x v="0"/>
    <d v="2024-03-01T00:00:00"/>
    <s v="Intel Core i7 (13th Gen) 5 Ghz"/>
    <s v="Google Chrome"/>
    <x v="56"/>
    <s v="14&quot; (35.56 cm), 1366 x 768 px, TN LCD Display"/>
    <s v="Web Camera"/>
    <s v="Slim 18.6 mm"/>
    <m/>
    <m/>
    <m/>
    <x v="5"/>
    <x v="49"/>
    <x v="2"/>
  </r>
  <r>
    <s v="HP Omen 16-wf1026TX (9Q9T0PA) Laptop (Core i7 14th Gen/16 GB/1 TB SSD/Windows 11/8 GB)"/>
    <s v="HP Omen 16-wf1026TX (9Q9T0PA) Laptop (Core i7 14th Gen/16 GB/1 TB SSD/Windows 11/8 GB) price in India"/>
    <x v="764"/>
    <n v="7"/>
    <n v="74"/>
    <x v="0"/>
    <d v="2024-01-01T00:00:00"/>
    <s v="Intel Core i7 (13th Gen) 5 Ghz"/>
    <s v="Windows 11"/>
    <x v="10"/>
    <s v="16.1&quot; (40.89 cm), 1920 x 1080 px, IPS LCD Display"/>
    <s v="Web Camera"/>
    <m/>
    <s v="HDMI Port"/>
    <m/>
    <m/>
    <x v="7"/>
    <x v="49"/>
    <x v="0"/>
  </r>
  <r>
    <s v="Asus Chromebook 14 CX1400CKA-EK0266 Laptop (Intel Celeron Dual Core/8 GB/128 GB eMMC/Google Chrome)"/>
    <s v="Asus Chromebook 14 CX1400CKA-EK0266 Laptop (Intel Celeron Dual Core/8 GB/128 GB eMMC/Google Chrome) price in India"/>
    <x v="765"/>
    <n v="179"/>
    <n v="74"/>
    <x v="0"/>
    <d v="2023-10-01T00:00:00"/>
    <s v="Intel Core i7 (13th Gen) 5 Ghz, Deca-Core"/>
    <s v="Google Chrome"/>
    <x v="56"/>
    <s v="14&quot; (35.56 cm), 1920 x 1080 px, IPS LCD Display"/>
    <s v="Web Camera"/>
    <s v="Slim 18.7 mm"/>
    <m/>
    <m/>
    <m/>
    <x v="2"/>
    <x v="49"/>
    <x v="2"/>
  </r>
  <r>
    <s v="HP 15s-fq3066TU (7W475PA) Laptop (Intel Celeron Dual Core/8 GB/512 GB SSD/Windows 11)"/>
    <s v="HP 15s-fq3066TU (7W475PA) Laptop (Intel Celeron Dual Core/8 GB/512 GB SSD/Windows 11) price in India"/>
    <x v="526"/>
    <n v="988"/>
    <n v="74"/>
    <x v="0"/>
    <d v="2023-09-01T00:00:00"/>
    <s v="Intel Core i7 (13th Gen) 5 Ghz, Deca-Core"/>
    <s v="Windows 11"/>
    <x v="5"/>
    <s v="15.6&quot; (39.62 cm), 1366 x 768 px Display"/>
    <s v="Web Camera"/>
    <s v="Slim 17.9 mm"/>
    <s v="HDMI Port"/>
    <m/>
    <m/>
    <x v="7"/>
    <x v="49"/>
    <x v="2"/>
  </r>
  <r>
    <s v="Asus Chromebook CX1400FKA-EC0158 Laptop (Intel Celeron Dual Core/4 GB/64 GB eMMC/Google Chrome)"/>
    <s v="Asus Chromebook CX1400FKA-EC0158 Laptop (Intel Celeron Dual Core/4 GB/64 GB eMMC/Google Chrome) price in India"/>
    <x v="766"/>
    <n v="49"/>
    <n v="74"/>
    <x v="0"/>
    <d v="2023-09-01T00:00:00"/>
    <s v="Intel Core i7 (13th Gen) 5 Ghz, Deca-Core"/>
    <s v="Google Chrome"/>
    <x v="63"/>
    <s v="14&quot; (35.56 cm), 1920 x 1080 px Display"/>
    <s v="Web Camera"/>
    <s v="Slim 18.6 mm"/>
    <m/>
    <m/>
    <m/>
    <x v="2"/>
    <x v="49"/>
    <x v="7"/>
  </r>
  <r>
    <s v="Asus Chromebook CX1400CKA-EK0335 Laptop (Intel Celeron Dual Core/4 GB/128 GB eMMC/Google Chrome)"/>
    <s v="Asus Chromebook CX1400CKA-EK0335 Laptop (Intel Celeron Dual Core/4 GB/128 GB eMMC/Google Chrome) price in India"/>
    <x v="767"/>
    <n v="202"/>
    <n v="74"/>
    <x v="0"/>
    <d v="2023-09-01T00:00:00"/>
    <s v="Intel Core i7 (13th Gen) 5 Ghz, Deca-Core"/>
    <s v="Google Chrome"/>
    <x v="63"/>
    <s v="14&quot; (35.56 cm), 1920 x 1080 px Display"/>
    <s v="Web Camera"/>
    <s v="Slim 18.7 mm"/>
    <m/>
    <m/>
    <m/>
    <x v="2"/>
    <x v="49"/>
    <x v="7"/>
  </r>
  <r>
    <s v="Lenovo Yoga 7 14IRL8 (82YL0099IN) Laptop (Core i7 13th Gen/16 GB/1 TB SSD/Windows 11)"/>
    <s v="Lenovo Yoga 7 14IRL8 (82YL0099IN) Laptop (Core i7 13th Gen/16 GB/1 TB SSD/Windows 11) price in India"/>
    <x v="768"/>
    <n v="19"/>
    <n v="74"/>
    <x v="0"/>
    <d v="2023-08-01T00:00:00"/>
    <s v="Intel Core i7 (13th Gen) 5 Ghz, Deca-Core"/>
    <s v="Windows 11"/>
    <x v="21"/>
    <s v="14&quot; (35.56 cm), 1920 x 1080 px, OLED Display"/>
    <s v="Web Camera"/>
    <m/>
    <s v="HDMI Port"/>
    <m/>
    <n v="77"/>
    <x v="5"/>
    <x v="49"/>
    <x v="0"/>
  </r>
  <r>
    <s v="Dell Inspiron 14 5430 (IN5430JNH1P001ORS1) Laptop (Core i5 13th Gen/16 GB/1 TB SSD/Windows 11)"/>
    <s v="Dell Inspiron 14 5430 (IN5430JNH1P001ORS1) Laptop (Core i5 13th Gen/16 GB/1 TB SSD/Windows 11) price in India"/>
    <x v="769"/>
    <n v="70"/>
    <n v="74"/>
    <x v="0"/>
    <d v="2023-08-01T00:00:00"/>
    <s v="Intel Core i7 (13th Gen) 5 Ghz, Deca-Core"/>
    <s v="Windows 11"/>
    <x v="21"/>
    <s v="14&quot; (35.56 cm), 1920 x 1200 px Display"/>
    <s v="Web Camera"/>
    <s v="Slim 18.7 mm"/>
    <s v="HDMI Port"/>
    <m/>
    <n v="76"/>
    <x v="6"/>
    <x v="49"/>
    <x v="0"/>
  </r>
  <r>
    <s v="Asus VivoBook 15 X1502ZA-EJ532WS Laptop (Core i5 12th Gen/8 GB/512 GB SSD/Windows 11)"/>
    <s v="Asus VivoBook 15 X1502ZA-EJ532WS Laptop (Core i5 12th Gen/8 GB/512 GB SSD/Windows 11) price in India"/>
    <x v="180"/>
    <n v="6"/>
    <n v="74"/>
    <x v="0"/>
    <d v="2023-07-01T00:00:00"/>
    <s v="Intel Core i7 (13th Gen) 5.0 Ghz"/>
    <s v="Windows 11"/>
    <x v="5"/>
    <s v="15.6&quot; (39.62 cm), 1920 x 1080 px Display"/>
    <s v="Web Camera"/>
    <s v="Slim 19.9 mm"/>
    <s v="HDMI Port"/>
    <m/>
    <n v="74"/>
    <x v="2"/>
    <x v="39"/>
    <x v="2"/>
  </r>
  <r>
    <s v="Dell Inspiron 14 5430 (IN54308TR2G001ORS1) Laptop (Core i5 13th Gen/16 GB/512 GB SSD/Windows 11)"/>
    <s v="Dell Inspiron 14 5430 (IN54308TR2G001ORS1) Laptop (Core i5 13th Gen/16 GB/512 GB SSD/Windows 11) price in India"/>
    <x v="256"/>
    <n v="70"/>
    <n v="74"/>
    <x v="0"/>
    <d v="2023-06-01T00:00:00"/>
    <s v="Intel Core i7 (13th Gen) 5.0 Ghz"/>
    <s v="Windows 11"/>
    <x v="17"/>
    <s v="14&quot; (35.56 cm), 1920 x 1200 px Display"/>
    <s v="Web Camera"/>
    <s v="Slim 18.7 mm"/>
    <s v="HDMI Port"/>
    <m/>
    <n v="76"/>
    <x v="6"/>
    <x v="49"/>
    <x v="0"/>
  </r>
  <r>
    <s v="HP Pavilion 14-ep0068TU (80D23PA) Laptop (Core i3 12th Gen/8 GB/512 GB SSD/Windows 11)"/>
    <s v="HP Pavilion 14-ep0068TU (80D23PA) Laptop (Core i3 12th Gen/8 GB/512 GB SSD/Windows 11) price in India"/>
    <x v="180"/>
    <n v="55"/>
    <n v="74"/>
    <x v="0"/>
    <d v="2023-04-01T00:00:00"/>
    <s v="Intel Core i7 (13th Gen) 5.0 Ghz"/>
    <s v="Windows 11"/>
    <x v="5"/>
    <s v="14&quot; (35.56 cm), 1920 x 1080 px, IPS LCD Display"/>
    <s v="Web Camera"/>
    <s v="Slim 17 mm"/>
    <s v="HDMI Port"/>
    <m/>
    <n v="74"/>
    <x v="7"/>
    <x v="49"/>
    <x v="2"/>
  </r>
  <r>
    <s v="MSI Stealth 17 Studio A13VH-055IN Laptop (Core i9 13th Gen/64 GB/2 TB SSD/Windows 11/12 GB)"/>
    <s v="MSI Stealth 17 Studio A13VH-055IN Laptop (Core i9 13th Gen/64 GB/2 TB SSD/Windows 11/12 GB) price in India"/>
    <x v="770"/>
    <n v="3"/>
    <n v="74"/>
    <x v="0"/>
    <d v="2023-02-01T00:00:00"/>
    <s v="Intel Core i7 (13th Gen) 5.0 Ghz"/>
    <s v="Windows 11"/>
    <x v="60"/>
    <s v="17.3&quot; (43.94 cm), 3840 x 2160 px, IPS LCD Display"/>
    <s v="Web Camera"/>
    <s v="Slim 21 mm"/>
    <s v="HDMI Port"/>
    <m/>
    <m/>
    <x v="3"/>
    <x v="49"/>
    <x v="9"/>
  </r>
  <r>
    <s v="MSI Pulse 17 B13VGK-252IN Laptop (Core i7 13th Gen/16 GB/1 TB SSD/Windows 11/8 GB)"/>
    <s v="MSI Pulse 17 B13VGK-252IN Laptop (Core i7 13th Gen/16 GB/1 TB SSD/Windows 11/8 GB) price in India"/>
    <x v="771"/>
    <n v="15"/>
    <n v="74"/>
    <x v="0"/>
    <d v="2023-02-01T00:00:00"/>
    <s v="Intel Core i7 (13th Gen) 5.0 Ghz"/>
    <s v="Windows 11"/>
    <x v="10"/>
    <s v="17.3&quot; (43.94 cm), 1920 x 1080 px Display"/>
    <s v="Web Camera"/>
    <m/>
    <s v="HDMI Port"/>
    <m/>
    <m/>
    <x v="3"/>
    <x v="49"/>
    <x v="0"/>
  </r>
  <r>
    <s v="MSI Stealth 16 Studio A13VF-023IN Laptop (Core i7 13th Gen/32 GB/1 TB SSD/Windows 11/8 GB)"/>
    <s v="MSI Stealth 16 Studio A13VF-023IN Laptop (Core i7 13th Gen/32 GB/1 TB SSD/Windows 11/8 GB) price in India"/>
    <x v="772"/>
    <n v="3"/>
    <n v="74"/>
    <x v="0"/>
    <d v="2023-02-01T00:00:00"/>
    <s v="Intel Core i7 (13th Gen) 5.0 Ghz"/>
    <s v="Windows 11"/>
    <x v="19"/>
    <s v="16&quot; (40.64 cm), 2560 x 1600 px, IPS LCD Display"/>
    <s v="Web Camera"/>
    <s v="Slim 19.9 mm"/>
    <s v="HDMI Port"/>
    <m/>
    <m/>
    <x v="3"/>
    <x v="49"/>
    <x v="3"/>
  </r>
  <r>
    <s v="MSI GF63 Thin 12VE-080IN Laptop (Core i5 12th Gen/8 GB/512 GB SSD/Windows 11/6 GB)"/>
    <s v="MSI GF63 Thin 12VE-080IN Laptop (Core i5 12th Gen/8 GB/512 GB SSD/Windows 11/6 GB) price in India"/>
    <x v="773"/>
    <n v="3"/>
    <n v="74"/>
    <x v="0"/>
    <d v="2023-02-01T00:00:00"/>
    <s v="Intel Core i7 (13th Gen) 5.0 Ghz"/>
    <s v="Windows 11"/>
    <x v="5"/>
    <s v="15.6&quot; (39.62 cm), 1920 x 1080 px, IPS LCD Display"/>
    <s v="Web Camera"/>
    <m/>
    <s v="HDMI Port"/>
    <m/>
    <n v="82"/>
    <x v="3"/>
    <x v="49"/>
    <x v="2"/>
  </r>
  <r>
    <s v="Samsung Galaxy Book 3 360 NP730QFG-KA2IN Laptop (Core i7 13th Gen/16 GB/512 GB SSD/Windows 11)"/>
    <s v="Samsung Galaxy Book 3 360 NP730QFG-KA2IN Laptop (Core i7 13th Gen/16 GB/512 GB SSD/Windows 11) price in India"/>
    <x v="774"/>
    <n v="48"/>
    <n v="74"/>
    <x v="0"/>
    <d v="2023-02-01T00:00:00"/>
    <s v="Intel Core i7 (13th Gen) 5.0 Ghz"/>
    <s v="Windows 11"/>
    <x v="28"/>
    <s v="13.3&quot; (33.78 cm), 2880 x 1800 px, AMOLED Display"/>
    <s v="Web Camera"/>
    <s v="Slim 13 mm"/>
    <s v="HDMI Port"/>
    <m/>
    <n v="75"/>
    <x v="8"/>
    <x v="49"/>
    <x v="0"/>
  </r>
  <r>
    <s v="Samsung Galaxy Book 3 Pro Intel Evo NP940XFG-KC5IN Laptop (Core i7 13th Gen/16 GB/1 TB SSD/Windows 11)"/>
    <s v="Samsung Galaxy Book 3 Pro Intel Evo NP940XFG-KC5IN Laptop (Core i7 13th Gen/16 GB/1 TB SSD/Windows 11) price in India"/>
    <x v="775"/>
    <n v="18"/>
    <n v="74"/>
    <x v="0"/>
    <d v="2023-02-01T00:00:00"/>
    <s v="Intel Core i7 (13th Gen) 5.0 Ghz"/>
    <s v="Windows 11"/>
    <x v="33"/>
    <s v="14&quot; (35.56 cm), 2880 x 1800 px, AMOLED Display"/>
    <s v="Web Camera"/>
    <s v="Slim 11.1 mm"/>
    <s v="HDMI Port"/>
    <m/>
    <n v="78"/>
    <x v="8"/>
    <x v="49"/>
    <x v="0"/>
  </r>
  <r>
    <s v="Samsung Galaxy Book 3 360 NP750QFG-KA3IN Laptop (Core i7 13th Gen/16 GB/1 TB SSD/Windows 11)"/>
    <s v="Samsung Galaxy Book 3 360 NP750QFG-KA3IN Laptop (Core i7 13th Gen/16 GB/1 TB SSD/Windows 11) price in India"/>
    <x v="776"/>
    <n v="48"/>
    <n v="74"/>
    <x v="0"/>
    <d v="2023-02-01T00:00:00"/>
    <s v="Intel Core i7 (13th Gen) 5.0 Ghz"/>
    <s v="Windows 11"/>
    <x v="33"/>
    <s v="15.6&quot; (39.62 cm), 2880 x 1800 px, AMOLED Display"/>
    <s v="Web Camera"/>
    <s v="Slim 14 mm"/>
    <s v="HDMI Port"/>
    <m/>
    <n v="77"/>
    <x v="8"/>
    <x v="49"/>
    <x v="0"/>
  </r>
  <r>
    <s v="Samsung Galaxy Book 3 360 NP750QFG-KA1IN Laptop (Core i7 13th Gen/16 GB/512 GB SSD/Windows 11)"/>
    <s v="Samsung Galaxy Book 3 360 NP750QFG-KA1IN Laptop (Core i7 13th Gen/16 GB/512 GB SSD/Windows 11) price in India"/>
    <x v="48"/>
    <n v="48"/>
    <n v="74"/>
    <x v="0"/>
    <d v="2023-02-01T00:00:00"/>
    <s v="Intel Core i7 (13th Gen) 5.0 Ghz"/>
    <s v="Windows 11"/>
    <x v="28"/>
    <s v="15.6&quot; (39.62 cm), 2880 x 1800 px, AMOLED Display"/>
    <s v="Web Camera"/>
    <s v="Slim 14 mm"/>
    <s v="HDMI Port"/>
    <m/>
    <n v="76"/>
    <x v="8"/>
    <x v="49"/>
    <x v="0"/>
  </r>
  <r>
    <s v="Samsung Galaxy Book 3 Pro NP960XFG-KC1IN Laptop (Core i7 13th Gen/16 GB/512 GB SSD/Windows 11)"/>
    <s v="Samsung Galaxy Book 3 Pro NP960XFG-KC1IN Laptop (Core i7 13th Gen/16 GB/512 GB SSD/Windows 11) price in India"/>
    <x v="535"/>
    <n v="18"/>
    <n v="74"/>
    <x v="0"/>
    <d v="2023-02-01T00:00:00"/>
    <s v="Intel Core i7 (13th Gen) 5.0 Ghz"/>
    <s v="Windows 11"/>
    <x v="28"/>
    <s v="16&quot; (40.64 cm), 2880 x 1800 px, AMOLED Display"/>
    <s v="Web Camera"/>
    <m/>
    <m/>
    <m/>
    <m/>
    <x v="8"/>
    <x v="49"/>
    <x v="0"/>
  </r>
  <r>
    <s v="Samsung Galaxy Book 3 360 NP730QFG-KA1IN Laptop (Core i5 13th Gen/16 GB/512 GB SSD/Windows 11)"/>
    <s v="Samsung Galaxy Book 3 360 NP730QFG-KA1IN Laptop (Core i5 13th Gen/16 GB/512 GB SSD/Windows 11) price in India"/>
    <x v="99"/>
    <n v="48"/>
    <n v="74"/>
    <x v="0"/>
    <d v="2023-02-01T00:00:00"/>
    <s v="Intel Core i7 (13th Gen) 5.0 Ghz"/>
    <s v="Windows 11"/>
    <x v="28"/>
    <s v="13.3&quot; (33.78 cm), 2880 x 1800 px, AMOLED Display"/>
    <s v="Web Camera"/>
    <s v="Slim 13 mm"/>
    <s v="HDMI Port"/>
    <m/>
    <n v="74"/>
    <x v="8"/>
    <x v="49"/>
    <x v="0"/>
  </r>
  <r>
    <s v="Samsung Galaxy Book 3 360 NP750QFG-KA2IN Laptop (Core i5 13th Gen/16 GB/512 GB SSD/Windows 11)"/>
    <s v="Samsung Galaxy Book 3 360 NP750QFG-KA2IN Laptop (Core i5 13th Gen/16 GB/512 GB SSD/Windows 11) price in India"/>
    <x v="199"/>
    <n v="48"/>
    <n v="74"/>
    <x v="0"/>
    <d v="2023-02-01T00:00:00"/>
    <s v="Intel Core i7 (13th Gen) 5.0 Ghz"/>
    <s v="Windows 11"/>
    <x v="28"/>
    <s v="15.6&quot; (39.62 cm), 2880 x 1800 px, AMOLED Display"/>
    <s v="Web Camera"/>
    <s v="Slim 14 mm"/>
    <s v="HDMI Port"/>
    <m/>
    <n v="75"/>
    <x v="8"/>
    <x v="49"/>
    <x v="0"/>
  </r>
  <r>
    <s v="Samsung Galaxy Book 3 360 NP730QFG-KA3IN Laptop (Core i7 13th Gen/16 GB/1 TB SSD/Windows 11)"/>
    <s v="Samsung Galaxy Book 3 360 NP730QFG-KA3IN Laptop (Core i7 13th Gen/16 GB/1 TB SSD/Windows 11) price in India"/>
    <x v="777"/>
    <n v="48"/>
    <n v="74"/>
    <x v="0"/>
    <d v="2023-02-01T00:00:00"/>
    <s v="Intel Core i7 (13th Gen) 5.0 Ghz"/>
    <s v="Windows 11"/>
    <x v="36"/>
    <s v="13.3&quot; (33.78 cm), 2880 x 1800 px, AMOLED Display"/>
    <s v="Web Camera"/>
    <s v="Slim 13 mm"/>
    <s v="HDMI Port"/>
    <m/>
    <n v="77"/>
    <x v="8"/>
    <x v="49"/>
    <x v="0"/>
  </r>
  <r>
    <s v="Samsung Galaxy Book 3 Pro NP940XFG-KC4IN Laptop (Core i7 13th Gen/16 GB/512 GB SSD/Windows 11)"/>
    <s v="Samsung Galaxy Book 3 Pro NP940XFG-KC4IN Laptop (Core i7 13th Gen/16 GB/512 GB SSD/Windows 11) price in India"/>
    <x v="778"/>
    <n v="18"/>
    <n v="74"/>
    <x v="0"/>
    <d v="2023-02-01T00:00:00"/>
    <s v="Intel Core i7 (13th Gen) 5.0 Ghz"/>
    <s v="Windows 11"/>
    <x v="28"/>
    <s v="14&quot; (35.56 cm), 2880 x 1800 px, AMOLED Display"/>
    <s v="Web Camera"/>
    <s v="Slim 11 mm"/>
    <s v="HDMI Port"/>
    <m/>
    <n v="77"/>
    <x v="8"/>
    <x v="49"/>
    <x v="0"/>
  </r>
  <r>
    <s v="Samsung Galaxy Book 3 Pro NP960XFG-KC2IN Laptop (Core i7 13th Gen/16 GB/1 TB SSD/Windows 11)"/>
    <s v="Samsung Galaxy Book 3 Pro NP960XFG-KC2IN Laptop (Core i7 13th Gen/16 GB/1 TB SSD/Windows 11) price in India"/>
    <x v="617"/>
    <n v="18"/>
    <n v="74"/>
    <x v="0"/>
    <d v="2023-02-01T00:00:00"/>
    <s v="Intel Core i7 (13th Gen) 5.0 Ghz"/>
    <s v="Windows 11"/>
    <x v="33"/>
    <s v="16&quot; (40.64 cm), 2880 x 1800 px, AMOLED Display"/>
    <s v="Web Camera"/>
    <s v="Slim 13 mm"/>
    <s v="HDMI Port"/>
    <m/>
    <n v="77"/>
    <x v="8"/>
    <x v="49"/>
    <x v="0"/>
  </r>
  <r>
    <s v="Samsung Galaxy Book 3 Pro NP940XFG-KC1IN Laptop (Core i5 13th Gen/16 GB/512 GB SSD/Windows 11)"/>
    <s v="Samsung Galaxy Book 3 Pro NP940XFG-KC1IN Laptop (Core i5 13th Gen/16 GB/512 GB SSD/Windows 11) price in India"/>
    <x v="779"/>
    <n v="18"/>
    <n v="74"/>
    <x v="0"/>
    <d v="2023-02-01T00:00:00"/>
    <s v="Intel Core i7 (13th Gen) 5.0 Ghz"/>
    <s v="Windows 11"/>
    <x v="28"/>
    <s v="14&quot; (35.56 cm), 2880 x 1800 px, AMOLED Display"/>
    <s v="Web Camera"/>
    <s v="Slim 11 mm"/>
    <s v="HDMI Port"/>
    <m/>
    <n v="75"/>
    <x v="8"/>
    <x v="49"/>
    <x v="0"/>
  </r>
  <r>
    <s v="Acer Aspire 3 A315-24 (NX.KDESI.004) Laptop (AMD Quad Core Ryzen 5/8 GB/512 GB SSD/Windows 11)"/>
    <s v="Acer Aspire 3 A315-24 (NX.KDESI.004) Laptop (AMD Quad Core Ryzen 5/8 GB/512 GB SSD/Windows 11) price in India"/>
    <x v="147"/>
    <n v="31"/>
    <n v="74"/>
    <x v="0"/>
    <d v="2023-01-01T00:00:00"/>
    <s v="Intel Core i7 (13th Gen) 5.0 Ghz"/>
    <s v="Windows 11"/>
    <x v="20"/>
    <s v="15.6&quot; (39.62 cm), 1920 x 1080 px, IPS LCD Display"/>
    <s v="Web Camera"/>
    <m/>
    <s v="HDMI Port"/>
    <m/>
    <m/>
    <x v="1"/>
    <x v="49"/>
    <x v="2"/>
  </r>
  <r>
    <s v="Lenovo V14 (82C40182IN) Laptop (Core i3 10th Gen/4 GB/1 TB/DOS)"/>
    <s v="Lenovo V14 (82C40182IN) Laptop (Core i3 10th Gen/4 GB/1 TB/DOS) price in India"/>
    <x v="780"/>
    <n v="93"/>
    <n v="74"/>
    <x v="0"/>
    <d v="2022-11-01T00:00:00"/>
    <s v="Intel Core i7 (13th Gen) 5.0 Ghz"/>
    <s v="DOS"/>
    <x v="49"/>
    <s v="14&quot; (35.56 cm), 1366 x 768 px, LED Display"/>
    <s v="Web Camera"/>
    <s v="Slim 19.9 mm"/>
    <s v="HDMI Port"/>
    <s v="3 USB Ports"/>
    <m/>
    <x v="5"/>
    <x v="49"/>
    <x v="7"/>
  </r>
  <r>
    <s v="Lenovo V15 (82KDA012iH) Laptop (AMD Hexa Core Ryzen 5/8 GB/512 GB SSD/Windows 11)"/>
    <s v="Lenovo V15 (82KDA012iH) Laptop (AMD Hexa Core Ryzen 5/8 GB/512 GB SSD/Windows 11) price in India"/>
    <x v="383"/>
    <n v="111"/>
    <n v="74"/>
    <x v="0"/>
    <d v="2022-11-01T00:00:00"/>
    <s v="Intel Core i7 (13th Gen) 5.0 Ghz"/>
    <s v="Windows 11"/>
    <x v="5"/>
    <s v="15.6&quot; (39.62 cm), 1920 x 1080 px Display"/>
    <s v="Web Camera"/>
    <s v="Slim 20 mm"/>
    <s v="HDMI Port"/>
    <m/>
    <m/>
    <x v="5"/>
    <x v="49"/>
    <x v="2"/>
  </r>
  <r>
    <s v="Lenovo Ideapad Flex 3 CB 11IJL6 (82N3000DHA) Laptop (Celeron Dual Core/4 GB/128 GB SSD/Google Chrome)"/>
    <s v="Lenovo Ideapad Flex 3 CB 11IJL6 (82N3000DHA) Laptop (Celeron Dual Core/4 GB/128 GB SSD/Google Chrome) price in India"/>
    <x v="781"/>
    <n v="316"/>
    <n v="74"/>
    <x v="0"/>
    <d v="2022-11-01T00:00:00"/>
    <s v="Intel Core i7 (13th Gen) 5.0 Ghz"/>
    <s v="Google Chrome"/>
    <x v="69"/>
    <s v="11.6&quot; (29.46 cm), 1366 x 768 px, LED Display"/>
    <s v="Web Camera"/>
    <s v="Slim 18.4 mm"/>
    <s v="HDMI Port"/>
    <s v="4 USB Ports"/>
    <m/>
    <x v="5"/>
    <x v="49"/>
    <x v="7"/>
  </r>
  <r>
    <s v="Asus Vivobook K15 OLED K513EA-L302WS Laptop (Core i3 11th Gen/8 GB/256 GB SSD/Windows 11)"/>
    <s v="Asus Vivobook K15 OLED K513EA-L302WS Laptop (Core i3 11th Gen/8 GB/256 GB SSD/Windows 11) price in India"/>
    <x v="180"/>
    <n v="7"/>
    <n v="74"/>
    <x v="0"/>
    <d v="2022-10-01T00:00:00"/>
    <s v="Intel Core i7 (13th Gen) 5.0 Ghz"/>
    <s v="Windows 11"/>
    <x v="38"/>
    <s v="15.6&quot; (39.62 cm), 1920 x 1080 px, OLED Display"/>
    <s v="Web Camera"/>
    <s v="Slim 17.9 mm"/>
    <s v="HDMI Port"/>
    <m/>
    <m/>
    <x v="2"/>
    <x v="49"/>
    <x v="2"/>
  </r>
  <r>
    <s v="MSI GF63 Thin 12HW-004IN Laptop (Core i5 12th Gen/8 GB/512 GB SSD/Windows 11)"/>
    <s v="MSI GF63 Thin 12HW-004IN Laptop (Core i5 12th Gen/8 GB/512 GB SSD/Windows 11) price in India"/>
    <x v="256"/>
    <n v="93"/>
    <n v="74"/>
    <x v="0"/>
    <d v="2022-09-01T00:00:00"/>
    <s v="Intel Core i7 (13th Gen) 5.0 Ghz"/>
    <s v="Windows 11"/>
    <x v="5"/>
    <s v="15.6&quot; (39.62 cm), 1920 x 1080 px, IPS LCD Display"/>
    <s v="Web Camera"/>
    <s v="Slim 21.7 mm"/>
    <s v="HDMI Port"/>
    <m/>
    <n v="75"/>
    <x v="3"/>
    <x v="49"/>
    <x v="2"/>
  </r>
  <r>
    <s v="Dell Vostro 5620 (D552269WIN9S) Laptop (Core i5 12th Gen/16 GB/512 GB SSD/Windows 11)"/>
    <s v="Dell Vostro 5620 (D552269WIN9S) Laptop (Core i5 12th Gen/16 GB/512 GB SSD/Windows 11) price in India"/>
    <x v="109"/>
    <n v="49"/>
    <n v="74"/>
    <x v="0"/>
    <d v="2022-09-01T00:00:00"/>
    <s v="Intel Core i7 (13th Gen) 5.0 Ghz"/>
    <s v="Windows 11"/>
    <x v="2"/>
    <s v="16&quot; (40.64 cm), 1920 x 1080 px Display"/>
    <s v="Web Camera"/>
    <m/>
    <m/>
    <m/>
    <m/>
    <x v="6"/>
    <x v="49"/>
    <x v="0"/>
  </r>
  <r>
    <s v="MSI Creator M16 A12UD-633IN Laptop (Core i7 12th Gen/16 GB/512 GB SSD/Windows 11/4 GB)"/>
    <s v="MSI Creator M16 A12UD-633IN Laptop (Core i7 12th Gen/16 GB/512 GB SSD/Windows 11/4 GB) price in India"/>
    <x v="782"/>
    <n v="27"/>
    <n v="74"/>
    <x v="0"/>
    <d v="2022-09-01T00:00:00"/>
    <s v="Intel Core i7 (13th Gen) 5.0 Ghz"/>
    <s v="Windows 11"/>
    <x v="2"/>
    <s v="16&quot; (40.64 cm), 2560 x 1660 px Display"/>
    <s v="Web Camera"/>
    <m/>
    <s v="HDMI Port"/>
    <m/>
    <n v="82"/>
    <x v="3"/>
    <x v="49"/>
    <x v="0"/>
  </r>
  <r>
    <s v="HP Chromebook 14a-na1004TU Laptop (Intel Celeron Dual Core/4 GB/64 GB eMMC/Google Chrome)"/>
    <s v="HP Chromebook 14a-na1004TU Laptop (Intel Celeron Dual Core/4 GB/64 GB eMMC/Google Chrome) price in India"/>
    <x v="783"/>
    <n v="1297"/>
    <n v="74"/>
    <x v="0"/>
    <d v="2022-08-01T00:00:00"/>
    <s v="Intel Core i7 (13th Gen) 5.0 Ghz"/>
    <s v="Google Chrome"/>
    <x v="66"/>
    <s v="14&quot; (35.56 cm), 1920 x 1080 px, IPS LCD Display"/>
    <s v="Web Camera"/>
    <s v="Slim 18 mm"/>
    <m/>
    <m/>
    <m/>
    <x v="7"/>
    <x v="49"/>
    <x v="7"/>
  </r>
  <r>
    <s v="HP 14s-dq3037TU (681Y5PA) Laptop (Intel Celeron Dual Core/8 GB/256 GB SSD/Windows 11)"/>
    <s v="HP 14s-dq3037TU (681Y5PA) Laptop (Intel Celeron Dual Core/8 GB/256 GB SSD/Windows 11) price in India"/>
    <x v="492"/>
    <n v="1303"/>
    <n v="74"/>
    <x v="0"/>
    <d v="2022-08-01T00:00:00"/>
    <s v="Intel Core i7 (13th Gen) 5.0 Ghz"/>
    <s v="Windows 11"/>
    <x v="38"/>
    <s v="14&quot; (35.56 cm), 1366 x 768 px Display"/>
    <s v="Web Camera"/>
    <s v="Slim 18 mm"/>
    <s v="HDMI Port"/>
    <m/>
    <m/>
    <x v="7"/>
    <x v="49"/>
    <x v="2"/>
  </r>
  <r>
    <s v="Dell Vostro 5625 (D552238WIN9S) Laptop (AMD Octa Core Ryzen 7/16 GB/512 GB SSD/Windows 11)"/>
    <s v="Dell Vostro 5625 (D552238WIN9S) Laptop (AMD Octa Core Ryzen 7/16 GB/512 GB SSD/Windows 11) price in India"/>
    <x v="784"/>
    <n v="7"/>
    <n v="74"/>
    <x v="0"/>
    <d v="2022-08-01T00:00:00"/>
    <s v="Intel Core i7 (13th Gen) 5.0 Ghz"/>
    <s v="Windows 11"/>
    <x v="2"/>
    <s v="16&quot; (40.64 cm), 1920 x 1080 px Display"/>
    <s v="Web Camera"/>
    <s v="Slim 18.2 mm"/>
    <s v="HDMI Port"/>
    <m/>
    <n v="71"/>
    <x v="6"/>
    <x v="49"/>
    <x v="0"/>
  </r>
  <r>
    <s v="HP 245 G8 (365R8PA) Laptop (AMD Quad Core Ryzen 5/8 GB/1 TB/Windows 10)"/>
    <s v="HP 245 G8 (365R8PA) Laptop (AMD Quad Core Ryzen 5/8 GB/1 TB/Windows 10) price in India"/>
    <x v="114"/>
    <n v="132"/>
    <n v="74"/>
    <x v="0"/>
    <d v="2022-07-01T00:00:00"/>
    <s v="Intel Core i7 (13th Gen) 5.0 Ghz"/>
    <s v="Windows 10"/>
    <x v="37"/>
    <s v="14&quot; (35.56 cm), 1366 x 768 px, LED Display"/>
    <s v="Web Camera"/>
    <s v="Slim 20 mm"/>
    <s v="HDMI Port"/>
    <s v="2 USB Ports"/>
    <m/>
    <x v="7"/>
    <x v="49"/>
    <x v="2"/>
  </r>
  <r>
    <s v="Lenovo Ideapad Slim 3 (82RK00EDIN) Laptop (Core i5 12th Gen/8 GB/512 GB SSD/Windows 11)"/>
    <s v="Lenovo Ideapad Slim 3 (82RK00EDIN) Laptop (Core i5 12th Gen/8 GB/512 GB SSD/Windows 11) price in India"/>
    <x v="785"/>
    <n v="3"/>
    <n v="74"/>
    <x v="0"/>
    <d v="2022-07-01T00:00:00"/>
    <s v="Intel Core i7 (13th Gen) 5.0 Ghz"/>
    <s v="Windows 11"/>
    <x v="5"/>
    <s v="15.6&quot; (39.62 cm), 1920 x 1080 px Display"/>
    <s v="Web Camera"/>
    <s v="Slim 20 mm"/>
    <s v="HDMI Port"/>
    <m/>
    <n v="71"/>
    <x v="5"/>
    <x v="49"/>
    <x v="2"/>
  </r>
  <r>
    <s v="Asus ROG Zephyrus G15 GA503RS-HQ027WS Laptop (AMD Octa Core Ryzen 9/16 GB/1 TB SSD/Windows 11/8 GB)"/>
    <s v="Asus ROG Zephyrus G15 GA503RS-HQ027WS Laptop (AMD Octa Core Ryzen 9/16 GB/1 TB SSD/Windows 11/8 GB) price in India"/>
    <x v="115"/>
    <n v="3"/>
    <n v="74"/>
    <x v="0"/>
    <d v="2022-07-01T00:00:00"/>
    <s v="Intel Core i7 (13th Gen) 5.0 Ghz"/>
    <s v="Windows 11"/>
    <x v="10"/>
    <s v="15.6&quot; (39.62 cm), 2560 x 1440 px Display"/>
    <s v="Web Camera"/>
    <s v="Slim 20 mm"/>
    <s v="HDMI Port"/>
    <s v="4 USB Ports"/>
    <n v="82"/>
    <x v="2"/>
    <x v="49"/>
    <x v="0"/>
  </r>
  <r>
    <s v="Asus EeeBook 12 E210MA-GJ012W Laptop (Intel Celeron Dual Core/4 GB/64 GB eMMC/Windows 11)"/>
    <s v="Asus EeeBook 12 E210MA-GJ012W Laptop (Intel Celeron Dual Core/4 GB/64 GB eMMC/Windows 11) price in India"/>
    <x v="786"/>
    <n v="51"/>
    <n v="74"/>
    <x v="0"/>
    <d v="2022-07-01T00:00:00"/>
    <s v="Intel Core i7 (13th Gen) 5.0 Ghz"/>
    <s v="Windows 11"/>
    <x v="82"/>
    <s v="11.6&quot; (29.46 cm), 1366 x 768 px, IPS LCD Display"/>
    <s v="Web Camera"/>
    <s v="Slim 17 mm"/>
    <s v="HDMI Port"/>
    <m/>
    <m/>
    <x v="2"/>
    <x v="49"/>
    <x v="7"/>
  </r>
  <r>
    <s v="HP 15s-er1501AU (6Q0N8PA) Laptop (AMD Dual Core Ryzen 3/8 GB/256 GB SSD/Windows 11)"/>
    <s v="HP 15s-er1501AU (6Q0N8PA) Laptop (AMD Dual Core Ryzen 3/8 GB/256 GB SSD/Windows 11) price in India"/>
    <x v="356"/>
    <n v="64"/>
    <n v="74"/>
    <x v="0"/>
    <d v="2022-07-01T00:00:00"/>
    <s v="Intel Core i7 (13th Gen) 5.0 Ghz"/>
    <s v="Windows 11"/>
    <x v="38"/>
    <s v="15.6&quot; (39.62 cm), 1366 x 768 px Display"/>
    <s v="Web Camera"/>
    <s v="Slim 17.9 mm"/>
    <s v="HDMI Port"/>
    <m/>
    <m/>
    <x v="7"/>
    <x v="49"/>
    <x v="2"/>
  </r>
  <r>
    <s v="Dell Inspiron 15 3525 (D560764WIN9S) Laptop (AMD Quad Core Ryzen 3/8 GB/512 GB SSD/Windows 11)"/>
    <s v="Dell Inspiron 15 3525 (D560764WIN9S) Laptop (AMD Quad Core Ryzen 3/8 GB/512 GB SSD/Windows 11) price in India"/>
    <x v="787"/>
    <n v="171"/>
    <n v="74"/>
    <x v="0"/>
    <d v="2022-06-01T00:00:00"/>
    <s v="Intel Core i7 (13th Gen) 5.0 Ghz, Deca-Core"/>
    <s v="Windows 11"/>
    <x v="5"/>
    <s v="15.6&quot; (39.62 cm), 1920 x 1080 px, IPS LCD Display"/>
    <s v="Web Camera"/>
    <s v="Slim 16.9 mm"/>
    <s v="HDMI Port"/>
    <m/>
    <m/>
    <x v="6"/>
    <x v="49"/>
    <x v="2"/>
  </r>
  <r>
    <s v="Asus Vivobook S15 OLED Intel Evo S3502ZA-L702WS Laptop (Core i7 12th Gen/16 GB/512 GB SSD/Windows 11)"/>
    <s v="Asus Vivobook S15 OLED Intel Evo S3502ZA-L702WS Laptop (Core i7 12th Gen/16 GB/512 GB SSD/Windows 11) price in India"/>
    <x v="106"/>
    <n v="11"/>
    <n v="74"/>
    <x v="0"/>
    <d v="2022-06-01T00:00:00"/>
    <s v="Intel Core i7 (13th Gen) 5.0 Ghz, Deca-Core"/>
    <s v="Windows 11"/>
    <x v="2"/>
    <s v="15.6&quot; (39.62 cm), 1920 x 1080 px Display"/>
    <s v="Web Camera"/>
    <s v="Slim 18.9 mm"/>
    <s v="HDMI Port"/>
    <m/>
    <n v="77"/>
    <x v="2"/>
    <x v="49"/>
    <x v="0"/>
  </r>
  <r>
    <s v="Dell Inspiron 15 3525 (D560782WIN9S) Laptop (AMD Octa Core Ryzen 7/8 GB/512 GB SSD/Windows 11)"/>
    <s v="Dell Inspiron 15 3525 (D560782WIN9S) Laptop (AMD Octa Core Ryzen 7/8 GB/512 GB SSD/Windows 11) price in India"/>
    <x v="788"/>
    <n v="3"/>
    <n v="74"/>
    <x v="0"/>
    <d v="2022-06-01T00:00:00"/>
    <s v="Intel Core i7 (13th Gen) 5.0 Ghz, Deca-Core"/>
    <s v="Windows 11"/>
    <x v="5"/>
    <s v="15.6&quot; (39.62 cm), 1920 x 1080 px, IPS LCD Display"/>
    <s v="Web Camera"/>
    <m/>
    <s v="HDMI Port"/>
    <m/>
    <n v="71"/>
    <x v="6"/>
    <x v="49"/>
    <x v="2"/>
  </r>
  <r>
    <s v="Asus VivoBook 15 X515EA-BR391WS Laptop (Core i3 11th Gen/8 GB/1 TB/Windows 11)"/>
    <s v="Asus VivoBook 15 X515EA-BR391WS Laptop (Core i3 11th Gen/8 GB/1 TB/Windows 11) price in India"/>
    <x v="318"/>
    <n v="431"/>
    <n v="74"/>
    <x v="0"/>
    <d v="2022-06-01T00:00:00"/>
    <s v="Intel Core i7 (13th Gen) 5.0 Ghz, Deca-Core"/>
    <s v="Windows 11"/>
    <x v="37"/>
    <s v="15.6&quot; (39.62 cm), 1366 x 768 px, IPS LCD Display"/>
    <s v="Web Camera"/>
    <s v="Slim 19.9 mm"/>
    <s v="HDMI Port"/>
    <m/>
    <m/>
    <x v="2"/>
    <x v="49"/>
    <x v="2"/>
  </r>
  <r>
    <s v="Lenovo IdeaPad Slim 5 16IMH9 (83DC008VIN) Laptop (Core Ultra 7/16 GB/1 TB SSD/Windows 11)"/>
    <s v="Lenovo IdeaPad Slim 5 16IMH9 (83DC008VIN) Laptop (Core Ultra 7/16 GB/1 TB SSD/Windows 11) price in India"/>
    <x v="645"/>
    <n v="62"/>
    <n v="72"/>
    <x v="0"/>
    <d v="2024-10-01T00:00:00"/>
    <s v="Intel Core i7 (13th Gen) 5.0 Ghz, Deca-Core"/>
    <s v="Windows 11"/>
    <x v="3"/>
    <s v="16&quot; (40.64 cm), 1920 x 1200 px, IPS LCD Display"/>
    <s v="Web Camera"/>
    <s v="Slim 17 mm"/>
    <s v="HDMI Port"/>
    <m/>
    <n v="87"/>
    <x v="5"/>
    <x v="49"/>
    <x v="0"/>
  </r>
  <r>
    <s v="Lenovo IdeaPad Slim 5 14AKP10 Gen 10 (83HX001NIN) Laptop (AMD Octa Core Ryzen AI 7/24 GB/1 TB SSD/Windows 11)"/>
    <s v="Lenovo IdeaPad Slim 5 14AKP10 Gen 10 (83HX001NIN) Laptop (AMD Octa Core Ryzen AI 7/24 GB/1 TB SSD/Windows 11) price in India"/>
    <x v="789"/>
    <n v="11"/>
    <n v="72"/>
    <x v="0"/>
    <d v="2025-03-01T00:00:00"/>
    <s v="Intel Core i7 (13th Gen) 5.0 Ghz, Deca-Core"/>
    <s v="Windows 11"/>
    <x v="83"/>
    <s v="14&quot; (35.56 cm), 1920 x 1200 px, OLED Display"/>
    <s v="Web Camera"/>
    <s v="Slim 16.9 mm"/>
    <s v="HDMI Port"/>
    <m/>
    <n v="78"/>
    <x v="5"/>
    <x v="49"/>
    <x v="1"/>
  </r>
  <r>
    <s v="Asus Vivobook X515MA-BR004T Laptop (Celeron Dual Core/4 GB/1 TB/Windows 10)"/>
    <s v="Asus Vivobook X515MA-BR004T Laptop (Celeron Dual Core/4 GB/1 TB/Windows 10) price in India"/>
    <x v="318"/>
    <n v="403"/>
    <n v="72"/>
    <x v="0"/>
    <d v="2021-05-01T00:00:00"/>
    <s v="Intel Core i7 (13th Gen) 5.0 Ghz, Deca-Core"/>
    <s v="Windows 10"/>
    <x v="49"/>
    <s v="15.6&quot; (39.62 cm), 1366 x 768 px, LED Display"/>
    <s v="Web Camera"/>
    <s v="Slim 19.9 mm"/>
    <s v="HDMI Port"/>
    <m/>
    <m/>
    <x v="2"/>
    <x v="49"/>
    <x v="7"/>
  </r>
  <r>
    <s v="Asus VivoBook 14 X1404VA-NK804WS Laptop (Core i5 13th Gen/8 GB/512 GB SSD/Windows 11)"/>
    <s v="Asus VivoBook 14 X1404VA-NK804WS Laptop (Core i5 13th Gen/8 GB/512 GB SSD/Windows 11) price in India"/>
    <x v="315"/>
    <n v="54"/>
    <n v="72"/>
    <x v="0"/>
    <d v="2025-01-01T00:00:00"/>
    <s v="Intel Core i7 (13th Gen) 5.0 Ghz, Deca-Core"/>
    <s v="Windows 11"/>
    <x v="5"/>
    <s v="14&quot; (35.56 cm), 1920 x 1080 px Display"/>
    <s v="Web Camera"/>
    <s v="Slim 17.9 mm"/>
    <s v="HDMI Port"/>
    <m/>
    <n v="79"/>
    <x v="2"/>
    <x v="49"/>
    <x v="2"/>
  </r>
  <r>
    <s v="Lenovo Ideapad 330 (81F400PEIN) Laptop (Core i3 8th Gen/4 GB/1 TB 16 GB SSD/Windows 10)"/>
    <s v="Lenovo Ideapad 330 (81F400PEIN) Laptop (Core i3 8th Gen/4 GB/1 TB 16 GB SSD/Windows 10) price in India"/>
    <x v="790"/>
    <n v="513"/>
    <n v="72"/>
    <x v="0"/>
    <m/>
    <s v="Intel Core i7 (13th Gen) 5.0 Ghz, Deca-Core"/>
    <s v="Windows 10"/>
    <x v="49"/>
    <s v="14&quot; (35.56 cm), 1920 x 1080 px, LED Display"/>
    <s v="Web Camera"/>
    <m/>
    <s v="HDMI Port"/>
    <s v="2 USB Ports"/>
    <m/>
    <x v="5"/>
    <x v="49"/>
    <x v="7"/>
  </r>
  <r>
    <s v="HP Pavilion TouchSmart 14 X360 14-cd0051TU (4LR30PA) Laptop (Core i5 8th Gen/8 GB/1 TB 8 GB SSD/Windows 10/2 GB)"/>
    <s v="HP Pavilion TouchSmart 14 X360 14-cd0051TU (4LR30PA) Laptop (Core i5 8th Gen/8 GB/1 TB 8 GB SSD/Windows 10/2 GB) price in India"/>
    <x v="237"/>
    <n v="47"/>
    <n v="72"/>
    <x v="0"/>
    <m/>
    <s v="Intel Core i7 (13th Gen) 5.0 Ghz, Deca-Core"/>
    <s v="Windows 10"/>
    <x v="37"/>
    <s v="14&quot; (35.56 cm), 1920 x 1080 px, LED Display"/>
    <s v="Web Camera"/>
    <s v="Slim 19.7 mm"/>
    <s v="HDMI Port"/>
    <m/>
    <m/>
    <x v="7"/>
    <x v="49"/>
    <x v="2"/>
  </r>
  <r>
    <s v="HP Pavilion Plus 14-ew1082TU (A3WE3PA) Laptop (Core Ultra 5/16 GB/512 GB SSD/Windows 11)"/>
    <s v="HP Pavilion Plus 14-ew1082TU (A3WE3PA) Laptop (Core Ultra 5/16 GB/512 GB SSD/Windows 11) price in India"/>
    <x v="791"/>
    <n v="34"/>
    <n v="72"/>
    <x v="0"/>
    <d v="2024-06-01T00:00:00"/>
    <s v="Intel Core i7 (13th Gen) 5.0 Ghz, Deca-Core"/>
    <s v="Windows 11"/>
    <x v="8"/>
    <s v="14&quot; (35.56 cm), 2560 x 1600 px, IPS LCD Display"/>
    <s v="Web Camera"/>
    <s v="Slim 18.9 mm"/>
    <s v="HDMI Port"/>
    <m/>
    <n v="84"/>
    <x v="7"/>
    <x v="49"/>
    <x v="0"/>
  </r>
  <r>
    <s v="Lenovo LOQ 15IAX9I (83FQ0009IN) Laptop (Core i5 12th Gen/8 GB/512 GB SSD/Windows 11/4 GB)"/>
    <s v="Lenovo LOQ 15IAX9I (83FQ0009IN) Laptop (Core i5 12th Gen/8 GB/512 GB SSD/Windows 11/4 GB) price in India"/>
    <x v="792"/>
    <n v="14"/>
    <n v="72"/>
    <x v="0"/>
    <d v="2024-01-01T00:00:00"/>
    <s v="Intel Core i7 (13th Gen) 5.0 Ghz, Deca-Core"/>
    <s v="Windows 11"/>
    <x v="16"/>
    <s v="15.6&quot; (39.62 cm), 1920 x 1080 px, IPS LCD Display"/>
    <s v="Web Camera"/>
    <m/>
    <s v="HDMI Port"/>
    <m/>
    <n v="84"/>
    <x v="5"/>
    <x v="49"/>
    <x v="2"/>
  </r>
  <r>
    <s v="Lenovo Ideapad Slim 1i 15IGL7 (82V700BSIN) Laptop (Intel Celeron Dual Core/8 GB/256 GB SSD/Windows 11)"/>
    <s v="Lenovo Ideapad Slim 1i 15IGL7 (82V700BSIN) Laptop (Intel Celeron Dual Core/8 GB/256 GB SSD/Windows 11) price in India"/>
    <x v="793"/>
    <n v="10"/>
    <n v="72"/>
    <x v="0"/>
    <d v="2023-11-01T00:00:00"/>
    <s v="Intel Core i7 (13th Gen) 5.0 Ghz, Deca-Core"/>
    <s v="Windows 11"/>
    <x v="38"/>
    <s v="15.6&quot; (39.62 cm), 1366 x 768 px, TN LCD Display"/>
    <s v="Web Camera"/>
    <s v="Slim 19.9 mm"/>
    <s v="HDMI Port"/>
    <m/>
    <m/>
    <x v="5"/>
    <x v="49"/>
    <x v="2"/>
  </r>
  <r>
    <s v="Acer TravelMate P2 TMP214-53 (UN.VTKSI.173) Laptop (Core i7 11th Gen/16 GB/512 GB SSD/Windows 11)"/>
    <s v="Acer TravelMate P2 TMP214-53 (UN.VTKSI.173) Laptop (Core i7 11th Gen/16 GB/512 GB SSD/Windows 11) price in India"/>
    <x v="114"/>
    <n v="175"/>
    <n v="72"/>
    <x v="0"/>
    <d v="2023-11-01T00:00:00"/>
    <s v="Intel Core i7 (13th Gen) 5.0 Ghz, Deca-Core"/>
    <s v="Windows 11"/>
    <x v="2"/>
    <s v="14&quot; (35.56 cm), 1920 x 1080 px Display"/>
    <s v="Web Camera"/>
    <s v="Slim 19.9 mm"/>
    <s v="HDMI Port"/>
    <m/>
    <n v="73"/>
    <x v="1"/>
    <x v="49"/>
    <x v="0"/>
  </r>
  <r>
    <s v="Zebronics Pro Series Y ZEB-NBC 1S Laptop (Core i3 11th Gen/8 GB/512 GB SSD/Windows 11)"/>
    <s v="Zebronics Pro Series Y ZEB-NBC 1S Laptop (Core i3 11th Gen/8 GB/512 GB SSD/Windows 11) price in India"/>
    <x v="492"/>
    <n v="239"/>
    <n v="72"/>
    <x v="0"/>
    <d v="2023-10-01T00:00:00"/>
    <s v="Intel Core i7 (13th Gen) 5.0 Ghz, Deca-Core"/>
    <s v="Windows 11"/>
    <x v="59"/>
    <s v="15.6&quot; (39.62 cm), 1920 x 1080 px, IPS LCD Display"/>
    <s v="Web Camera"/>
    <s v="Slim 20 mm"/>
    <s v="HDMI Port"/>
    <m/>
    <n v="71"/>
    <x v="15"/>
    <x v="49"/>
    <x v="2"/>
  </r>
  <r>
    <s v="Acer TravelMate P2 TMP214-53 (UN.VTKSI.174) Laptop (Core i7 11th Gen/16 GB/1 TB SSD/Windows 11)"/>
    <s v="Acer TravelMate P2 TMP214-53 (UN.VTKSI.174) Laptop (Core i7 11th Gen/16 GB/1 TB SSD/Windows 11) price in India"/>
    <x v="794"/>
    <n v="175"/>
    <n v="72"/>
    <x v="0"/>
    <d v="2023-10-01T00:00:00"/>
    <s v="Intel Core i7 (13th Gen) 5.5 Ghz"/>
    <s v="Windows 11"/>
    <x v="23"/>
    <s v="14&quot; (35.56 cm), 1920 x 1080 px Display"/>
    <s v="Web Camera"/>
    <s v="Slim 19.9 mm"/>
    <s v="HDMI Port"/>
    <m/>
    <n v="74"/>
    <x v="1"/>
    <x v="49"/>
    <x v="0"/>
  </r>
  <r>
    <s v="HP 255 G9 (724N9EA) Laptop (AMD Dual Core Athlon/4 GB/256 GB SSD/Windows 11)"/>
    <s v="HP 255 G9 (724N9EA) Laptop (AMD Dual Core Athlon/4 GB/256 GB SSD/Windows 11) price in India"/>
    <x v="271"/>
    <n v="26"/>
    <n v="72"/>
    <x v="0"/>
    <d v="2023-09-01T00:00:00"/>
    <s v="Intel Core i7 (14th Gen) 5.2 Ghz"/>
    <s v="Windows 11"/>
    <x v="52"/>
    <s v="15.6&quot; (39.62 cm), 1366 x 768 px Display"/>
    <s v="Web Camera"/>
    <m/>
    <s v="HDMI Port"/>
    <m/>
    <m/>
    <x v="7"/>
    <x v="49"/>
    <x v="7"/>
  </r>
  <r>
    <s v="Lenovo ThinkBook 15 G4 (21DJA0D9IH) Laptop (Core i5 12th Gen/16 GB/1 TB SSD/Windows 11)"/>
    <s v="Lenovo ThinkBook 15 G4 (21DJA0D9IH) Laptop (Core i5 12th Gen/16 GB/1 TB SSD/Windows 11) price in India"/>
    <x v="194"/>
    <n v="20"/>
    <n v="72"/>
    <x v="0"/>
    <d v="2023-09-01T00:00:00"/>
    <s v="Intel Core i7 (14th Gen) 5.5 Ghz"/>
    <s v="Windows 11"/>
    <x v="23"/>
    <s v="15.6&quot; (39.62 cm), 1920 x 1080 px, TN LCD Display"/>
    <s v="Web Camera"/>
    <s v="Slim 18.9 mm"/>
    <s v="HDMI Port"/>
    <m/>
    <n v="80"/>
    <x v="5"/>
    <x v="50"/>
    <x v="0"/>
  </r>
  <r>
    <s v="Acer Chromebook CB314-3H (NX.K04SI.008) Laptop (Intel Celeron Dual Core/8 GB/64 GB eMMC/Google Chrome)"/>
    <s v="Acer Chromebook CB314-3H (NX.K04SI.008) Laptop (Intel Celeron Dual Core/8 GB/64 GB eMMC/Google Chrome) price in India"/>
    <x v="763"/>
    <n v="84"/>
    <n v="72"/>
    <x v="0"/>
    <d v="2023-09-01T00:00:00"/>
    <s v="Intel Core i7 (14th Gen) 5.5 Ghz"/>
    <s v="Google Chrome"/>
    <x v="56"/>
    <s v="14&quot; (35.56 cm), 1920 x 1080 px, IPS LCD Display"/>
    <s v="Web Camera"/>
    <s v="Slim 20 mm"/>
    <m/>
    <m/>
    <m/>
    <x v="1"/>
    <x v="50"/>
    <x v="2"/>
  </r>
  <r>
    <s v="HP Victus 15-fb0147AX (8F503PA) Laptop (AMD Hexa Core Ryzen 5/8 GB/512 GB SSD/Windows 11/4 GB)"/>
    <s v="HP Victus 15-fb0147AX (8F503PA) Laptop (AMD Hexa Core Ryzen 5/8 GB/512 GB SSD/Windows 11/4 GB) price in India"/>
    <x v="795"/>
    <n v="8"/>
    <n v="72"/>
    <x v="0"/>
    <d v="2023-08-01T00:00:00"/>
    <s v="Intel Core i7 (14th Gen) 5.5 Ghz"/>
    <s v="Windows 11"/>
    <x v="5"/>
    <s v="15.6&quot; (39.62 cm), 1920 x 1080 px, IPS LCD Display"/>
    <s v="Web Camera"/>
    <m/>
    <s v="HDMI Port"/>
    <m/>
    <n v="82"/>
    <x v="7"/>
    <x v="50"/>
    <x v="2"/>
  </r>
  <r>
    <s v="Lenovo S14 Gen 3 (82TW001CIH) Laptop (Core i5 12th Gen/8 GB/512 GB SSD/Windows 11)"/>
    <s v="Lenovo S14 Gen 3 (82TW001CIH) Laptop (Core i5 12th Gen/8 GB/512 GB SSD/Windows 11) price in India"/>
    <x v="796"/>
    <n v="43"/>
    <n v="72"/>
    <x v="0"/>
    <d v="2023-07-01T00:00:00"/>
    <s v="Intel Core i7 (7th Gen) 2.8 Ghz"/>
    <s v="Windows 11"/>
    <x v="5"/>
    <s v="14&quot; (35.56 cm), 1920 x 1080 px, IPS LCD Display"/>
    <s v="Web Camera"/>
    <m/>
    <s v="HDMI Port"/>
    <s v="2 USB Ports"/>
    <n v="73"/>
    <x v="5"/>
    <x v="51"/>
    <x v="2"/>
  </r>
  <r>
    <s v="Asus VivoBook 15 X1504VA-NJ524WS Laptop (Core i5 13th Gen/8 GB/512 GB SSD/Windows 11)"/>
    <s v="Asus VivoBook 15 X1504VA-NJ524WS Laptop (Core i5 13th Gen/8 GB/512 GB SSD/Windows 11) price in India"/>
    <x v="125"/>
    <n v="14"/>
    <n v="72"/>
    <x v="0"/>
    <d v="2023-05-01T00:00:00"/>
    <s v="Intel Core i7 (7th Gen) 2.8 Ghz"/>
    <s v="Windows 11"/>
    <x v="5"/>
    <s v="15.6&quot; (39.62 cm), 1920 x 1080 px Display"/>
    <s v="Web Camera"/>
    <s v="Slim 17.9 mm"/>
    <s v="HDMI Port"/>
    <m/>
    <n v="75"/>
    <x v="2"/>
    <x v="51"/>
    <x v="2"/>
  </r>
  <r>
    <s v="Asus VivoBook 15 X1504VA-NJ523WS Laptop (Core i5 13th Gen/8 GB/512 GB SSD/Windows 11)"/>
    <s v="Asus VivoBook 15 X1504VA-NJ523WS Laptop (Core i5 13th Gen/8 GB/512 GB SSD/Windows 11) price in India"/>
    <x v="125"/>
    <n v="14"/>
    <n v="72"/>
    <x v="0"/>
    <d v="2023-04-01T00:00:00"/>
    <s v="Intel Core i7 (8th Gen) 1.8 Ghz"/>
    <s v="Windows 11"/>
    <x v="5"/>
    <s v="15.6&quot; (39.62 cm), 1920 x 1080 px, IPS LCD Display"/>
    <s v="Web Camera"/>
    <s v="Slim 17.9 mm"/>
    <s v="HDMI Port"/>
    <m/>
    <n v="75"/>
    <x v="2"/>
    <x v="52"/>
    <x v="2"/>
  </r>
  <r>
    <s v="Microsoft Surface Pro 9 (QCB-00014) Laptop (Core i5 12th Gen/8 GB/128 GB SSD/Windows 11)"/>
    <s v="Microsoft Surface Pro 9 (QCB-00014) Laptop (Core i5 12th Gen/8 GB/128 GB SSD/Windows 11) price in India"/>
    <x v="294"/>
    <n v="5"/>
    <n v="72"/>
    <x v="0"/>
    <d v="2022-11-01T00:00:00"/>
    <s v="Intel Core i7 (8th Gen) 1.8 Ghz"/>
    <s v="Windows 11"/>
    <x v="84"/>
    <s v="13&quot; (33.02 cm), 2880 x 1920 px Display"/>
    <s v="Web Camera"/>
    <s v="Slim 09 mm"/>
    <m/>
    <m/>
    <n v="75"/>
    <x v="4"/>
    <x v="52"/>
    <x v="2"/>
  </r>
  <r>
    <s v="Microsoft Surface Pro 9 Intel Evo (QEZ-00048) Laptop (Core i5 12th Gen/8 GB/256 GB SSD/Windows 11)"/>
    <s v="Microsoft Surface Pro 9 Intel Evo (QEZ-00048) Laptop (Core i5 12th Gen/8 GB/256 GB SSD/Windows 11) price in India"/>
    <x v="75"/>
    <n v="10"/>
    <n v="72"/>
    <x v="0"/>
    <d v="2022-11-01T00:00:00"/>
    <s v="Intel Core i7 (8th Gen) 1.8 Ghz"/>
    <s v="Windows 11"/>
    <x v="31"/>
    <s v="13&quot; (33.02 cm), 1600 x 1200 px Display"/>
    <s v="Web Camera"/>
    <s v="Slim 09 mm"/>
    <m/>
    <m/>
    <n v="75"/>
    <x v="4"/>
    <x v="52"/>
    <x v="2"/>
  </r>
  <r>
    <s v="Lenovo Ideapad Gaming 3 15ACH6 (82K200XNIN) Laptop (AMD Hexa Core Ryzen 5/8 GB/512 GB SSD/Windows 10/4 GB)"/>
    <s v="Lenovo Ideapad Gaming 3 15ACH6 (82K200XNIN) Laptop (AMD Hexa Core Ryzen 5/8 GB/512 GB SSD/Windows 10/4 GB) price in India"/>
    <x v="107"/>
    <n v="23"/>
    <n v="72"/>
    <x v="0"/>
    <d v="2022-11-01T00:00:00"/>
    <s v="Intel Core i7 (8th Gen) 2.2 Ghz"/>
    <s v="Windows 10"/>
    <x v="5"/>
    <s v="15.6&quot; (39.62 cm), 1920 x 1080 px, IPS LCD Display"/>
    <s v="Web Camera"/>
    <m/>
    <s v="HDMI Port"/>
    <s v="1 USB Ports"/>
    <n v="77"/>
    <x v="5"/>
    <x v="52"/>
    <x v="2"/>
  </r>
  <r>
    <s v="Asus ZenBook 13 UX325EA-KG722TS Laptop (Core i7 11th Gen/16 GB/512 GB SSD/Windows 10)"/>
    <s v="Asus ZenBook 13 UX325EA-KG722TS Laptop (Core i7 11th Gen/16 GB/512 GB SSD/Windows 10) price in India"/>
    <x v="30"/>
    <n v="40"/>
    <n v="72"/>
    <x v="0"/>
    <d v="2022-11-01T00:00:00"/>
    <s v="Intel Core i7 (8th Gen) 2.2 Ghz"/>
    <s v="Windows 10"/>
    <x v="30"/>
    <s v="13.3&quot; (33.78 cm), 1920 x 1080 px, LED Display"/>
    <s v="Web Camera"/>
    <s v="Slim 13.9 mm"/>
    <s v="HDMI Port"/>
    <s v="2 USB Ports"/>
    <n v="74"/>
    <x v="2"/>
    <x v="52"/>
    <x v="0"/>
  </r>
  <r>
    <s v="Lenovo Thinkpad E14 (21E3S05800) Laptop (Core i7 12th Gen/16 GB/1 TB SSD/Windows 11)"/>
    <s v="Lenovo Thinkpad E14 (21E3S05800) Laptop (Core i7 12th Gen/16 GB/1 TB SSD/Windows 11) price in India"/>
    <x v="797"/>
    <n v="27"/>
    <n v="72"/>
    <x v="0"/>
    <d v="2022-09-01T00:00:00"/>
    <s v="Intel Core i7 (9th Gen) 2.6 Ghz"/>
    <s v="Windows 11"/>
    <x v="23"/>
    <s v="14&quot; (35.56 cm), 1920 x 1080 px, IPS LCD Display"/>
    <s v="Web Camera"/>
    <s v="Slim 19 mm"/>
    <s v="HDMI Port"/>
    <m/>
    <m/>
    <x v="5"/>
    <x v="53"/>
    <x v="0"/>
  </r>
  <r>
    <s v="Asus VivoBook 15 X1502ZA-EZ511WS Laptop (Core i5 12th Gen/16 GB/512 GB SSD/Windows 11)"/>
    <s v="Asus VivoBook 15 X1502ZA-EZ511WS Laptop (Core i5 12th Gen/16 GB/512 GB SSD/Windows 11) price in India"/>
    <x v="459"/>
    <n v="10"/>
    <n v="72"/>
    <x v="0"/>
    <d v="2022-08-01T00:00:00"/>
    <s v="Intel Core i7 (9th Gen) 2.6 Ghz"/>
    <s v="Windows 11"/>
    <x v="2"/>
    <s v="15.6&quot; (39.62 cm), 1920 x 1080 px Display"/>
    <s v="Web Camera"/>
    <s v="Slim 19.9 mm"/>
    <s v="HDMI Port"/>
    <m/>
    <n v="77"/>
    <x v="2"/>
    <x v="53"/>
    <x v="0"/>
  </r>
  <r>
    <s v="Asus VivoBook 15 X515JA-BQ302W Laptop (Core i3 10th Gen/8 GB/1 TB/Windows 11)"/>
    <s v="Asus VivoBook 15 X515JA-BQ302W Laptop (Core i3 10th Gen/8 GB/1 TB/Windows 11) price in India"/>
    <x v="352"/>
    <n v="1730"/>
    <n v="72"/>
    <x v="0"/>
    <d v="2022-06-01T00:00:00"/>
    <s v="Intel Core i7 (9th Gen) 2.6 Ghz, Hexa-Core"/>
    <s v="Windows 11"/>
    <x v="37"/>
    <s v="15.6&quot; (39.62 cm), 1920 x 1080 px, IPS LCD Display"/>
    <s v="Web Camera"/>
    <s v="Slim 19.9 mm"/>
    <s v="HDMI Port"/>
    <m/>
    <m/>
    <x v="2"/>
    <x v="53"/>
    <x v="2"/>
  </r>
  <r>
    <s v="Asus Vivobook 16X K3605ZF-RP258WS Laptop (Core i5 12th Gen/16 GB/512 GB SSD/Windows 11/4 GB)"/>
    <s v="Asus Vivobook 16X K3605ZF-RP258WS Laptop (Core i5 12th Gen/16 GB/512 GB SSD/Windows 11/4 GB) price in India"/>
    <x v="576"/>
    <n v="229"/>
    <n v="70"/>
    <x v="0"/>
    <d v="2024-09-01T00:00:00"/>
    <s v="Intel Core i9 (11th Gen) 3.3 Ghz, Octa-Core"/>
    <s v="Windows 11"/>
    <x v="2"/>
    <s v="16&quot; (40.64 cm), 1920 x 1200 px, IPS LCD Display"/>
    <s v="Web Camera"/>
    <s v="Slim 18.9 mm"/>
    <s v="HDMI Port"/>
    <m/>
    <n v="85"/>
    <x v="2"/>
    <x v="54"/>
    <x v="0"/>
  </r>
  <r>
    <s v="Asus Vivobook 16X K3605ZC-RP587WS Laptop (Core i5 12th Gen/16 GB/512 GB SSD/Windows 11/4 GB)"/>
    <s v="Asus Vivobook 16X K3605ZC-RP587WS Laptop (Core i5 12th Gen/16 GB/512 GB SSD/Windows 11/4 GB) price in India"/>
    <x v="798"/>
    <n v="229"/>
    <n v="70"/>
    <x v="0"/>
    <d v="2024-09-01T00:00:00"/>
    <s v="Intel Core i9 (11th Gen) 4.9 Ghz, Octa-Core"/>
    <s v="Windows 11"/>
    <x v="2"/>
    <s v="16&quot; (40.64 cm), 1920 x 1200 px, IPS LCD Display"/>
    <s v="Web Camera"/>
    <s v="Slim 18.9 mm"/>
    <s v="HDMI Port"/>
    <m/>
    <n v="86"/>
    <x v="2"/>
    <x v="54"/>
    <x v="0"/>
  </r>
  <r>
    <s v="Asus Vivobook 16X K3605ZU-RP304WS Laptop (Core i5 12th Gen/16 GB/512 GB SSD/Windows 11/6 GB)"/>
    <s v="Asus Vivobook 16X K3605ZU-RP304WS Laptop (Core i5 12th Gen/16 GB/512 GB SSD/Windows 11/6 GB) price in India"/>
    <x v="191"/>
    <n v="226"/>
    <n v="70"/>
    <x v="0"/>
    <d v="2024-08-01T00:00:00"/>
    <s v="Intel Core i9 (12th Gen) 2.5 Ghz"/>
    <s v="Windows 11"/>
    <x v="2"/>
    <s v="16&quot; (40.64 cm), 1920 x 1200 px, IPS LCD Display"/>
    <s v="Web Camera"/>
    <s v="Slim 18.9 mm"/>
    <s v="HDMI Port"/>
    <m/>
    <n v="86"/>
    <x v="2"/>
    <x v="55"/>
    <x v="0"/>
  </r>
  <r>
    <s v="Asus Vivobook 16X K3605VC-RP412WS Laptop (Core i5 13th Gen/16 GB/512 GB SSD/Windows 11/4 GB)"/>
    <s v="Asus Vivobook 16X K3605VC-RP412WS Laptop (Core i5 13th Gen/16 GB/512 GB SSD/Windows 11/4 GB) price in India"/>
    <x v="30"/>
    <n v="226"/>
    <n v="70"/>
    <x v="0"/>
    <d v="2024-08-01T00:00:00"/>
    <s v="Intel Core i9 (12th Gen) 2.5 Ghz"/>
    <s v="Windows 11"/>
    <x v="2"/>
    <s v="16&quot; (40.64 cm), 1920 x 1200 px, IPS LCD Display"/>
    <s v="Web Camera"/>
    <s v="Slim 18.9 mm"/>
    <s v="HDMI Port"/>
    <m/>
    <n v="86"/>
    <x v="2"/>
    <x v="55"/>
    <x v="0"/>
  </r>
  <r>
    <s v="HP Victus 15-fb3009AX (B86SWPA) Laptop (AMD Hexa Core Ryzen 5/16 GB/512 GB SSD/Windows 11/6 GB)"/>
    <s v="HP Victus 15-fb3009AX (B86SWPA) Laptop (AMD Hexa Core Ryzen 5/16 GB/512 GB SSD/Windows 11/6 GB) price in India"/>
    <x v="46"/>
    <n v="8"/>
    <n v="70"/>
    <x v="0"/>
    <d v="2025-01-01T00:00:00"/>
    <s v="Intel Core i9 (12th Gen) 2.5 Ghz"/>
    <s v="Windows 11"/>
    <x v="6"/>
    <s v="15.6&quot; (39.62 cm), 1920 x 1080 px, IPS LCD Display"/>
    <s v="Web Camera"/>
    <m/>
    <s v="HDMI Port"/>
    <m/>
    <m/>
    <x v="7"/>
    <x v="55"/>
    <x v="0"/>
  </r>
  <r>
    <s v="HP Victus 15-fb3025AX (B83U0PA) Laptop (AMD Octa Core Ryzen 9/16 GB/1 TB SSD/Windows 11/8 GB)"/>
    <s v="HP Victus 15-fb3025AX (B83U0PA) Laptop (AMD Octa Core Ryzen 9/16 GB/1 TB SSD/Windows 11/8 GB) price in India"/>
    <x v="350"/>
    <n v="12"/>
    <n v="70"/>
    <x v="0"/>
    <d v="2025-01-01T00:00:00"/>
    <s v="Intel Core i9 (12th Gen) 2.5 Ghz"/>
    <s v="Windows 11"/>
    <x v="10"/>
    <s v="15.6&quot; (39.62 cm), 1920 x 1080 px, IPS LCD Display"/>
    <s v="Web Camera"/>
    <m/>
    <s v="HDMI Port"/>
    <m/>
    <m/>
    <x v="7"/>
    <x v="55"/>
    <x v="0"/>
  </r>
  <r>
    <s v="MSI Thin 15 B12UCX-2471IN Laptop (Core i5 12th Gen/16 GB/512 GB SSD/Windows 11/4 GB)"/>
    <s v="MSI Thin 15 B12UCX-2471IN Laptop (Core i5 12th Gen/16 GB/512 GB SSD/Windows 11/4 GB) price in India"/>
    <x v="799"/>
    <n v="11"/>
    <n v="70"/>
    <x v="0"/>
    <d v="2024-10-01T00:00:00"/>
    <s v="Intel Core i9 (12th Gen) 2.5 Ghz"/>
    <s v="Windows 11"/>
    <x v="2"/>
    <s v="15.6&quot; (39.62 cm), 1920 x 1080 px, IPS LCD Display"/>
    <s v="Web Camera"/>
    <s v="Slim 21.7 mm"/>
    <s v="HDMI Port"/>
    <m/>
    <n v="85"/>
    <x v="3"/>
    <x v="55"/>
    <x v="0"/>
  </r>
  <r>
    <s v="HP Pavilion 15-EH3101AU (840G5PA) Laptop (AMD Octa Core Ryzen 7/16 GB/512 GB SSD/Windows 11)"/>
    <s v="HP Pavilion 15-EH3101AU (840G5PA) Laptop (AMD Octa Core Ryzen 7/16 GB/512 GB SSD/Windows 11) price in India"/>
    <x v="800"/>
    <n v="18"/>
    <n v="70"/>
    <x v="0"/>
    <d v="2023-06-01T00:00:00"/>
    <s v="Intel Core i9 (12th Gen) 2.5 Ghz"/>
    <s v="Windows 11"/>
    <x v="2"/>
    <s v="15.6&quot; (39.62 cm), 1920 x 1080 px Display"/>
    <s v="Web Camera"/>
    <s v="Slim 17.9 mm"/>
    <s v="HDMI Port"/>
    <m/>
    <n v="76"/>
    <x v="7"/>
    <x v="55"/>
    <x v="0"/>
  </r>
  <r>
    <s v="Lenovo Ideapad Slim 3i (81WE007YIN) Laptop (Core i5 10th Gen/4 GB/1 TB/Windows 10)"/>
    <s v="Lenovo Ideapad Slim 3i (81WE007YIN) Laptop (Core i5 10th Gen/4 GB/1 TB/Windows 10) price in India"/>
    <x v="180"/>
    <n v="411"/>
    <n v="70"/>
    <x v="0"/>
    <d v="2020-08-01T00:00:00"/>
    <s v="Intel Core i9 (12th Gen) 3.4 Ghz"/>
    <s v="Windows 10"/>
    <x v="49"/>
    <s v="15.6&quot; (39.62 cm), 1920 x 1080 px, LED Display"/>
    <s v="Web Camera"/>
    <s v="Slim 19.9 mm"/>
    <s v="HDMI Port"/>
    <m/>
    <m/>
    <x v="5"/>
    <x v="55"/>
    <x v="7"/>
  </r>
  <r>
    <s v="Asus ROG Zephyrus G14 GA403UV-QS086WS Laptop (AMD Octa Core Ryzen 9/16 GB/1 TB SSD/Windows 11/8 GB)"/>
    <s v="Asus ROG Zephyrus G14 GA403UV-QS086WS Laptop (AMD Octa Core Ryzen 9/16 GB/1 TB SSD/Windows 11/8 GB) price in India"/>
    <x v="120"/>
    <n v="6"/>
    <n v="70"/>
    <x v="0"/>
    <d v="2024-08-01T00:00:00"/>
    <s v="Intel Core i9 (12th Gen) 3.4 Ghz"/>
    <s v="Windows 11"/>
    <x v="3"/>
    <s v="14&quot; (35.56 cm), 2880 x 1800 px, OLED Display"/>
    <s v="Web Camera"/>
    <s v="Slim 16.3 mm"/>
    <s v="HDMI Port"/>
    <m/>
    <m/>
    <x v="2"/>
    <x v="55"/>
    <x v="0"/>
  </r>
  <r>
    <s v="Lenovo Yoga 7 14IML9 (83DJ00AKIN) Laptop (Core Ultra 5/16 GB/512 GB SSD/Windows 11)"/>
    <s v="Lenovo Yoga 7 14IML9 (83DJ00AKIN) Laptop (Core Ultra 5/16 GB/512 GB SSD/Windows 11) price in India"/>
    <x v="207"/>
    <n v="6"/>
    <n v="70"/>
    <x v="0"/>
    <d v="2024-07-01T00:00:00"/>
    <s v="Intel Core i9 (12th Gen) 4.8 Ghz"/>
    <s v="Windows 11"/>
    <x v="8"/>
    <s v="14&quot; (35.56 cm), 1920 x 1200 px, OLED Display"/>
    <s v="Web Camera"/>
    <s v="Slim 16.6 mm"/>
    <s v="HDMI Port"/>
    <m/>
    <n v="83"/>
    <x v="5"/>
    <x v="55"/>
    <x v="0"/>
  </r>
  <r>
    <s v="MSI Modern 14 C12MO-1213IN Laptop (Core i3 12th Gen/8 GB/512 GB SSD/Windows 11)"/>
    <s v="MSI Modern 14 C12MO-1213IN Laptop (Core i3 12th Gen/8 GB/512 GB SSD/Windows 11) price in India"/>
    <x v="354"/>
    <n v="13"/>
    <n v="70"/>
    <x v="0"/>
    <d v="2024-07-01T00:00:00"/>
    <s v="Intel Core i9 (12th Gen) 4.8 Ghz"/>
    <s v="Windows 11"/>
    <x v="5"/>
    <s v="14&quot; (35.56 cm), 1920 x 1080 px, IPS LCD Display"/>
    <s v="Web Camera"/>
    <s v="Slim 19.3 mm"/>
    <s v="HDMI Port"/>
    <m/>
    <n v="77"/>
    <x v="3"/>
    <x v="55"/>
    <x v="2"/>
  </r>
  <r>
    <s v="HP Victus 15-fa1276TX (9W6U6PA) Laptop (Core i7 13th Gen/16 GB/512 GB SSD/Windows 11/8 GB)"/>
    <s v="HP Victus 15-fa1276TX (9W6U6PA) Laptop (Core i7 13th Gen/16 GB/512 GB SSD/Windows 11/8 GB) price in India"/>
    <x v="801"/>
    <n v="19"/>
    <n v="70"/>
    <x v="0"/>
    <d v="2024-06-01T00:00:00"/>
    <s v="Intel Core i9 (12th Gen) 5.0 Ghz"/>
    <s v="Windows 11"/>
    <x v="2"/>
    <s v="15.6&quot; (39.62 cm), 1920 x 1080 px, IPS LCD Display"/>
    <s v="Web Camera"/>
    <m/>
    <s v="HDMI Port"/>
    <m/>
    <m/>
    <x v="7"/>
    <x v="55"/>
    <x v="0"/>
  </r>
  <r>
    <s v="Acer Aspire Lite AL15-41 (UN.31ZSI.011) Laptop (AMD Octa Core Ryzen 7/16 GB/1 TB SSD/Windows 11)"/>
    <s v="Acer Aspire Lite AL15-41 (UN.31ZSI.011) Laptop (AMD Octa Core Ryzen 7/16 GB/1 TB SSD/Windows 11) price in India"/>
    <x v="180"/>
    <n v="12"/>
    <n v="70"/>
    <x v="0"/>
    <d v="2024-06-01T00:00:00"/>
    <s v="Intel Core i9 (13th Gen) 2.6 Ghz"/>
    <s v="Windows 11"/>
    <x v="23"/>
    <s v="15.6&quot; (39.62 cm), 1920 x 1080 px, TFT LCD Display"/>
    <s v="Web Camera"/>
    <s v="Slim 19.7 mm"/>
    <s v="HDMI Port"/>
    <m/>
    <n v="74"/>
    <x v="1"/>
    <x v="56"/>
    <x v="0"/>
  </r>
  <r>
    <s v="Acer Aspire Lite AL15-52 (UN.431SI.332) Laptop (Core i5 12th Gen/8 GB/512 GB SSD/Windows 11)"/>
    <s v="Acer Aspire Lite AL15-52 (UN.431SI.332) Laptop (Core i5 12th Gen/8 GB/512 GB SSD/Windows 11) price in India"/>
    <x v="802"/>
    <n v="40"/>
    <n v="70"/>
    <x v="0"/>
    <d v="2024-03-01T00:00:00"/>
    <s v="Intel Core i9 (13th Gen) 4.0 Ghz"/>
    <s v="Windows 11"/>
    <x v="16"/>
    <s v="15.6&quot; (39.62 cm), 1920 x 1080 px, IPS LCD Display"/>
    <s v="Web Camera"/>
    <s v="Slim 19.9 mm"/>
    <s v="HDMI Port"/>
    <m/>
    <n v="78"/>
    <x v="1"/>
    <x v="56"/>
    <x v="2"/>
  </r>
  <r>
    <s v="Lenovo ThinkBook 15 Gen 5 (21JFA02NIN) Laptop (AMD Octa Core Ryzen 7/16 GB/512 GB SSD/Windows 11)"/>
    <s v="Lenovo ThinkBook 15 Gen 5 (21JFA02NIN) Laptop (AMD Octa Core Ryzen 7/16 GB/512 GB SSD/Windows 11) price in India"/>
    <x v="803"/>
    <n v="17"/>
    <n v="70"/>
    <x v="0"/>
    <d v="2024-02-01T00:00:00"/>
    <s v="Intel Core i9 (13th Gen) 4.4 Ghz"/>
    <s v="Windows 11"/>
    <x v="2"/>
    <s v="15.6&quot; (39.62 cm), 1920 x 1080 px, IPS LCD Display"/>
    <s v="Web Camera"/>
    <s v="Slim 18.9 mm"/>
    <s v="HDMI Port"/>
    <m/>
    <n v="76"/>
    <x v="5"/>
    <x v="56"/>
    <x v="0"/>
  </r>
  <r>
    <s v="Acer Aspire Lite AL15-52 (UN.431SI.334) Laptop (Core i5 12th Gen/16 GB/512 GB SSD/Windows 11)"/>
    <s v="Acer Aspire Lite AL15-52 (UN.431SI.334) Laptop (Core i5 12th Gen/16 GB/512 GB SSD/Windows 11) price in India"/>
    <x v="180"/>
    <n v="40"/>
    <n v="70"/>
    <x v="0"/>
    <d v="2023-10-01T00:00:00"/>
    <s v="Intel Core i9 (13th Gen) 5.4 Ghz"/>
    <s v="Windows 11"/>
    <x v="2"/>
    <s v="15.6&quot; (39.62 cm), 1920 x 1080 px, TFT LCD Display"/>
    <s v="Web Camera"/>
    <s v="Slim 19.9 mm"/>
    <s v="HDMI Port"/>
    <m/>
    <n v="78"/>
    <x v="1"/>
    <x v="56"/>
    <x v="0"/>
  </r>
  <r>
    <s v="Dell Alienware m18 R1 (ANM18I0UCFG002CRB1) Laptop (Core i9 13th Gen/32 GB/1 TB SSD/Windows 11/12 GB)"/>
    <s v="Dell Alienware m18 R1 (ANM18I0UCFG002CRB1) Laptop (Core i9 13th Gen/32 GB/1 TB SSD/Windows 11/12 GB) price in India"/>
    <x v="804"/>
    <n v="4"/>
    <n v="70"/>
    <x v="0"/>
    <d v="2023-05-01T00:00:00"/>
    <s v="Intel Core i9 (13th Gen) 5.4 Ghz"/>
    <s v="Windows 11"/>
    <x v="19"/>
    <s v="18&quot; (45.72 cm), 2560 x 1600 px Display"/>
    <s v="Web Camera"/>
    <m/>
    <s v="HDMI Port"/>
    <m/>
    <m/>
    <x v="6"/>
    <x v="56"/>
    <x v="3"/>
  </r>
  <r>
    <s v="Asus VivoBook Go E1404FA-NK522WS Laptop (AMD Quad Core Ryzen 5/8 GB/512 GB SSD/Windows 11)"/>
    <s v="Asus VivoBook Go E1404FA-NK522WS Laptop (AMD Quad Core Ryzen 5/8 GB/512 GB SSD/Windows 11) price in India"/>
    <x v="356"/>
    <n v="16"/>
    <n v="70"/>
    <x v="0"/>
    <d v="2023-03-01T00:00:00"/>
    <s v="Intel Core i9 (13th Gen) 5.4 Ghz"/>
    <s v="Windows 11"/>
    <x v="20"/>
    <s v="14&quot; (35.56 cm), 1920 x 1080 px, IPS LCD Display"/>
    <s v="Web Camera"/>
    <s v="Slim 17.9 mm"/>
    <s v="HDMI Port"/>
    <m/>
    <n v="71"/>
    <x v="2"/>
    <x v="56"/>
    <x v="2"/>
  </r>
  <r>
    <s v="Lenovo Ideapad Slim 1 (82VG009MIN1) Laptop (AMD Quad Core Ryzen 3/8 GB/512 GB SSD/Windows 11)"/>
    <s v="Lenovo Ideapad Slim 1 (82VG009MIN1) Laptop (AMD Quad Core Ryzen 3/8 GB/512 GB SSD/Windows 11) price in India"/>
    <x v="276"/>
    <n v="16"/>
    <n v="70"/>
    <x v="0"/>
    <d v="2023-02-01T00:00:00"/>
    <s v="Intel Core i9 (13th Gen) 5.4 Ghz"/>
    <s v="Windows 11"/>
    <x v="20"/>
    <s v="15.6&quot; (39.62 cm), 1920 x 1080 px, IPS LCD Display"/>
    <s v="Web Camera"/>
    <s v="Slim 18 mm"/>
    <s v="HDMI Port"/>
    <m/>
    <m/>
    <x v="5"/>
    <x v="56"/>
    <x v="2"/>
  </r>
  <r>
    <s v="Lenovo Yoga 9i (83B1002GIN) Laptop (Core i7 13th Gen/16 GB/1 TB SSD/Windows 11)"/>
    <s v="Lenovo Yoga 9i (83B1002GIN) Laptop (Core i7 13th Gen/16 GB/1 TB SSD/Windows 11) price in India"/>
    <x v="805"/>
    <n v="2"/>
    <n v="70"/>
    <x v="0"/>
    <d v="2023-01-01T00:00:00"/>
    <s v="Intel Core i9 (13th Gen) 5.4 Ghz"/>
    <s v="Windows 11"/>
    <x v="21"/>
    <s v="14&quot; (35.56 cm), 3840 x 2400 px, OLED Display"/>
    <s v="Web Camera"/>
    <s v="Slim 15 mm"/>
    <m/>
    <m/>
    <n v="81"/>
    <x v="5"/>
    <x v="56"/>
    <x v="0"/>
  </r>
  <r>
    <s v="HP 245 G8 (62G68PA) Laptop (AMD Dual Core Ryzen 3/8 GB/1 TB/Windows 11)"/>
    <s v="HP 245 G8 (62G68PA) Laptop (AMD Dual Core Ryzen 3/8 GB/1 TB/Windows 11) price in India"/>
    <x v="565"/>
    <n v="96"/>
    <n v="70"/>
    <x v="0"/>
    <d v="2022-12-01T00:00:00"/>
    <s v="Intel Core i9 (13th Gen) 5.4 Ghz"/>
    <s v="Windows 11"/>
    <x v="37"/>
    <s v="14&quot; (35.56 cm), 1920 x 1080 px, IPS LCD Display"/>
    <s v="Web Camera"/>
    <s v="Slim 19.9 mm"/>
    <s v="HDMI Port"/>
    <m/>
    <m/>
    <x v="7"/>
    <x v="56"/>
    <x v="2"/>
  </r>
  <r>
    <s v="Microsoft Surface Pro 9 Intel Evo (QLP-00014) Laptop (Core i7 12th Gen/32 GB/1 TB SSD/Windows 11)"/>
    <s v="Microsoft Surface Pro 9 Intel Evo (QLP-00014) Laptop (Core i7 12th Gen/32 GB/1 TB SSD/Windows 11) price in India"/>
    <x v="90"/>
    <n v="2"/>
    <n v="70"/>
    <x v="0"/>
    <d v="2022-11-01T00:00:00"/>
    <s v="Intel Core i9 (13th Gen) 5.4 Ghz"/>
    <s v="Windows 11"/>
    <x v="46"/>
    <s v="13&quot; (33.02 cm), 2880 x 1920 px Display"/>
    <s v="Web Camera"/>
    <s v="Slim 09 mm"/>
    <m/>
    <m/>
    <n v="80"/>
    <x v="4"/>
    <x v="56"/>
    <x v="3"/>
  </r>
  <r>
    <s v="Dell Inspiron 15 3511 (D560612WIN9BE) Laptop (Core i3 10th Gen/8 GB/1 TB/Windows 10)"/>
    <s v="Dell Inspiron 15 3511 (D560612WIN9BE) Laptop (Core i3 10th Gen/8 GB/1 TB/Windows 10) price in India"/>
    <x v="806"/>
    <n v="141"/>
    <n v="70"/>
    <x v="0"/>
    <d v="2022-11-01T00:00:00"/>
    <s v="Intel Core i9 (13th Gen) 5.4 Ghz"/>
    <s v="Windows 10"/>
    <x v="37"/>
    <s v="15.6&quot; (39.62 cm), 1920 x 1080 px, LED Display"/>
    <s v="Web Camera"/>
    <s v="Slim 19 mm"/>
    <s v="HDMI Port"/>
    <m/>
    <m/>
    <x v="6"/>
    <x v="56"/>
    <x v="2"/>
  </r>
  <r>
    <s v="Gigabyte AERO 5 XE4 (RP5MXE4) Laptop (Core i7 12th Gen/16 GB/1 TB SSD/Windows 11/8 GB)"/>
    <s v="Gigabyte AERO 5 XE4 (RP5MXE4) Laptop (Core i7 12th Gen/16 GB/1 TB SSD/Windows 11/8 GB) price in India"/>
    <x v="807"/>
    <n v="2"/>
    <n v="70"/>
    <x v="0"/>
    <d v="2022-11-01T00:00:00"/>
    <s v="Intel Core i9 (13th Gen) 5.4 Ghz"/>
    <s v="Windows 11"/>
    <x v="23"/>
    <s v="15.6&quot; (39.62 cm), 3840 x 2160 px Display"/>
    <s v="Web Camera"/>
    <m/>
    <s v="HDMI Port"/>
    <m/>
    <n v="86"/>
    <x v="11"/>
    <x v="56"/>
    <x v="0"/>
  </r>
  <r>
    <s v="Dell Inspiron 15 3520 (D560868WIN9S) Laptop (Core i5 12th Gen/16 GB/512 GB SSD/Windows 11/2 GB)"/>
    <s v="Dell Inspiron 15 3520 (D560868WIN9S) Laptop (Core i5 12th Gen/16 GB/512 GB SSD/Windows 11/2 GB) price in India"/>
    <x v="808"/>
    <n v="16"/>
    <n v="70"/>
    <x v="0"/>
    <d v="2022-10-01T00:00:00"/>
    <s v="Intel Core i9 (13th Gen) 5.4 Ghz"/>
    <s v="Windows 11"/>
    <x v="2"/>
    <s v="15.6&quot; (39.62 cm), 1920 x 1080 px, IPS LCD Display"/>
    <s v="Web Camera"/>
    <s v="Slim 19.5 mm"/>
    <s v="HDMI Port"/>
    <m/>
    <n v="77"/>
    <x v="6"/>
    <x v="56"/>
    <x v="0"/>
  </r>
  <r>
    <s v="Asus VivoBook 14 X415JA-BV302WS Laptop (Core i3 10th Gen/8 GB/1 TB/Windows 11)"/>
    <s v="Asus VivoBook 14 X415JA-BV302WS Laptop (Core i3 10th Gen/8 GB/1 TB/Windows 11) price in India"/>
    <x v="271"/>
    <n v="1173"/>
    <n v="70"/>
    <x v="0"/>
    <d v="2022-09-01T00:00:00"/>
    <s v="Intel Core i9 (13th Gen) 5.4 Ghz"/>
    <s v="Windows 11"/>
    <x v="37"/>
    <s v="14&quot; (35.56 cm), 1366 x 768 px, IPS LCD Display"/>
    <s v="Web Camera"/>
    <s v="Slim 20 mm"/>
    <s v="HDMI Port"/>
    <m/>
    <m/>
    <x v="2"/>
    <x v="56"/>
    <x v="2"/>
  </r>
  <r>
    <s v="Asus Zenbook Flip 14 OLED UP5401ZA-KN711WS Laptop (Core i7 12th Gen/16 GB/1 TB SSD/Windows 11)"/>
    <s v="Asus Zenbook Flip 14 OLED UP5401ZA-KN711WS Laptop (Core i7 12th Gen/16 GB/1 TB SSD/Windows 11) price in India"/>
    <x v="809"/>
    <n v="2"/>
    <n v="70"/>
    <x v="0"/>
    <d v="2022-08-01T00:00:00"/>
    <s v="Intel Core i9 (13th Gen) 5.4 Ghz"/>
    <s v="Windows 11"/>
    <x v="21"/>
    <s v="14&quot; (35.56 cm), 2880 x 1880 px, OLED Display"/>
    <s v="Web Camera"/>
    <s v="Slim 16 mm"/>
    <s v="HDMI Port"/>
    <s v="3 USB Ports"/>
    <n v="80"/>
    <x v="2"/>
    <x v="56"/>
    <x v="0"/>
  </r>
  <r>
    <s v="Asus ROG Zephyrus G15 GA503RW-LN066WS Laptop (AMD Octa Core Ryzen 9/16 GB/1 TB SSD/Windows 11/8 GB)"/>
    <s v="Asus ROG Zephyrus G15 GA503RW-LN066WS Laptop (AMD Octa Core Ryzen 9/16 GB/1 TB SSD/Windows 11/8 GB) price in India"/>
    <x v="810"/>
    <n v="19"/>
    <n v="70"/>
    <x v="0"/>
    <d v="2022-07-01T00:00:00"/>
    <s v="Intel Core i9 (13th Gen) 5.4 Ghz"/>
    <s v="Windows 11"/>
    <x v="10"/>
    <s v="15.6&quot; (39.62 cm), 2560 x 1440 px Display"/>
    <s v="Web Camera"/>
    <s v="Slim 20 mm"/>
    <s v="HDMI Port"/>
    <m/>
    <n v="86"/>
    <x v="2"/>
    <x v="56"/>
    <x v="0"/>
  </r>
  <r>
    <s v="Lenovo V14 Gen 2 (82KAA057IH) Laptop (Core i3 11th Gen/8 GB/256 GB SSD/DOS)"/>
    <s v="Lenovo V14 Gen 2 (82KAA057IH) Laptop (Core i3 11th Gen/8 GB/256 GB SSD/DOS) price in India"/>
    <x v="811"/>
    <n v="6"/>
    <n v="70"/>
    <x v="0"/>
    <d v="2022-07-01T00:00:00"/>
    <s v="Intel Core i9 (13th Gen) 5.4 Ghz"/>
    <s v="DOS"/>
    <x v="38"/>
    <s v="14&quot; (35.56 cm), 1366 x 768 px, TN LCD Display"/>
    <s v="Web Camera"/>
    <s v="Slim 19.9 mm"/>
    <s v="HDMI Port"/>
    <m/>
    <m/>
    <x v="5"/>
    <x v="56"/>
    <x v="2"/>
  </r>
  <r>
    <s v="Asus Zenbook Flip 14 OLED UP5401ZA-KN701WS Laptop (Core i7 12th Gen/16 GB/512 GB SSD/Windows 11)"/>
    <s v="Asus Zenbook Flip 14 OLED UP5401ZA-KN701WS Laptop (Core i7 12th Gen/16 GB/512 GB SSD/Windows 11) price in India"/>
    <x v="812"/>
    <n v="11"/>
    <n v="70"/>
    <x v="0"/>
    <d v="2022-06-01T00:00:00"/>
    <s v="Intel Core i9 (13th Gen) 5.4 Ghz"/>
    <s v="Windows 11"/>
    <x v="17"/>
    <s v="14&quot; (35.56 cm), 2880 x 1800 px, OLED Display"/>
    <s v="Web Camera"/>
    <s v="Slim 15.9 mm"/>
    <s v="HDMI Port"/>
    <m/>
    <n v="79"/>
    <x v="2"/>
    <x v="56"/>
    <x v="0"/>
  </r>
  <r>
    <s v="HP 15-fd0577TU (BG6E4PA) Laptop (Core i5 13th Gen/16 GB/512 GB SSD/Windows 11)"/>
    <s v="HP 15-fd0577TU (BG6E4PA) Laptop (Core i5 13th Gen/16 GB/512 GB SSD/Windows 11) price in India"/>
    <x v="189"/>
    <n v="7"/>
    <n v="68"/>
    <x v="1"/>
    <d v="2025-04-01T00:00:00"/>
    <s v="Intel Core i9 (13th Gen) 5.4 Ghz"/>
    <s v="Windows 11"/>
    <x v="2"/>
    <s v="15.6&quot; (39.62 cm), 1920 x 1080 px Display"/>
    <s v="Web Camera"/>
    <s v="Slim 18.6 mm"/>
    <s v="HDMI Port"/>
    <m/>
    <n v="79"/>
    <x v="7"/>
    <x v="56"/>
    <x v="0"/>
  </r>
  <r>
    <s v="Lenovo IdeaPad 3 15IJL6 (82N4004QHA) Laptop (Intel Celeron Dual Core/8 GB/128 GB eMMC/Google Chrome)"/>
    <s v="Lenovo IdeaPad 3 15IJL6 (82N4004QHA) Laptop (Intel Celeron Dual Core/8 GB/128 GB eMMC/Google Chrome) price in India"/>
    <x v="813"/>
    <n v="104"/>
    <n v="68"/>
    <x v="1"/>
    <d v="2024-09-01T00:00:00"/>
    <s v="Intel Core i9 (13th Gen) 5.4 Ghz"/>
    <s v="Google Chrome"/>
    <x v="56"/>
    <s v="15.6&quot; (39.62 cm), 1920 x 1080 px, TN LCD Display"/>
    <s v="Web Camera"/>
    <s v="Slim 18.9 mm"/>
    <s v="HDMI Port"/>
    <m/>
    <m/>
    <x v="5"/>
    <x v="56"/>
    <x v="2"/>
  </r>
  <r>
    <s v="Lenovo Ideapad Slim 3i (82C1002EHA) Laptop (Celeron Dual Core/4 GB/64 GB SSD/Google Chrome)"/>
    <s v="Lenovo Ideapad Slim 3i (82C1002EHA) Laptop (Celeron Dual Core/4 GB/64 GB SSD/Google Chrome) price in India"/>
    <x v="814"/>
    <n v="241"/>
    <n v="68"/>
    <x v="1"/>
    <d v="2022-11-01T00:00:00"/>
    <s v="Intel Core i9 (13th Gen) 5.4 Ghz"/>
    <s v="Google Chrome"/>
    <x v="73"/>
    <s v="14&quot; (35.56 cm), 1920 x 1080 px, LED Display"/>
    <s v="Web Camera"/>
    <s v="Slim 18.8 mm"/>
    <m/>
    <m/>
    <m/>
    <x v="5"/>
    <x v="56"/>
    <x v="7"/>
  </r>
  <r>
    <s v="Lenovo Ideapad 330 (81DC00YEIN) Laptop (Core i3 7th Gen/4 GB/1 TB/Windows 10)"/>
    <s v="Lenovo Ideapad 330 (81DC00YEIN) Laptop (Core i3 7th Gen/4 GB/1 TB/Windows 10) price in India"/>
    <x v="318"/>
    <n v="277"/>
    <n v="68"/>
    <x v="1"/>
    <m/>
    <s v="Intel Core i9 (13th Gen) 5.4 Ghz"/>
    <s v="Windows 10"/>
    <x v="49"/>
    <s v="15.6&quot; (39.62 cm), 1920 x 1080 px, LED Display"/>
    <s v="Web Camera"/>
    <m/>
    <s v="HDMI Port"/>
    <s v="2 USB Ports"/>
    <m/>
    <x v="5"/>
    <x v="56"/>
    <x v="7"/>
  </r>
  <r>
    <s v="Dell G15-5530 (GN5530D83M6002ORB1) Laptop (Core i5 13th Gen/16 GB/512 GB SSD/Windows 11/6 GB)"/>
    <s v="Dell G15-5530 (GN5530D83M6002ORB1) Laptop (Core i5 13th Gen/16 GB/512 GB SSD/Windows 11/6 GB) price in India"/>
    <x v="681"/>
    <n v="16"/>
    <n v="68"/>
    <x v="1"/>
    <d v="2023-04-01T00:00:00"/>
    <s v="Intel Core i9 (13th Gen) 5.6 Ghz"/>
    <s v="Windows 11"/>
    <x v="6"/>
    <s v="15.6&quot; (39.62 cm), 1920 x 1080 px, IPS LCD Display"/>
    <s v="Web Camera"/>
    <m/>
    <s v="HDMI Port"/>
    <m/>
    <n v="83"/>
    <x v="6"/>
    <x v="56"/>
    <x v="0"/>
  </r>
  <r>
    <s v="Dell Alienware m16 R2 (OANM162128501RIN) Laptop (Core Ultra 9/16 GB/1 TB SSD/Windows 11/8 GB)"/>
    <s v="Dell Alienware m16 R2 (OANM162128501RIN) Laptop (Core Ultra 9/16 GB/1 TB SSD/Windows 11/8 GB) price in India"/>
    <x v="815"/>
    <n v="14"/>
    <n v="68"/>
    <x v="1"/>
    <d v="2024-06-01T00:00:00"/>
    <s v="Intel Core i9 (13th Gen) 5.6 Ghz"/>
    <s v="Windows 11"/>
    <x v="10"/>
    <s v="16&quot; (40.64 cm), 2560 x 1600 px Display"/>
    <s v="Web Camera"/>
    <m/>
    <s v="HDMI Port"/>
    <m/>
    <m/>
    <x v="6"/>
    <x v="56"/>
    <x v="0"/>
  </r>
  <r>
    <s v="HP 250 G9 (8Y2Y9PA) Laptop (Intel Celeron Dual Core/8 GB/256 GB SSD/DOS)"/>
    <s v="HP 250 G9 (8Y2Y9PA) Laptop (Intel Celeron Dual Core/8 GB/256 GB SSD/DOS) price in India"/>
    <x v="816"/>
    <n v="57"/>
    <n v="68"/>
    <x v="1"/>
    <d v="2024-03-01T00:00:00"/>
    <s v="Intel Core i9 (13th Gen) 5.6 Ghz"/>
    <s v="DOS"/>
    <x v="38"/>
    <s v="15.6&quot; (39.62 cm), 1366 x 768 px Display"/>
    <s v="Web Camera"/>
    <m/>
    <s v="HDMI Port"/>
    <m/>
    <m/>
    <x v="7"/>
    <x v="56"/>
    <x v="2"/>
  </r>
  <r>
    <s v="HP 15s-fq5190tu (7W476PA) Laptop (Core i7 12th Gen/16 GB/512 GB SSD/Windows 11)"/>
    <s v="HP 15s-fq5190tu (7W476PA) Laptop (Core i7 12th Gen/16 GB/512 GB SSD/Windows 11) price in India"/>
    <x v="159"/>
    <n v="49"/>
    <n v="68"/>
    <x v="1"/>
    <d v="2024-02-01T00:00:00"/>
    <s v="Intel Core i9 (13th Gen) 5.6 Ghz"/>
    <s v="Windows 11"/>
    <x v="2"/>
    <s v="15.6&quot; (39.62 cm), 1920 x 1080 px, IPS LCD Display"/>
    <s v="Web Camera"/>
    <m/>
    <s v="HDMI Port"/>
    <m/>
    <n v="73"/>
    <x v="7"/>
    <x v="56"/>
    <x v="0"/>
  </r>
  <r>
    <s v="Lenovo V15 ITL G2 (82KB00EUIN) Laptop (Core i3 11th Gen/4 GB/1 TB/DOS)"/>
    <s v="Lenovo V15 ITL G2 (82KB00EUIN) Laptop (Core i3 11th Gen/4 GB/1 TB/DOS) price in India"/>
    <x v="133"/>
    <n v="182"/>
    <n v="68"/>
    <x v="1"/>
    <d v="2023-09-01T00:00:00"/>
    <s v="Intel Core i9 (13th Gen) 5.6 Ghz"/>
    <s v="DOS"/>
    <x v="49"/>
    <s v="15&quot; (38.1 cm), 1920 x 1080 px, LED Display"/>
    <s v="Web Camera"/>
    <s v="Slim 19.9 mm"/>
    <s v="HDMI Port"/>
    <s v="2 USB Ports"/>
    <m/>
    <x v="5"/>
    <x v="56"/>
    <x v="7"/>
  </r>
  <r>
    <s v="Acer Swift Go 14 SFG14-41 (NX.KG3SI.004) Laptop (AMD Hexa Core Ryzen 5/8 GB/512 GB SSD/Windows 11)"/>
    <s v="Acer Swift Go 14 SFG14-41 (NX.KG3SI.004) Laptop (AMD Hexa Core Ryzen 5/8 GB/512 GB SSD/Windows 11) price in India"/>
    <x v="382"/>
    <n v="5"/>
    <n v="68"/>
    <x v="1"/>
    <d v="2023-02-01T00:00:00"/>
    <s v="Intel Core i9 (13th Gen) 5.6 Ghz"/>
    <s v="Windows 11"/>
    <x v="48"/>
    <s v="14&quot; (35.56 cm), 1920 x 1080 px, TFT LCD Display"/>
    <s v="Web Camera"/>
    <s v="Slim 15.9 mm"/>
    <s v="HDMI Port"/>
    <m/>
    <n v="73"/>
    <x v="1"/>
    <x v="56"/>
    <x v="2"/>
  </r>
  <r>
    <s v="Dell Vostro 3425 (D552308WIN9B) Laptop (AMD Quad Core Ryzen 3/8 GB/256 GB SSD/Windows 11)"/>
    <s v="Dell Vostro 3425 (D552308WIN9B) Laptop (AMD Quad Core Ryzen 3/8 GB/256 GB SSD/Windows 11) price in India"/>
    <x v="817"/>
    <n v="10"/>
    <n v="68"/>
    <x v="1"/>
    <d v="2023-01-01T00:00:00"/>
    <s v="Intel Core i9 (13th Gen) 5.6 Ghz"/>
    <s v="Windows 11"/>
    <x v="38"/>
    <s v="14&quot; (35.56 cm), 1920 x 1080 px, IPS LCD Display"/>
    <s v="Web Camera"/>
    <s v="Slim 18.6 mm"/>
    <s v="HDMI Port"/>
    <m/>
    <m/>
    <x v="6"/>
    <x v="56"/>
    <x v="2"/>
  </r>
  <r>
    <s v="Lenovo V15 (82C700H3IH) Laptop (AMD Dual Core Ryzen 3/4 GB/1 TB/Windows 10)"/>
    <s v="Lenovo V15 (82C700H3IH) Laptop (AMD Dual Core Ryzen 3/4 GB/1 TB/Windows 10) price in India"/>
    <x v="337"/>
    <n v="153"/>
    <n v="68"/>
    <x v="1"/>
    <d v="2022-11-01T00:00:00"/>
    <s v="Intel Core i9 (13th Gen) 5.6 Ghz"/>
    <s v="Windows 10"/>
    <x v="49"/>
    <s v="15.6&quot; (39.62 cm), 1366 x 768 px, LED Display"/>
    <s v="Web Camera"/>
    <s v="Slim 19 mm"/>
    <s v="HDMI Port"/>
    <m/>
    <m/>
    <x v="5"/>
    <x v="56"/>
    <x v="7"/>
  </r>
  <r>
    <s v="Dell G15-5525 (D560896WIN9S) Laptop (AMD Octa Core Ryzen 9/16 GB/1 TB SSD/Windows 11/6 GB)"/>
    <s v="Dell G15-5525 (D560896WIN9S) Laptop (AMD Octa Core Ryzen 9/16 GB/1 TB SSD/Windows 11/6 GB) price in India"/>
    <x v="191"/>
    <n v="9"/>
    <n v="68"/>
    <x v="1"/>
    <d v="2022-10-01T00:00:00"/>
    <s v="Intel Core i9 (13th Gen) 5.6 Ghz"/>
    <s v="Windows 11"/>
    <x v="10"/>
    <s v="15.6&quot; (39.62 cm), 1920 x 1080 px, IPS LCD Display"/>
    <s v="Web Camera"/>
    <m/>
    <s v="HDMI Port"/>
    <m/>
    <n v="83"/>
    <x v="6"/>
    <x v="56"/>
    <x v="0"/>
  </r>
  <r>
    <s v="Lenovo Ideapad Slim 1 15ADA7 (82R1007XIN) Laptop (AMD Dual Core Ryzen 3/8 GB/512 GB SSD/Windows 11)"/>
    <s v="Lenovo Ideapad Slim 1 15ADA7 (82R1007XIN) Laptop (AMD Dual Core Ryzen 3/8 GB/512 GB SSD/Windows 11) price in India"/>
    <x v="337"/>
    <n v="42"/>
    <n v="68"/>
    <x v="1"/>
    <d v="2022-07-01T00:00:00"/>
    <s v="Intel Core i9 (13th Gen) 5.6 Ghz"/>
    <s v="Windows 11"/>
    <x v="5"/>
    <s v="15.6&quot; (39.62 cm), 1920 x 1080 px, IPS LCD Display"/>
    <s v="Web Camera"/>
    <s v="Slim 18 mm"/>
    <s v="HDMI Port"/>
    <m/>
    <m/>
    <x v="5"/>
    <x v="56"/>
    <x v="2"/>
  </r>
  <r>
    <s v="Asus ROG Zephyrus G15 GA503RM-HQ111WS Laptop (AMD Octa Core Ryzen 7/16 GB/1 TB SSD/Windows 11/6 GB)"/>
    <s v="Asus ROG Zephyrus G15 GA503RM-HQ111WS Laptop (AMD Octa Core Ryzen 7/16 GB/1 TB SSD/Windows 11/6 GB) price in India"/>
    <x v="183"/>
    <n v="11"/>
    <n v="68"/>
    <x v="1"/>
    <d v="2022-07-01T00:00:00"/>
    <s v="Intel Core i9 (13th Gen) 5.8 Ghz"/>
    <s v="Windows 11"/>
    <x v="10"/>
    <s v="15.6&quot; (39.62 cm), 2560 x 1440 px, IPS LCD Display"/>
    <s v="Web Camera"/>
    <m/>
    <s v="HDMI Port"/>
    <m/>
    <n v="84"/>
    <x v="2"/>
    <x v="56"/>
    <x v="0"/>
  </r>
  <r>
    <s v="Dell Alienware X14 R1 (D569938WIN9) Laptop (Core i7 12th Gen/16 GB/512 GB SSD/Windows 11/4 GB)"/>
    <s v="Dell Alienware X14 R1 (D569938WIN9) Laptop (Core i7 12th Gen/16 GB/512 GB SSD/Windows 11/4 GB) price in India"/>
    <x v="818"/>
    <n v="8"/>
    <n v="68"/>
    <x v="1"/>
    <d v="2022-07-01T00:00:00"/>
    <s v="Intel Core i9 (14th Gen) 5.8 Ghz"/>
    <s v="Windows 11"/>
    <x v="17"/>
    <s v="14&quot; (35.56 cm), 1920 x 1080 px Display"/>
    <s v="Web Camera"/>
    <s v="Slim 14.4 mm"/>
    <s v="HDMI Port"/>
    <s v="1 USB Ports"/>
    <n v="83"/>
    <x v="6"/>
    <x v="57"/>
    <x v="0"/>
  </r>
  <r>
    <s v="Asus VivoBook 15 X515JA-BQ501W Laptop (Core i5 10th Gen/8 GB/1 TB/Windows 11)"/>
    <s v="Asus VivoBook 15 X515JA-BQ501W Laptop (Core i5 10th Gen/8 GB/1 TB/Windows 11) price in India"/>
    <x v="266"/>
    <n v="99"/>
    <n v="68"/>
    <x v="1"/>
    <d v="2022-07-01T00:00:00"/>
    <s v="Intel Core i9 (14th Gen) 5.8 Ghz"/>
    <s v="Windows 11"/>
    <x v="37"/>
    <s v="15.6&quot; (39.62 cm), 1920 x 1080 px, IPS LCD Display"/>
    <s v="Web Camera"/>
    <s v="Slim 19.9 mm"/>
    <s v="HDMI Port"/>
    <m/>
    <m/>
    <x v="2"/>
    <x v="57"/>
    <x v="2"/>
  </r>
  <r>
    <s v="Asus ROG Strix G16 G615LR-S5190WS Laptop (Core Ultra 9 Series 2 /32 GB/1 TB SSD/Windows 11/12 GB)"/>
    <s v="Asus ROG Strix G16 G615LR-S5190WS Laptop (Core Ultra 9 Series 2 /32 GB/1 TB SSD/Windows 11/12 GB) price in India"/>
    <x v="819"/>
    <n v="3"/>
    <n v="66"/>
    <x v="1"/>
    <d v="2025-05-01T00:00:00"/>
    <s v="Intel Core Ultra 5 (Series 2) 4.5 Ghz, Octa-Core"/>
    <s v="Windows 11"/>
    <x v="19"/>
    <s v="16&quot; (40.64 cm), 2560 x 1600 px, IPS LCD Display"/>
    <s v="Web Camera"/>
    <m/>
    <s v="HDMI Port"/>
    <m/>
    <m/>
    <x v="2"/>
    <x v="58"/>
    <x v="3"/>
  </r>
  <r>
    <s v="HP 15-fc1004AU (AK6C7PA) Laptop (AMD Hexa Core Ryzen 5/8 GB/512 GB SSD/Windows 11)"/>
    <s v="HP 15-fc1004AU (AK6C7PA) Laptop (AMD Hexa Core Ryzen 5/8 GB/512 GB SSD/Windows 11) price in India"/>
    <x v="180"/>
    <n v="3"/>
    <n v="66"/>
    <x v="1"/>
    <d v="2024-10-01T00:00:00"/>
    <s v="Intel Core Ultra 5 (Series 2) 4.5 Ghz, Octa-Core"/>
    <s v="Windows 11"/>
    <x v="16"/>
    <s v="15.6&quot; (39.62 cm), 1920 x 1080 px, IPS LCD Display"/>
    <s v="Web Camera"/>
    <s v="Slim 18.6 mm"/>
    <s v="HDMI Port"/>
    <m/>
    <n v="80"/>
    <x v="7"/>
    <x v="58"/>
    <x v="2"/>
  </r>
  <r>
    <s v="Thomson Neo IN-N15V2C4SL128 Laptop (Intel Celeron Dual Core/4 GB/128 GB SSD/Windows 11)"/>
    <s v="Thomson Neo IN-N15V2C4SL128 Laptop (Intel Celeron Dual Core/4 GB/128 GB SSD/Windows 11) price in India"/>
    <x v="763"/>
    <n v="7"/>
    <n v="66"/>
    <x v="1"/>
    <d v="2024-07-01T00:00:00"/>
    <s v="Intel Core Ultra 5 (Series 2) 4.5 Ghz, Octa-Core"/>
    <s v="Windows 11"/>
    <x v="85"/>
    <s v="15.6&quot; (39.62 cm), 1920 x 1080 px Display"/>
    <s v="Web Camera"/>
    <m/>
    <s v="HDMI Port"/>
    <m/>
    <m/>
    <x v="17"/>
    <x v="58"/>
    <x v="7"/>
  </r>
  <r>
    <s v="Lenovo V15 G2 (82QYA00HIN) Laptop (Intel Celeron Dual Core/8 GB/256 GB SSD/DOS)"/>
    <s v="Lenovo V15 G2 (82QYA00HIN) Laptop (Intel Celeron Dual Core/8 GB/256 GB SSD/DOS) price in India"/>
    <x v="820"/>
    <n v="27"/>
    <n v="66"/>
    <x v="1"/>
    <d v="2023-04-01T00:00:00"/>
    <s v="Intel Core Ultra 5 (Series 2) 4.5 Ghz, Octa-Core"/>
    <s v="DOS"/>
    <x v="38"/>
    <s v="15.6&quot; (39.62 cm), 1920 x 1080 px Display"/>
    <s v="Web Camera"/>
    <m/>
    <s v="HDMI Port"/>
    <m/>
    <m/>
    <x v="5"/>
    <x v="58"/>
    <x v="2"/>
  </r>
  <r>
    <s v="Lenovo E41-55 (82FJ00B5IH) Laptop (AMD Dual Core Athlon/4 GB/1 TB/DOS)"/>
    <s v="Lenovo E41-55 (82FJ00B5IH) Laptop (AMD Dual Core Athlon/4 GB/1 TB/DOS) price in India"/>
    <x v="720"/>
    <n v="50"/>
    <n v="66"/>
    <x v="1"/>
    <d v="2022-12-01T00:00:00"/>
    <s v="Intel Core Ultra 5 (Series 2) 4.9 Ghz"/>
    <s v="DOS"/>
    <x v="49"/>
    <s v="14&quot; (35.56 cm), 1366 x 768 px, IPS LCD Display"/>
    <s v="Web Camera"/>
    <s v="Slim 19.9 mm"/>
    <s v="HDMI Port"/>
    <m/>
    <m/>
    <x v="5"/>
    <x v="58"/>
    <x v="7"/>
  </r>
  <r>
    <s v="Lenovo E41-55 (82FJ00B2IH) Laptop (AMD Dual Core Athlon/4 GB/1 TB/DOS)"/>
    <s v="Lenovo E41-55 (82FJ00B2IH) Laptop (AMD Dual Core Athlon/4 GB/1 TB/DOS) price in India"/>
    <x v="720"/>
    <n v="17"/>
    <n v="66"/>
    <x v="1"/>
    <d v="2022-12-01T00:00:00"/>
    <s v="Intel Core Ultra 5 (Series 2) 4.9 Ghz"/>
    <s v="DOS"/>
    <x v="49"/>
    <s v="14&quot; (35.56 cm), 1366 x 768 px, IPS LCD Display"/>
    <s v="Web Camera"/>
    <s v="Slim 19.9 mm"/>
    <s v="HDMI Port"/>
    <m/>
    <m/>
    <x v="5"/>
    <x v="58"/>
    <x v="7"/>
  </r>
  <r>
    <s v="Dell Inspiron 15 3511 (D560593WIN9SE) Laptop (Core i3 10th Gen/8 GB/1 TB/Windows 10)"/>
    <s v="Dell Inspiron 15 3511 (D560593WIN9SE) Laptop (Core i3 10th Gen/8 GB/1 TB/Windows 10) price in India"/>
    <x v="821"/>
    <n v="127"/>
    <n v="66"/>
    <x v="1"/>
    <d v="2022-11-01T00:00:00"/>
    <s v="Intel Core Ultra 5 (Series 2) 4.9 Ghz"/>
    <s v="Windows 10"/>
    <x v="37"/>
    <s v="15.6&quot; (39.62 cm), 1920 x 1080 px, LED Display"/>
    <s v="Web Camera"/>
    <s v="Slim 19 mm"/>
    <s v="HDMI Port"/>
    <m/>
    <m/>
    <x v="6"/>
    <x v="58"/>
    <x v="2"/>
  </r>
  <r>
    <s v="Dell Inspiron 15 3511 (D560581WIN9BE) Laptop (Core i3 11th Gen/8 GB/256 GB SSD/Windows 10)"/>
    <s v="Dell Inspiron 15 3511 (D560581WIN9BE) Laptop (Core i3 11th Gen/8 GB/256 GB SSD/Windows 10) price in India"/>
    <x v="47"/>
    <n v="817"/>
    <n v="66"/>
    <x v="1"/>
    <d v="2022-11-01T00:00:00"/>
    <s v="Intel Core Ultra 5 (Series 2) 4.9 Ghz"/>
    <s v="Windows 10"/>
    <x v="38"/>
    <s v="15.6&quot; (39.62 cm), 1920 x 1080 px, LED Display"/>
    <s v="Web Camera"/>
    <s v="Slim 19 mm"/>
    <s v="HDMI Port"/>
    <m/>
    <m/>
    <x v="6"/>
    <x v="58"/>
    <x v="2"/>
  </r>
  <r>
    <s v="Lenovo Ideapad Slim 5 14ABA7 (82SE005SIN) Laptop (AMD Hexa Core Ryzen 5/16 GB/512 GB SSD/Windows 11)"/>
    <s v="Lenovo Ideapad Slim 5 14ABA7 (82SE005SIN) Laptop (AMD Hexa Core Ryzen 5/16 GB/512 GB SSD/Windows 11) price in India"/>
    <x v="185"/>
    <n v="3"/>
    <n v="66"/>
    <x v="1"/>
    <d v="2022-07-01T00:00:00"/>
    <s v="Intel Core Ultra 5 (Series 2) 4.9 Ghz"/>
    <s v="Windows 11"/>
    <x v="2"/>
    <s v="14&quot; (35.56 cm), 1920 x 1080 px, IPS LCD Display"/>
    <s v="Web Camera"/>
    <s v="Slim 17 mm"/>
    <s v="HDMI Port"/>
    <m/>
    <n v="72"/>
    <x v="5"/>
    <x v="58"/>
    <x v="0"/>
  </r>
  <r>
    <s v="Lenovo Ideapad Slim 5i (82SF004WIN) Laptop (Core i5 12th Gen/16 GB/512 GB SSD/Windows 11)"/>
    <s v="Lenovo Ideapad Slim 5i (82SF004WIN) Laptop (Core i5 12th Gen/16 GB/512 GB SSD/Windows 11) price in India"/>
    <x v="822"/>
    <n v="3"/>
    <n v="66"/>
    <x v="1"/>
    <d v="2022-07-01T00:00:00"/>
    <s v="Intel Core Ultra 5 4.2 Ghz, Octa-Core"/>
    <s v="Windows 11"/>
    <x v="2"/>
    <s v="15.6&quot; (39.62 cm), 1920 x 1080 px, IPS LCD Display"/>
    <s v="Web Camera"/>
    <s v="Slim 17 mm"/>
    <s v="HDMI Port"/>
    <m/>
    <n v="75"/>
    <x v="5"/>
    <x v="58"/>
    <x v="0"/>
  </r>
  <r>
    <s v="Asus ROG Zephyrus Duo 16 GX650RMZ-LS019WS Laptop (AMD Octa Core Ryzen 7/32 GB/2 TB SSD/Windows 11/6 GB)"/>
    <s v="Asus ROG Zephyrus Duo 16 GX650RMZ-LS019WS Laptop (AMD Octa Core Ryzen 7/32 GB/2 TB SSD/Windows 11/6 GB) price in India"/>
    <x v="823"/>
    <n v="3"/>
    <n v="66"/>
    <x v="1"/>
    <d v="2022-07-01T00:00:00"/>
    <s v="Intel Core Ultra 5 4.2 Ghz, Octa-Core"/>
    <s v="Windows 11"/>
    <x v="22"/>
    <s v="16&quot; (40.64 cm), 1920 x 1200 px Display"/>
    <s v="Web Camera"/>
    <s v="Slim 21 mm"/>
    <s v="HDMI Port"/>
    <m/>
    <n v="86"/>
    <x v="2"/>
    <x v="58"/>
    <x v="3"/>
  </r>
  <r>
    <s v="Acer Extensa EX215-31 (NX.EFTSI.005) Laptop (Intel Pentium Quad Core/4 GB/1 TB/Windows 11)"/>
    <s v="Acer Extensa EX215-31 (NX.EFTSI.005) Laptop (Intel Pentium Quad Core/4 GB/1 TB/Windows 11) price in India"/>
    <x v="492"/>
    <n v="119"/>
    <n v="66"/>
    <x v="1"/>
    <d v="2022-06-01T00:00:00"/>
    <s v="Intel Core Ultra 5 4.3 Ghz"/>
    <s v="Windows 11"/>
    <x v="49"/>
    <s v="15.6&quot; (39.62 cm), 1920 x 1080 px, IPS LCD Display"/>
    <s v="Web Camera"/>
    <s v="Slim 19.9 mm"/>
    <s v="HDMI Port"/>
    <m/>
    <m/>
    <x v="1"/>
    <x v="58"/>
    <x v="7"/>
  </r>
  <r>
    <s v="Asus Vivobook Go 15 X1500KA-EJ021W Laptop (Intel Celeron Dual Core/8 GB/512 GB SSD/Windows 11)"/>
    <s v="Asus Vivobook Go 15 X1500KA-EJ021W Laptop (Intel Celeron Dual Core/8 GB/512 GB SSD/Windows 11) price in India"/>
    <x v="639"/>
    <n v="4"/>
    <n v="64"/>
    <x v="1"/>
    <d v="2024-11-01T00:00:00"/>
    <s v="Intel Core Ultra 5 4.3 Ghz"/>
    <s v="Windows 11"/>
    <x v="5"/>
    <s v="15.6&quot; (39.62 cm), 1920 x 1080 px, IPS LCD Display"/>
    <s v="Web Camera"/>
    <s v="Slim 18.1 mm"/>
    <s v="HDMI Port"/>
    <m/>
    <m/>
    <x v="2"/>
    <x v="58"/>
    <x v="2"/>
  </r>
  <r>
    <s v="HP 15-fc0156AU (9D3N4PA) Laptop (AMD Quad Core Ryzen 5/16 GB/512 GB SSD/Windows 11)"/>
    <s v="HP 15-fc0156AU (9D3N4PA) Laptop (AMD Quad Core Ryzen 5/16 GB/512 GB SSD/Windows 11) price in India"/>
    <x v="824"/>
    <n v="13"/>
    <n v="64"/>
    <x v="1"/>
    <d v="2024-06-01T00:00:00"/>
    <s v="Intel Core Ultra 5 4.3 Ghz"/>
    <s v="Windows 11"/>
    <x v="17"/>
    <s v="15.6&quot; (39.62 cm), 1920 x 1080 px, IPS LCD Display"/>
    <s v="Web Camera"/>
    <s v="Slim 18.6 mm"/>
    <s v="HDMI Port"/>
    <m/>
    <n v="77"/>
    <x v="7"/>
    <x v="58"/>
    <x v="0"/>
  </r>
  <r>
    <s v="HP 15-fd0220TU (9D3N0PA) Laptop (Core i5 13th Gen/8 GB/512 GB SSD/Windows 11)"/>
    <s v="HP 15-fd0220TU (9D3N0PA) Laptop (Core i5 13th Gen/8 GB/512 GB SSD/Windows 11) price in India"/>
    <x v="177"/>
    <n v="38"/>
    <n v="64"/>
    <x v="1"/>
    <d v="2024-06-01T00:00:00"/>
    <s v="Intel Core Ultra 5 4.3 Ghz"/>
    <s v="Windows 11"/>
    <x v="5"/>
    <s v="15.6&quot; (39.62 cm), 1920 x 1080 px, IPS LCD Display"/>
    <s v="Web Camera"/>
    <s v="Slim 18.6 mm"/>
    <s v="HDMI Port"/>
    <m/>
    <n v="80"/>
    <x v="7"/>
    <x v="58"/>
    <x v="2"/>
  </r>
  <r>
    <s v="Lenovo LOQ 15IRX9 (83DV007JIN) Laptop (Core i5 13th Gen/16 GB/512 GB SSD/Windows 11/6 GB)"/>
    <s v="Lenovo LOQ 15IRX9 (83DV007JIN) Laptop (Core i5 13th Gen/16 GB/512 GB SSD/Windows 11/6 GB) price in India"/>
    <x v="759"/>
    <n v="6"/>
    <n v="64"/>
    <x v="1"/>
    <d v="2024-01-01T00:00:00"/>
    <s v="Intel Core Ultra 5 4.5 Ghz"/>
    <s v="Windows 11"/>
    <x v="6"/>
    <s v="15.6&quot; (39.62 cm), 1920 x 1080 px, IPS LCD Display"/>
    <s v="Web Camera"/>
    <m/>
    <m/>
    <m/>
    <n v="81"/>
    <x v="5"/>
    <x v="58"/>
    <x v="0"/>
  </r>
  <r>
    <s v="HP 245 G9 (841W7PA) Laptop (AMD Dual Core Ryzen 3/8 GB/512 GB SSD/DOS)"/>
    <s v="HP 245 G9 (841W7PA) Laptop (AMD Dual Core Ryzen 3/8 GB/512 GB SSD/DOS) price in India"/>
    <x v="318"/>
    <n v="13"/>
    <n v="64"/>
    <x v="1"/>
    <d v="2023-11-01T00:00:00"/>
    <s v="Intel Core Ultra 5 4.5 Ghz"/>
    <s v="DOS"/>
    <x v="5"/>
    <s v="14&quot; (35.56 cm), 1366 x 768 px, IPS LCD Display"/>
    <s v="Web Camera"/>
    <s v="Slim 19.9 mm"/>
    <s v="HDMI Port"/>
    <m/>
    <n v="71"/>
    <x v="7"/>
    <x v="58"/>
    <x v="2"/>
  </r>
  <r>
    <s v="HP Envy x360 15-ew0041TU (81C90PA) Laptop (Core i5 12th Gen/16 GB/512 GB SSD/Windows 11)"/>
    <s v="HP Envy x360 15-ew0041TU (81C90PA) Laptop (Core i5 12th Gen/16 GB/512 GB SSD/Windows 11) price in India"/>
    <x v="825"/>
    <n v="6"/>
    <n v="64"/>
    <x v="1"/>
    <d v="2023-07-01T00:00:00"/>
    <s v="Intel Core Ultra 5 4.5 Ghz"/>
    <s v="Windows 11"/>
    <x v="2"/>
    <s v="15.6&quot; (39.62 cm), 1920 x 1080 px, IPS LCD Display"/>
    <s v="Web Camera"/>
    <s v="Slim 18.4 mm"/>
    <s v="HDMI Port"/>
    <m/>
    <n v="80"/>
    <x v="7"/>
    <x v="58"/>
    <x v="0"/>
  </r>
  <r>
    <s v="Lenovo IdeaPad 3i ChromeBook (82N4004JHA) Laptop (Intel Celeron Dual Core/8 GB/64 GB eMMC/Google Chrome)"/>
    <s v="Lenovo IdeaPad 3i ChromeBook (82N4004JHA) Laptop (Intel Celeron Dual Core/8 GB/64 GB eMMC/Google Chrome) price in India"/>
    <x v="813"/>
    <n v="8"/>
    <n v="62"/>
    <x v="1"/>
    <d v="2024-08-01T00:00:00"/>
    <s v="Intel Core Ultra 5 4.5 Ghz"/>
    <s v="Google Chrome"/>
    <x v="56"/>
    <s v="15.6&quot; (39.62 cm), 1920 x 1080 px, TN LCD Display"/>
    <s v="Web Camera"/>
    <m/>
    <s v="HDMI Port"/>
    <m/>
    <m/>
    <x v="5"/>
    <x v="58"/>
    <x v="2"/>
  </r>
  <r>
    <s v="HP 240 G8 (4K5D5PA) Laptop (Core i3 11th Gen/8 GB/512 GB SSD/DOS)"/>
    <s v="HP 240 G8 (4K5D5PA) Laptop (Core i3 11th Gen/8 GB/512 GB SSD/DOS) price in India"/>
    <x v="826"/>
    <n v="16"/>
    <n v="62"/>
    <x v="1"/>
    <d v="2022-12-01T00:00:00"/>
    <s v="Intel Core Ultra 5 4.5 Ghz"/>
    <s v="DOS"/>
    <x v="5"/>
    <s v="14&quot; (35.56 cm), 1366 x 768 px, IPS LCD Display"/>
    <s v="Web Camera"/>
    <s v="Slim 19.9 mm"/>
    <s v="HDMI Port"/>
    <m/>
    <m/>
    <x v="7"/>
    <x v="58"/>
    <x v="2"/>
  </r>
  <r>
    <s v="HP 15-fd0468TU (B61ZJPA) Laptop (Core i7/16 GB/512 GB SSD/Windows 11)"/>
    <s v="HP 15-fd0468TU (B61ZJPA) Laptop (Core i7/16 GB/512 GB SSD/Windows 11) price in India"/>
    <x v="827"/>
    <n v="9"/>
    <n v="60"/>
    <x v="1"/>
    <d v="2025-01-01T00:00:00"/>
    <s v="Intel Core Ultra 5 4.5 Ghz"/>
    <s v="Windows 11"/>
    <x v="2"/>
    <s v="15.6&quot; (39.62 cm), 1920 x 1080 px, IPS LCD Display"/>
    <s v="Web Camera"/>
    <s v="Slim 18.6 mm"/>
    <s v="HDMI Port"/>
    <m/>
    <n v="81"/>
    <x v="7"/>
    <x v="58"/>
    <x v="0"/>
  </r>
  <r>
    <s v="HP Spectre x360 16-aa0665TU (9T8K8PA) Laptop (Intel Core Ultra 7/32 GB/2 TB SSD/Windows 11)"/>
    <s v="HP Spectre x360 16-aa0665TU (9T8K8PA) Laptop (Intel Core Ultra 7/32 GB/2 TB SSD/Windows 11) price in India"/>
    <x v="828"/>
    <n v="2"/>
    <n v="60"/>
    <x v="1"/>
    <d v="2024-01-01T00:00:00"/>
    <s v="Intel Core Ultra 5 4.5 Ghz"/>
    <s v="Windows 11"/>
    <x v="12"/>
    <s v="16&quot; (40.64 cm), 2880 x 1800 px, OLED Display"/>
    <s v="Web Camera"/>
    <s v="Slim 19.8 mm"/>
    <s v="HDMI Port"/>
    <m/>
    <m/>
    <x v="7"/>
    <x v="58"/>
    <x v="3"/>
  </r>
  <r>
    <s v="Lenovo IdeaPad Slim 3 15IRU8 (82X700F0IN) Laptop (Core i3 13th Gen/8 GB/512 GB SSD/Windows 11)"/>
    <s v="Lenovo IdeaPad Slim 3 15IRU8 (82X700F0IN) Laptop (Core i3 13th Gen/8 GB/512 GB SSD/Windows 11) price in India"/>
    <x v="47"/>
    <n v="4"/>
    <n v="60"/>
    <x v="1"/>
    <d v="2025-03-01T00:00:00"/>
    <s v="Intel Core Ultra 5 4.5 Ghz"/>
    <s v="Windows 11"/>
    <x v="20"/>
    <s v="15.6&quot; (39.62 cm), 1920 x 1080 px, TN LCD Display"/>
    <s v="Web Camera"/>
    <s v="Slim 17.9 mm"/>
    <s v="HDMI Port"/>
    <m/>
    <n v="78"/>
    <x v="5"/>
    <x v="58"/>
    <x v="2"/>
  </r>
  <r>
    <s v="Asus Zenbook A14 OLED UX3407QA-QD259WS Laptop (Qualcomm Snapdragon Octa Core/16 GB/512 GB SSD/Windows 11)"/>
    <s v="Asus Zenbook A14 OLED UX3407QA-QD259WS Laptop (Qualcomm Snapdragon Octa Core/16 GB/512 GB SSD/Windows 11) price in India"/>
    <x v="183"/>
    <n v="6"/>
    <n v="60"/>
    <x v="1"/>
    <d v="2025-02-01T00:00:00"/>
    <s v="Intel Core Ultra 5 4.5 Ghz"/>
    <s v="Windows 11"/>
    <x v="8"/>
    <s v="14&quot; (35.56 cm), 1920 x 1200 px, OLED Display"/>
    <s v="Web Camera"/>
    <s v="Slim 15.9 mm"/>
    <s v="HDMI Port"/>
    <m/>
    <n v="83"/>
    <x v="2"/>
    <x v="58"/>
    <x v="0"/>
  </r>
  <r>
    <s v="Asus ROG Zephyrus G16 GU605MV-CO4711WS Laptop (Core Ultra 7/16 GB/1 TB SSD/Windows 11/8 GB)"/>
    <s v="Asus ROG Zephyrus G16 GU605MV-CO4711WS Laptop (Core Ultra 7/16 GB/1 TB SSD/Windows 11/8 GB) price in India"/>
    <x v="829"/>
    <n v="2"/>
    <n v="60"/>
    <x v="1"/>
    <d v="2025-01-01T00:00:00"/>
    <s v="Intel Core Ultra 5 4.5 Ghz"/>
    <s v="Windows 11"/>
    <x v="3"/>
    <s v="16&quot; (40.64 cm), 2560 x 1600 px, OLED Display"/>
    <s v="Web Camera"/>
    <s v="Slim 16.4 mm"/>
    <s v="HDMI Port"/>
    <m/>
    <n v="86"/>
    <x v="2"/>
    <x v="58"/>
    <x v="0"/>
  </r>
  <r>
    <s v="HP Omen 16-wf1150TX (B1UV6PA) Laptop (Core i7 14th Gen/16 GB/1 TB SSD/Windows 11/8 GB)"/>
    <s v="HP Omen 16-wf1150TX (B1UV6PA) Laptop (Core i7 14th Gen/16 GB/1 TB SSD/Windows 11/8 GB) price in India"/>
    <x v="830"/>
    <n v="4"/>
    <n v="60"/>
    <x v="1"/>
    <d v="2024-11-01T00:00:00"/>
    <s v="Intel Core Ultra 5 4.5 Ghz"/>
    <s v="Windows 11"/>
    <x v="10"/>
    <s v="16.1&quot; (40.89 cm), 1920 x 1080 px, IPS LCD Display"/>
    <s v="Web Camera"/>
    <m/>
    <s v="HDMI Port"/>
    <m/>
    <m/>
    <x v="7"/>
    <x v="58"/>
    <x v="0"/>
  </r>
  <r>
    <s v="Asus Vivobook 14 Flip OLED TP3407SA-QL025WS Laptop (Core Ultra 7/16 GB/512 GB SSD/Windows 11)"/>
    <s v="Asus Vivobook 14 Flip OLED TP3407SA-QL025WS Laptop (Core Ultra 7/16 GB/512 GB SSD/Windows 11) price in India"/>
    <x v="171"/>
    <n v="3"/>
    <n v="60"/>
    <x v="1"/>
    <d v="2025-02-01T00:00:00"/>
    <s v="Intel Core Ultra 5 4.5 Ghz"/>
    <s v="Windows 11"/>
    <x v="8"/>
    <s v="14&quot; (35.56 cm), 1920 x 1200 px, OLED Display"/>
    <s v="Web Camera"/>
    <s v="Slim 17.1 mm"/>
    <s v="HDMI Port"/>
    <m/>
    <m/>
    <x v="2"/>
    <x v="58"/>
    <x v="0"/>
  </r>
  <r>
    <s v="Lenovo Legion Slim 5 16AHP9 Gen 9 (83DH008HIN) Laptop (AMD Octa Core Ryzen 7/16 GB/1 TB SSD/Windows 11/8 GB)"/>
    <s v="Lenovo Legion Slim 5 16AHP9 Gen 9 (83DH008HIN) Laptop (AMD Octa Core Ryzen 7/16 GB/1 TB SSD/Windows 11/8 GB) price in India"/>
    <x v="831"/>
    <n v="1"/>
    <n v="60"/>
    <x v="1"/>
    <d v="2025-01-01T00:00:00"/>
    <s v="Intel Core Ultra 7 (Series 2) 4.8 Ghz, Octa-Core"/>
    <s v="Windows 11"/>
    <x v="10"/>
    <s v="16&quot; (40.64 cm), 2560 x 1600 px, IPS LCD Display"/>
    <s v="Web Camera"/>
    <s v="Slim 21.9 mm"/>
    <s v="HDMI Port"/>
    <m/>
    <m/>
    <x v="5"/>
    <x v="59"/>
    <x v="0"/>
  </r>
  <r>
    <s v="Lenovo IdeaPad Pro 5 14IMH9 (83D2004XIN) Laptop (Core Ultra 9/32 GB/1 TB SSD/Windows 11)"/>
    <s v="Lenovo IdeaPad Pro 5 14IMH9 (83D2004XIN) Laptop (Core Ultra 9/32 GB/1 TB SSD/Windows 11) price in India"/>
    <x v="832"/>
    <n v="1"/>
    <n v="60"/>
    <x v="1"/>
    <d v="2025-01-01T00:00:00"/>
    <s v="Intel Core Ultra 7 (Series 2) 4.8 Ghz, Octa-Core"/>
    <s v="Windows 11"/>
    <x v="7"/>
    <s v="14&quot; (35.56 cm), 2880 x 1800 px, OLED Display"/>
    <s v="Web Camera"/>
    <s v="Slim 15.9 mm"/>
    <s v="HDMI Port"/>
    <m/>
    <m/>
    <x v="5"/>
    <x v="59"/>
    <x v="3"/>
  </r>
  <r>
    <s v="MSI Modern 15 B12MO-1008IN Laptop (Core i3 12th Gen/8 GB/512 GB SSD/Windows 11)"/>
    <s v="MSI Modern 15 B12MO-1008IN Laptop (Core i3 12th Gen/8 GB/512 GB SSD/Windows 11) price in India"/>
    <x v="354"/>
    <n v="9"/>
    <n v="60"/>
    <x v="1"/>
    <d v="2024-07-01T00:00:00"/>
    <s v="Intel Core Ultra 7 (Series 2) 4.8 Ghz, Octa-Core"/>
    <s v="Windows 11"/>
    <x v="5"/>
    <s v="15.6&quot; (39.62 cm), 1920 x 1080 px, IPS LCD Display"/>
    <s v="Web Camera"/>
    <s v="Slim 19.9 mm"/>
    <s v="HDMI Port"/>
    <m/>
    <n v="77"/>
    <x v="3"/>
    <x v="59"/>
    <x v="2"/>
  </r>
  <r>
    <s v="Lenovo ThinkBook (20SLA047IH) Laptop (Core i3 10th Gen/4 GB/1 TB/Windows 10)"/>
    <s v="Lenovo ThinkBook (20SLA047IH) Laptop (Core i3 10th Gen/4 GB/1 TB/Windows 10) price in India"/>
    <x v="47"/>
    <n v="43"/>
    <n v="60"/>
    <x v="1"/>
    <d v="2020-12-01T00:00:00"/>
    <s v="Intel Core Ultra 7 (Series 2) 4.8 Ghz, Octa-Core"/>
    <s v="Windows 10"/>
    <x v="49"/>
    <s v="14&quot; (35.56 cm), 1920 x 1080 px, LED Display"/>
    <s v="Web Camera"/>
    <s v="Slim 17.9 mm"/>
    <s v="HDMI Port"/>
    <s v="3 USB Ports"/>
    <m/>
    <x v="5"/>
    <x v="59"/>
    <x v="7"/>
  </r>
  <r>
    <s v="Apple MacBook Pro M4 MX2J3HN/A Ultrabook (Apple M4 Pro/24 GB/1 TB SSD/macOS Sequoia)"/>
    <s v="Apple MacBook Pro M4 MX2J3HN/A Ultrabook (Apple M4 Pro/24 GB/1 TB SSD/macOS Sequoia) price in India"/>
    <x v="5"/>
    <n v="1"/>
    <n v="60"/>
    <x v="1"/>
    <d v="2024-11-01T00:00:00"/>
    <s v="Intel Core Ultra 7 (Series 2) 4.8 Ghz, Octa-Core"/>
    <s v="macOS Sequoia"/>
    <x v="4"/>
    <s v="14.2&quot; (36.07 cm), 3024 x 1964 px, Liquid Retina XDR Display"/>
    <s v="Web Camera"/>
    <s v="Slim 15.5 mm"/>
    <s v="HDMI Port"/>
    <m/>
    <m/>
    <x v="0"/>
    <x v="59"/>
    <x v="1"/>
  </r>
  <r>
    <s v="MSI Modern 15 H C13M-218IN Laptop (Core i5 13th Gen/16 GB/512 GB SSD/Windows 11)"/>
    <s v="MSI Modern 15 H C13M-218IN Laptop (Core i5 13th Gen/16 GB/512 GB SSD/Windows 11) price in India"/>
    <x v="42"/>
    <n v="1"/>
    <n v="60"/>
    <x v="1"/>
    <d v="2024-07-01T00:00:00"/>
    <s v="Intel Core Ultra 7 (Series 2) 4.8 Ghz, Octa-Core"/>
    <s v="Windows 11"/>
    <x v="2"/>
    <s v="15.6&quot; (39.62 cm), 1920 x 1080 px, IPS LCD Display"/>
    <s v="Web Camera"/>
    <s v="Slim 19.9 mm"/>
    <s v="HDMI Port"/>
    <m/>
    <n v="80"/>
    <x v="3"/>
    <x v="59"/>
    <x v="0"/>
  </r>
  <r>
    <s v="Microsoft Surface 7 (ZHH-00048) Laptop (Snapdragon X Elite/16 GB/512 GB SSD/Windows 11)"/>
    <s v="Microsoft Surface 7 (ZHH-00048) Laptop (Snapdragon X Elite/16 GB/512 GB SSD/Windows 11) price in India"/>
    <x v="14"/>
    <n v="2"/>
    <n v="60"/>
    <x v="1"/>
    <d v="2024-07-01T00:00:00"/>
    <s v="Intel Core Ultra 7 (Series 2) 4.8 Ghz, Octa-Core"/>
    <s v="Windows 11"/>
    <x v="8"/>
    <s v="15&quot; (38.1 cm), 2496 x 1664 px, LCD Display"/>
    <s v="Web Camera"/>
    <m/>
    <m/>
    <m/>
    <n v="81"/>
    <x v="4"/>
    <x v="59"/>
    <x v="0"/>
  </r>
  <r>
    <s v="Asus Zenbook 14 OLED UX3405MA-PZ962WS Laptop (Core Ultra 9/32 GB/1 TB SSD/Windows 11)"/>
    <s v="Asus Zenbook 14 OLED UX3405MA-PZ962WS Laptop (Core Ultra 9/32 GB/1 TB SSD/Windows 11) price in India"/>
    <x v="116"/>
    <n v="5"/>
    <n v="60"/>
    <x v="1"/>
    <d v="2024-06-01T00:00:00"/>
    <s v="Intel Core Ultra 7 (Series 2) 5.1 Ghz"/>
    <s v="Windows 11"/>
    <x v="7"/>
    <s v="14&quot; (35.56 cm), 2880 x 1800 px, OLED Display"/>
    <s v="Web Camera"/>
    <s v="Slim 14.9 mm"/>
    <s v="HDMI Port"/>
    <m/>
    <n v="87"/>
    <x v="2"/>
    <x v="59"/>
    <x v="3"/>
  </r>
  <r>
    <s v="Lenovo Ideapad Gaming 3 (82SB00QJIN) Laptop (AMD Hexa Core Ryzen 5/16 GB/512 GB SSD/Windows 11/4 GB)"/>
    <s v="Lenovo Ideapad Gaming 3 (82SB00QJIN) Laptop (AMD Hexa Core Ryzen 5/16 GB/512 GB SSD/Windows 11/4 GB) price in India"/>
    <x v="833"/>
    <n v="2"/>
    <n v="60"/>
    <x v="1"/>
    <d v="2023-10-01T00:00:00"/>
    <s v="Intel Core Ultra 7 (Series 2) 5.1 Ghz"/>
    <s v="Windows 11"/>
    <x v="6"/>
    <s v="15.6&quot; (39.62 cm), 1920 x 1080 px, IPS LCD Display"/>
    <s v="Web Camera"/>
    <m/>
    <s v="HDMI Port"/>
    <m/>
    <m/>
    <x v="5"/>
    <x v="59"/>
    <x v="0"/>
  </r>
  <r>
    <s v="Lenovo ThinkBook 15 (21DJA04NIH) Laptop (Core i7 12th Gen/16 GB/512 GB SSD/Windows 11)"/>
    <s v="Lenovo ThinkBook 15 (21DJA04NIH) Laptop (Core i7 12th Gen/16 GB/512 GB SSD/Windows 11) price in India"/>
    <x v="198"/>
    <n v="5"/>
    <n v="60"/>
    <x v="1"/>
    <d v="2023-10-01T00:00:00"/>
    <s v="Intel Core Ultra 7 4.8 Ghz"/>
    <s v="Windows 11"/>
    <x v="2"/>
    <s v="15.6&quot; (39.62 cm), 1920 x 1080 px, IPS LCD Display"/>
    <s v="Web Camera"/>
    <s v="Slim 18.9 mm"/>
    <s v="HDMI Port"/>
    <m/>
    <n v="79"/>
    <x v="5"/>
    <x v="59"/>
    <x v="0"/>
  </r>
  <r>
    <s v="MSI Pulse 17 B13VGK-652IN Laptop (Core i9 13th Gen/16 GB/1 TB SSD/Windows 11/8 GB)"/>
    <s v="MSI Pulse 17 B13VGK-652IN Laptop (Core i9 13th Gen/16 GB/1 TB SSD/Windows 11/8 GB) price in India"/>
    <x v="834"/>
    <n v="4"/>
    <n v="60"/>
    <x v="1"/>
    <d v="2023-08-01T00:00:00"/>
    <s v="Intel Core Ultra 7 4.8 Ghz"/>
    <s v="Windows 11"/>
    <x v="10"/>
    <s v="17.3&quot; (43.94 cm), 1920 x 1080 px Display"/>
    <s v="Web Camera"/>
    <m/>
    <s v="HDMI Port"/>
    <m/>
    <m/>
    <x v="3"/>
    <x v="59"/>
    <x v="0"/>
  </r>
  <r>
    <s v="Dell Inspiron 14 5430 (IN54304D6P9M01ORS1) Laptop (Core i7 13th Gen/16 GB/512 GB SSD/Windows 11)"/>
    <s v="Dell Inspiron 14 5430 (IN54304D6P9M01ORS1) Laptop (Core i7 13th Gen/16 GB/512 GB SSD/Windows 11) price in India"/>
    <x v="488"/>
    <n v="2"/>
    <n v="60"/>
    <x v="1"/>
    <d v="2023-06-01T00:00:00"/>
    <s v="Intel Core Ultra 7 4.8 Ghz"/>
    <s v="Windows 11"/>
    <x v="17"/>
    <s v="14&quot; (35.56 cm), x px, IPS LCD Display"/>
    <s v="Web Camera"/>
    <m/>
    <s v="HDMI Port"/>
    <m/>
    <n v="73"/>
    <x v="6"/>
    <x v="59"/>
    <x v="0"/>
  </r>
  <r>
    <s v="HP ProBook 445 G8 (7K2J9PA) Laptop (AMD Octa Core Ryzen 7/8 GB/512 GB SSD/DOS)"/>
    <s v="HP ProBook 445 G8 (7K2J9PA) Laptop (AMD Octa Core Ryzen 7/8 GB/512 GB SSD/DOS) price in India"/>
    <x v="247"/>
    <n v="2"/>
    <n v="60"/>
    <x v="1"/>
    <d v="2023-05-01T00:00:00"/>
    <s v="Intel Core Ultra 7 4.8 Ghz"/>
    <s v="DOS"/>
    <x v="5"/>
    <s v="14&quot; (35.56 cm), 1920 x 1080 px, IPS LCD Display"/>
    <s v="Web Camera"/>
    <s v="Slim 19.9 mm"/>
    <s v="HDMI Port"/>
    <m/>
    <n v="74"/>
    <x v="7"/>
    <x v="59"/>
    <x v="2"/>
  </r>
  <r>
    <s v="MSI Katana 17 B13UCXK-256IN Laptop (Core i7 13th Gen/16 GB/512 GB SSD/Windows 11/4 GB)"/>
    <s v="MSI Katana 17 B13UCXK-256IN Laptop (Core i7 13th Gen/16 GB/512 GB SSD/Windows 11/4 GB) price in India"/>
    <x v="107"/>
    <n v="8"/>
    <n v="60"/>
    <x v="1"/>
    <d v="2023-02-01T00:00:00"/>
    <s v="Intel Core Ultra 7 4.8 Ghz"/>
    <s v="Windows 11"/>
    <x v="6"/>
    <s v="17.3&quot; (43.94 cm), 1920 x 1080 px, IPS LCD Display"/>
    <s v="Web Camera"/>
    <m/>
    <s v="HDMI Port"/>
    <m/>
    <n v="81"/>
    <x v="3"/>
    <x v="59"/>
    <x v="0"/>
  </r>
  <r>
    <s v="Dell Inspiron 16 7620 (D560906WIN9S) Laptop (Core i7 12th Gen/16 GB/512 GB SSD/Windows 11/2 GB)"/>
    <s v="Dell Inspiron 16 7620 (D560906WIN9S) Laptop (Core i7 12th Gen/16 GB/512 GB SSD/Windows 11/2 GB) price in India"/>
    <x v="835"/>
    <n v="8"/>
    <n v="60"/>
    <x v="1"/>
    <d v="2022-10-01T00:00:00"/>
    <s v="Intel Core Ultra 7 4.8 Ghz"/>
    <s v="Windows 11"/>
    <x v="2"/>
    <s v="16&quot; (40.64 cm), 1920 x 1080 px, IPS LCD Display"/>
    <s v="Web Camera"/>
    <s v="Slim 18 mm"/>
    <s v="HDMI Port"/>
    <m/>
    <n v="78"/>
    <x v="6"/>
    <x v="59"/>
    <x v="0"/>
  </r>
  <r>
    <s v="Dell XPS 13 9315 (D560076WIN9S) Laptop (Core i5 12th Gen/16 GB/512 GB SSD/Windows 11)"/>
    <s v="Dell XPS 13 9315 (D560076WIN9S) Laptop (Core i5 12th Gen/16 GB/512 GB SSD/Windows 11) price in India"/>
    <x v="342"/>
    <n v="1"/>
    <n v="60"/>
    <x v="1"/>
    <d v="2022-09-01T00:00:00"/>
    <s v="Intel Core Ultra 7 4.8 Ghz"/>
    <s v="Windows 11"/>
    <x v="30"/>
    <s v="13&quot; (33.02 cm), 2880 x 1920 px Display"/>
    <s v="Web Camera"/>
    <s v="Slim 7.40 mm"/>
    <m/>
    <m/>
    <n v="78"/>
    <x v="6"/>
    <x v="59"/>
    <x v="0"/>
  </r>
  <r>
    <s v="Asus ProArt Studiobook Pro 16 OLED H7600ZW-L911WS Laptop (Core i9 12th Gen/32 GB/1 TB SSD/Windows 11/8 GB)"/>
    <s v="Asus ProArt Studiobook Pro 16 OLED H7600ZW-L911WS Laptop (Core i9 12th Gen/32 GB/1 TB SSD/Windows 11/8 GB) price in India"/>
    <x v="836"/>
    <n v="2"/>
    <n v="60"/>
    <x v="1"/>
    <d v="2022-08-01T00:00:00"/>
    <s v="Intel Core Ultra 7 4.8 Ghz"/>
    <s v="Windows 11"/>
    <x v="19"/>
    <s v="16&quot; (40.64 cm), 3840 x 2400 px, OLED Display"/>
    <s v="Web Camera"/>
    <s v="Slim 21 mm"/>
    <s v="HDMI Port"/>
    <m/>
    <m/>
    <x v="2"/>
    <x v="59"/>
    <x v="3"/>
  </r>
  <r>
    <s v="HP Omen 16-n0054AX (6J390PA) Laptop (AMD Octa Core Ryzen 7/16 GB/1 TB SSD/Windows 11/6 GB)"/>
    <s v="HP Omen 16-n0054AX (6J390PA) Laptop (AMD Octa Core Ryzen 7/16 GB/1 TB SSD/Windows 11/6 GB) price in India"/>
    <x v="138"/>
    <n v="1"/>
    <n v="60"/>
    <x v="1"/>
    <d v="2022-08-01T00:00:00"/>
    <s v="Intel Core Ultra 7 4.8 Ghz"/>
    <s v="Windows 11"/>
    <x v="10"/>
    <s v="16.1&quot; (40.89 cm), 1920 x 1080 px, IPS LCD Display"/>
    <s v="Web Camera"/>
    <m/>
    <s v="HDMI Port"/>
    <m/>
    <n v="85"/>
    <x v="7"/>
    <x v="59"/>
    <x v="0"/>
  </r>
  <r>
    <s v="Asus ROG Zephyrus M16 GU603ZM-K8034WS Laptop (Core i7 12th Gen/16 GB/512 GB SSD/Windows 11/6 GB)"/>
    <s v="Asus ROG Zephyrus M16 GU603ZM-K8034WS Laptop (Core i7 12th Gen/16 GB/512 GB SSD/Windows 11/6 GB) price in India"/>
    <x v="14"/>
    <n v="1"/>
    <n v="60"/>
    <x v="1"/>
    <d v="2022-08-01T00:00:00"/>
    <s v="Intel Core Ultra 7 4.8 Ghz"/>
    <s v="Windows 11"/>
    <x v="6"/>
    <s v="16&quot; (40.64 cm), 2560 x 1600 px, IPS LCD Display"/>
    <s v="Web Camera"/>
    <s v="Slim 20 mm"/>
    <s v="HDMI Port"/>
    <m/>
    <n v="85"/>
    <x v="2"/>
    <x v="59"/>
    <x v="0"/>
  </r>
  <r>
    <s v="Asus ROG Strix Scar 15 G533ZXZ-LN116WS Laptop (Core i9 12th Gen/32 GB/1 TB SSD/Windows 11/16 GB)"/>
    <s v="Asus ROG Strix Scar 15 G533ZXZ-LN116WS Laptop (Core i9 12th Gen/32 GB/1 TB SSD/Windows 11/16 GB) price in India"/>
    <x v="837"/>
    <n v="4"/>
    <n v="60"/>
    <x v="1"/>
    <d v="2022-08-01T00:00:00"/>
    <s v="Intel Core Ultra 7 4.8 Ghz"/>
    <s v="Windows 11"/>
    <x v="19"/>
    <s v="15.6&quot; (39.62 cm), 2560 x 1440 px Display"/>
    <m/>
    <m/>
    <s v="HDMI Port"/>
    <s v="4 USB Ports"/>
    <n v="87"/>
    <x v="2"/>
    <x v="59"/>
    <x v="3"/>
  </r>
  <r>
    <s v="Lenovo Yoga Slim 7i Pro Intel Evo (82SV0053IN) Laptop (Core i7 12th Gen/16 GB/512 GB SSD/Windows 11)"/>
    <s v="Lenovo Yoga Slim 7i Pro Intel Evo (82SV0053IN) Laptop (Core i7 12th Gen/16 GB/512 GB SSD/Windows 11) price in India"/>
    <x v="9"/>
    <n v="11"/>
    <n v="60"/>
    <x v="1"/>
    <d v="2022-07-01T00:00:00"/>
    <s v="Intel Core Ultra 7 4.8 Ghz"/>
    <s v="Windows 11"/>
    <x v="17"/>
    <s v="14&quot; (35.56 cm), 2880 x 1800 px, IPS LCD Display"/>
    <s v="Web Camera"/>
    <s v="Slim 15 mm"/>
    <m/>
    <m/>
    <n v="79"/>
    <x v="5"/>
    <x v="59"/>
    <x v="0"/>
  </r>
  <r>
    <s v="Asus ROG Zephyrus Duo 16 GX650RXZ-LO227WS Laptop (AMD Octa Core Ryzen 9/32 GB/2 TB SSD/Windows 11/16 GB)"/>
    <s v="Asus ROG Zephyrus Duo 16 GX650RXZ-LO227WS Laptop (AMD Octa Core Ryzen 9/32 GB/2 TB SSD/Windows 11/16 GB) price in India"/>
    <x v="838"/>
    <n v="1"/>
    <n v="60"/>
    <x v="1"/>
    <d v="2022-07-01T00:00:00"/>
    <s v="Intel Core Ultra 7 4.8 Ghz"/>
    <s v="Windows 11"/>
    <x v="22"/>
    <s v="16&quot; (40.64 cm), 2560 x 1600 px Display"/>
    <s v="Web Camera"/>
    <s v="Slim 21 mm"/>
    <s v="HDMI Port"/>
    <m/>
    <n v="87"/>
    <x v="2"/>
    <x v="59"/>
    <x v="3"/>
  </r>
  <r>
    <s v="Asus ROG Zephyrus G14 GA402RK-L8147WS Laptop (AMD Octa Core Ryzen 9/32 GB/1 TB SSD/Windows 11/8 GB)"/>
    <s v="Asus ROG Zephyrus G14 GA402RK-L8147WS Laptop (AMD Octa Core Ryzen 9/32 GB/1 TB SSD/Windows 11/8 GB) price in India"/>
    <x v="25"/>
    <n v="3"/>
    <n v="60"/>
    <x v="1"/>
    <d v="2022-07-01T00:00:00"/>
    <s v="Intel Core Ultra 7 4.8 Ghz"/>
    <s v="Windows 11"/>
    <x v="19"/>
    <s v="14&quot; (35.56 cm), 2560 x 1600 px, IPS LCD Display"/>
    <s v="Web Camera"/>
    <m/>
    <s v="HDMI Port"/>
    <m/>
    <n v="84"/>
    <x v="2"/>
    <x v="59"/>
    <x v="3"/>
  </r>
  <r>
    <s v="Asus ROG Strix G17 G713RS-LL023WS Laptop (AMD Octa Core Ryzen 9/16 GB/1 TB SSD/Windows 11/8 GB)"/>
    <s v="Asus ROG Strix G17 G713RS-LL023WS Laptop (AMD Octa Core Ryzen 9/16 GB/1 TB SSD/Windows 11/8 GB) price in India"/>
    <x v="839"/>
    <n v="4"/>
    <n v="60"/>
    <x v="1"/>
    <d v="2022-07-01T00:00:00"/>
    <s v="Intel Core Ultra 7 4.8 Ghz"/>
    <s v="Windows 11"/>
    <x v="10"/>
    <s v="17.3&quot; (43.94 cm), 2560 x 1440 px, IPS LCD Display"/>
    <s v="Web Camera"/>
    <m/>
    <s v="HDMI Port"/>
    <m/>
    <n v="84"/>
    <x v="2"/>
    <x v="59"/>
    <x v="0"/>
  </r>
  <r>
    <s v="Acer Aspire 3 A314-22 (NX.HVVSI.007) Laptop (AMD Dual Core Athlon/4 GB/1 TB/Windows 11)"/>
    <s v="Acer Aspire 3 A314-22 (NX.HVVSI.007) Laptop (AMD Dual Core Athlon/4 GB/1 TB/Windows 11) price in India"/>
    <x v="767"/>
    <n v="255"/>
    <n v="58"/>
    <x v="1"/>
    <d v="2022-08-01T00:00:00"/>
    <s v="Intel Core Ultra 7 4.8 Ghz"/>
    <s v="Windows 11"/>
    <x v="49"/>
    <s v="14&quot; (35.56 cm), 1366 x 768 px, IPS LCD Display"/>
    <s v="Web Camera"/>
    <s v="Slim 19.9 mm"/>
    <s v="HDMI Port"/>
    <m/>
    <m/>
    <x v="1"/>
    <x v="59"/>
    <x v="7"/>
  </r>
  <r>
    <s v="Asus Vivobook S 14 Flip TP3402VAO-LZ612WS Laptop (Core i5 13th Gen/16 GB/512 GB SSD/Windows 11)"/>
    <s v="Asus Vivobook S 14 Flip TP3402VAO-LZ612WS Laptop (Core i5 13th Gen/16 GB/512 GB SSD/Windows 11) price in India"/>
    <x v="107"/>
    <n v="5"/>
    <n v="56"/>
    <x v="1"/>
    <d v="2025-04-01T00:00:00"/>
    <s v="Intel Core Ultra 7 4.8 Ghz"/>
    <s v="Windows 11"/>
    <x v="2"/>
    <s v="14&quot; (35.56 cm), 1920 x 1200 px, IPS LCD Display"/>
    <s v="Web Camera"/>
    <s v="Slim 18.9 mm"/>
    <s v="HDMI Port"/>
    <m/>
    <n v="73"/>
    <x v="2"/>
    <x v="59"/>
    <x v="0"/>
  </r>
  <r>
    <s v="Asus Vivobook S 14 Flip TP3402VAO-LZ619WS Laptop (Core i5 13th Gen/16 GB/512 GB SSD/Windows 11)"/>
    <s v="Asus Vivobook S 14 Flip TP3402VAO-LZ619WS Laptop (Core i5 13th Gen/16 GB/512 GB SSD/Windows 11) price in India"/>
    <x v="107"/>
    <n v="5"/>
    <n v="56"/>
    <x v="1"/>
    <d v="2025-04-01T00:00:00"/>
    <s v="Intel Core Ultra 7 4.8 Ghz"/>
    <s v="Windows 11"/>
    <x v="2"/>
    <s v="14&quot; (35.56 cm), 1920 x 1200 px, IPS LCD Display"/>
    <s v="Web Camera"/>
    <s v="Slim 18.9 mm"/>
    <s v="HDMI Port"/>
    <m/>
    <n v="73"/>
    <x v="2"/>
    <x v="59"/>
    <x v="0"/>
  </r>
  <r>
    <s v="Thomson Neo 15 IN-N15I512-16GR512 Laptop (Core i5 12th Gen/16 GB/512 GB SSD/Windows 11)"/>
    <s v="Thomson Neo 15 IN-N15I512-16GR512 Laptop (Core i5 12th Gen/16 GB/512 GB SSD/Windows 11) price in India"/>
    <x v="840"/>
    <n v="3"/>
    <n v="54"/>
    <x v="1"/>
    <d v="2024-07-01T00:00:00"/>
    <s v="Intel Core Ultra 7 4.8 Ghz"/>
    <s v="Windows 11"/>
    <x v="79"/>
    <s v="15.6&quot; (39.62 cm), 1920 x 1080 px Display"/>
    <s v="Web Camera"/>
    <s v="Slim 19.9 mm"/>
    <s v="HDMI Port"/>
    <m/>
    <n v="74"/>
    <x v="17"/>
    <x v="59"/>
    <x v="0"/>
  </r>
  <r>
    <s v="Lenovo Thinkpad E14 (20TA00J2IG) Laptop (Core i5 11th Gen/16 GB/512 GB SSD/Windows 11)"/>
    <s v="Lenovo Thinkpad E14 (20TA00J2IG) Laptop (Core i5 11th Gen/16 GB/512 GB SSD/Windows 11) price in India"/>
    <x v="188"/>
    <n v="3"/>
    <n v="54"/>
    <x v="1"/>
    <d v="2023-06-01T00:00:00"/>
    <s v="Intel Core Ultra 7 4.8 Ghz"/>
    <s v="Windows 11"/>
    <x v="2"/>
    <s v="14&quot; (35.56 cm), 1920 x 1080 px, IPS LCD Display"/>
    <s v="Web Camera"/>
    <m/>
    <s v="HDMI Port"/>
    <m/>
    <n v="71"/>
    <x v="5"/>
    <x v="59"/>
    <x v="0"/>
  </r>
  <r>
    <s v="Lenovo Yoga Slim 7i Carbon 13IAP7 (82U90080IN) Laptop (Core i7 12th Gen/16 GB/1 TB SSD/Windows 11)"/>
    <s v="Lenovo Yoga Slim 7i Carbon 13IAP7 (82U90080IN) Laptop (Core i7 12th Gen/16 GB/1 TB SSD/Windows 11) price in India"/>
    <x v="0"/>
    <n v="3"/>
    <n v="54"/>
    <x v="1"/>
    <d v="2023-02-01T00:00:00"/>
    <s v="Intel Core Ultra 7 4.8 Ghz"/>
    <s v="Windows 11"/>
    <x v="21"/>
    <s v="13.3&quot; (33.78 cm), 2560 x 1600 px, IPS LCD Display"/>
    <s v="Web Camera"/>
    <s v="Slim 14.8 mm"/>
    <m/>
    <m/>
    <n v="81"/>
    <x v="5"/>
    <x v="59"/>
    <x v="0"/>
  </r>
  <r>
    <s v="Asus ZenBook Pro 14 Duo OLED Intel Evo UX8402ZA-LM711WS Laptop (Core i7 12th Gen/16 GB/1 TB SSD/Windows 11)"/>
    <s v="Asus ZenBook Pro 14 Duo OLED Intel Evo UX8402ZA-LM711WS Laptop (Core i7 12th Gen/16 GB/1 TB SSD/Windows 11) price in India"/>
    <x v="841"/>
    <n v="7"/>
    <n v="54"/>
    <x v="1"/>
    <d v="2022-08-01T00:00:00"/>
    <s v="Intel Core Ultra 7 4.8 Ghz"/>
    <s v="Windows 11"/>
    <x v="21"/>
    <s v="14.5&quot; (36.83 cm), 2880 x 1800 px, OLED Display"/>
    <s v="Web Camera"/>
    <s v="Slim 19.6 mm"/>
    <s v="HDMI Port"/>
    <m/>
    <n v="80"/>
    <x v="2"/>
    <x v="59"/>
    <x v="0"/>
  </r>
  <r>
    <s v="Asus Vivobook 16X K3605ZC-RP628WS Laptop (Core i7 12th Gen/16 GB/512 GB SSD/Windows 11/4 GB)"/>
    <s v="Asus Vivobook 16X K3605ZC-RP628WS Laptop (Core i7 12th Gen/16 GB/512 GB SSD/Windows 11/4 GB) price in India"/>
    <x v="107"/>
    <n v="22"/>
    <n v="52"/>
    <x v="1"/>
    <d v="2024-09-01T00:00:00"/>
    <s v="Intel Core Ultra 7 4.8 Ghz"/>
    <s v="Windows 11"/>
    <x v="2"/>
    <s v="16&quot; (40.64 cm), 1920 x 1200 px, IPS LCD Display"/>
    <s v="Web Camera"/>
    <s v="Slim 18.9 mm"/>
    <s v="HDMI Port"/>
    <m/>
    <n v="87"/>
    <x v="2"/>
    <x v="59"/>
    <x v="0"/>
  </r>
  <r>
    <s v="Samsung Galaxy Book 4 Pro NP960XGK-KG1IN Laptop (Core Ultra 5/16 GB/512 GB SSD/Windows 11)"/>
    <s v="Samsung Galaxy Book 4 Pro NP960XGK-KG1IN Laptop (Core Ultra 5/16 GB/512 GB SSD/Windows 11) price in India"/>
    <x v="842"/>
    <n v="5"/>
    <n v="52"/>
    <x v="1"/>
    <d v="2024-02-01T00:00:00"/>
    <s v="Intel Core Ultra 7 4.8 Ghz"/>
    <s v="Windows 11"/>
    <x v="8"/>
    <s v="16&quot; (40.64 cm), 2880 x 1800 px, AMOLED Display"/>
    <s v="Web Camera"/>
    <s v="Slim 12.5 mm"/>
    <s v="HDMI Port"/>
    <m/>
    <n v="84"/>
    <x v="8"/>
    <x v="59"/>
    <x v="0"/>
  </r>
  <r>
    <s v="Asus VivoBook 15 X1504ZA-NJ542WS Laptop (Core i5 12th Gen/16 GB/512 GB SSD/Windows 11)"/>
    <s v="Asus VivoBook 15 X1504ZA-NJ542WS Laptop (Core i5 12th Gen/16 GB/512 GB SSD/Windows 11) price in India"/>
    <x v="169"/>
    <n v="2"/>
    <n v="50"/>
    <x v="1"/>
    <d v="2023-09-01T00:00:00"/>
    <s v="Intel Core Ultra 7 4.8 Ghz"/>
    <s v="Windows 11"/>
    <x v="2"/>
    <s v="15.6&quot; (39.62 cm), 1920 x 1080 px, IPS LCD Display"/>
    <s v="Web Camera"/>
    <s v="Slim 17.9 mm"/>
    <s v="HDMI Port"/>
    <m/>
    <n v="74"/>
    <x v="2"/>
    <x v="59"/>
    <x v="0"/>
  </r>
  <r>
    <s v="HP Victus 16-d0314TX (7K8N8PA) Laptop (Core i5 11th Gen/16 GB/512 GB SSD/Windows 11/4 GB)"/>
    <s v="HP Victus 16-d0314TX (7K8N8PA) Laptop (Core i5 11th Gen/16 GB/512 GB SSD/Windows 11/4 GB) price in India"/>
    <x v="843"/>
    <n v="2"/>
    <n v="50"/>
    <x v="1"/>
    <d v="2023-07-01T00:00:00"/>
    <s v="Intel Core Ultra 7 4.8 Ghz"/>
    <s v="Windows 11"/>
    <x v="2"/>
    <s v="16.1&quot; (40.89 cm), 1920 x 1080 px, IPS LCD Display"/>
    <s v="Web Camera"/>
    <m/>
    <s v="HDMI Port"/>
    <m/>
    <n v="77"/>
    <x v="7"/>
    <x v="59"/>
    <x v="0"/>
  </r>
  <r>
    <s v="Lenovo ThinkBook 15 (21DJ00EXIH) Laptop (Core i5 12th Gen/8 GB/512 GB SSD/Windows 11)"/>
    <s v="Lenovo ThinkBook 15 (21DJ00EXIH) Laptop (Core i5 12th Gen/8 GB/512 GB SSD/Windows 11) price in India"/>
    <x v="319"/>
    <n v="2"/>
    <n v="50"/>
    <x v="1"/>
    <d v="2023-06-01T00:00:00"/>
    <s v="Intel Core Ultra 9 (Series 2) 5.4 Ghz"/>
    <s v="Windows 11"/>
    <x v="5"/>
    <s v="15.6&quot; (39.62 cm), 1920 x 1080 px, IPS LCD Display"/>
    <s v="Web Camera"/>
    <m/>
    <s v="HDMI Port"/>
    <m/>
    <n v="73"/>
    <x v="5"/>
    <x v="60"/>
    <x v="2"/>
  </r>
  <r>
    <s v="Asus ROG Zephyrus Duo 16 GX650RXZ-LB226WS Laptop (AMD Octa Core Ryzen 9/32 GB/2 TB SSD/Windows 11/16 GB)"/>
    <s v="Asus ROG Zephyrus Duo 16 GX650RXZ-LB226WS Laptop (AMD Octa Core Ryzen 9/32 GB/2 TB SSD/Windows 11/16 GB) price in India"/>
    <x v="844"/>
    <n v="13"/>
    <n v="50"/>
    <x v="1"/>
    <d v="2022-07-01T00:00:00"/>
    <s v="Intel Core Ultra 9 (Series 2) 5.4 Ghz"/>
    <s v="Windows 11"/>
    <x v="22"/>
    <s v="16&quot; (40.64 cm), 3840 x 2400 px Display"/>
    <s v="Web Camera"/>
    <s v="Slim 21 mm"/>
    <s v="HDMI Port"/>
    <m/>
    <m/>
    <x v="2"/>
    <x v="60"/>
    <x v="3"/>
  </r>
  <r>
    <s v="Asus Vivobook K15 OLED KM513UA-L712WS Laptop (AMD Octa Core Ryzen 7/16 GB/512 GB SSD/Windows 11)"/>
    <s v="Asus Vivobook K15 OLED KM513UA-L712WS Laptop (AMD Octa Core Ryzen 7/16 GB/512 GB SSD/Windows 11) price in India"/>
    <x v="210"/>
    <n v="5"/>
    <n v="48"/>
    <x v="1"/>
    <d v="2022-11-01T00:00:00"/>
    <s v="Intel Core Ultra 9 (Series 2) 5.4 Ghz"/>
    <s v="Windows 11"/>
    <x v="2"/>
    <s v="15.6&quot; (39.62 cm), 1920 x 1080 px Display"/>
    <s v="Web Camera"/>
    <s v="Slim 18.6 mm"/>
    <s v="HDMI Port"/>
    <m/>
    <m/>
    <x v="2"/>
    <x v="60"/>
    <x v="0"/>
  </r>
  <r>
    <s v="Lenovo V14 (82KA00G8IH) Laptop (Core i3 11th Gen/8 GB/256 GB SSD/Windows 11)"/>
    <s v="Lenovo V14 (82KA00G8IH) Laptop (Core i3 11th Gen/8 GB/256 GB SSD/Windows 11) price in India"/>
    <x v="845"/>
    <n v="7"/>
    <n v="48"/>
    <x v="1"/>
    <d v="2022-08-01T00:00:00"/>
    <s v="Intel Core Ultra 9 (Series 2) 5.4 Ghz"/>
    <s v="Windows 11"/>
    <x v="38"/>
    <s v="14&quot; (35.56 cm), 1920 x 1080 px Display"/>
    <s v="Web Camera"/>
    <m/>
    <s v="HDMI Port"/>
    <m/>
    <m/>
    <x v="5"/>
    <x v="60"/>
    <x v="2"/>
  </r>
  <r>
    <s v="Fujitsu CH 4ZR1L82434 Laptop (Core i7 13th Gen/16 GB/512 GB SSD/Windows 11)"/>
    <s v="Fujitsu CH 4ZR1L82434 Laptop (Core i7 13th Gen/16 GB/512 GB SSD/Windows 11) price in India"/>
    <x v="107"/>
    <n v="3"/>
    <n v="46"/>
    <x v="1"/>
    <d v="2023-08-01T00:00:00"/>
    <s v="Intel Core Ultra 9 5.1 Ghz"/>
    <s v="Windows 11"/>
    <x v="17"/>
    <s v="13.3&quot; (33.78 cm), 1920 x 1080 px, LED Display"/>
    <s v="Web Camera"/>
    <s v="Slim 17.5 mm"/>
    <s v="HDMI Port"/>
    <m/>
    <n v="78"/>
    <x v="9"/>
    <x v="60"/>
    <x v="0"/>
  </r>
  <r>
    <s v="Asus ROG Zephyrus G15 GA503RMZ-HQ154WS Laptop (AMD Octa Core Ryzen 7/16 GB/1 TB SSD/Windows 11/6 GB)"/>
    <s v="Asus ROG Zephyrus G15 GA503RMZ-HQ154WS Laptop (AMD Octa Core Ryzen 7/16 GB/1 TB SSD/Windows 11/6 GB) price in India"/>
    <x v="8"/>
    <n v="3"/>
    <n v="46"/>
    <x v="1"/>
    <d v="2022-11-01T00:00:00"/>
    <s v="Intel Core Ultra 9 5.1 Ghz"/>
    <s v="Windows 11"/>
    <x v="10"/>
    <s v="15.6&quot; (39.62 cm), 2560 x 1440 px, IPS LCD Display"/>
    <s v="Web Camera"/>
    <s v="Slim 20 mm"/>
    <s v="HDMI Port"/>
    <m/>
    <n v="85"/>
    <x v="2"/>
    <x v="60"/>
    <x v="0"/>
  </r>
  <r>
    <s v="Asus ROG Flow X16 GV601RM-M5039WS Laptop (AMD Octa Core Ryzen 9/16 GB/1 TB SSD/Windows 11/6 GB)"/>
    <s v="Asus ROG Flow X16 GV601RM-M5039WS Laptop (AMD Octa Core Ryzen 9/16 GB/1 TB SSD/Windows 11/6 GB) price in India"/>
    <x v="846"/>
    <n v="3"/>
    <n v="46"/>
    <x v="1"/>
    <d v="2022-09-01T00:00:00"/>
    <s v="Intel Core Ultra 9 5.1 Ghz"/>
    <s v="Windows 11"/>
    <x v="10"/>
    <s v="16&quot; (40.64 cm), 2560 x 1600 px, IPS LCD Display"/>
    <s v="Web Camera"/>
    <s v="Slim 19.4 mm"/>
    <s v="HDMI Port"/>
    <m/>
    <n v="83"/>
    <x v="2"/>
    <x v="60"/>
    <x v="0"/>
  </r>
  <r>
    <s v="Asus TUF Gaming F16 FX607VB-RL087WS Laptop (Core 5 Series 2 /16 GB/512 GB SSD/Windows 11/4 GB)"/>
    <s v="Asus TUF Gaming F16 FX607VB-RL087WS Laptop (Core 5 Series 2 /16 GB/512 GB SSD/Windows 11/4 GB) price in India"/>
    <x v="108"/>
    <n v="4"/>
    <n v="44"/>
    <x v="1"/>
    <d v="2025-03-01T00:00:00"/>
    <s v="Intel Core Ultra 9 5.1 Ghz"/>
    <s v="Windows 11"/>
    <x v="2"/>
    <s v="16&quot; (40.64 cm), 1920 x 1200 px, IPS LCD Display"/>
    <s v="Web Camera"/>
    <m/>
    <s v="HDMI Port"/>
    <m/>
    <n v="83"/>
    <x v="2"/>
    <x v="60"/>
    <x v="0"/>
  </r>
  <r>
    <s v="Asus Gaming V16 V3607VU-RP275WS Laptop (Core 7 Series 2 /16 GB/512 GB SSD/Windows 11/6 GB)"/>
    <s v="Asus Gaming V16 V3607VU-RP275WS Laptop (Core 7 Series 2 /16 GB/512 GB SSD/Windows 11/6 GB) price in India"/>
    <x v="104"/>
    <n v="4"/>
    <n v="40"/>
    <x v="1"/>
    <d v="2025-02-01T00:00:00"/>
    <s v="Intel Core Ultra 9 5.1 Ghz"/>
    <s v="Windows 11"/>
    <x v="6"/>
    <s v="16&quot; (40.64 cm), 1920 x 1200 px Display"/>
    <s v="Web Camera"/>
    <m/>
    <s v="HDMI Port"/>
    <m/>
    <m/>
    <x v="2"/>
    <x v="60"/>
    <x v="0"/>
  </r>
  <r>
    <s v="Asus ProArt PZ13 OLED HT5306QA-LX402WS Laptop (Snapdragon X Plus Octa Core/16 GB/1 TB SSD/Windows 11)"/>
    <s v="Asus ProArt PZ13 OLED HT5306QA-LX402WS Laptop (Snapdragon X Plus Octa Core/16 GB/1 TB SSD/Windows 11) price in India"/>
    <x v="847"/>
    <n v="1"/>
    <n v="40"/>
    <x v="1"/>
    <d v="2025-02-01T00:00:00"/>
    <s v="Intel Core Ultra 9 5.1 Ghz"/>
    <s v="Windows 11"/>
    <x v="3"/>
    <s v="13.3&quot; (33.78 cm), 2880 x 1800 px, OLED Display"/>
    <s v="Web Camera"/>
    <s v="Slim 9 mm"/>
    <m/>
    <m/>
    <n v="78"/>
    <x v="2"/>
    <x v="60"/>
    <x v="0"/>
  </r>
  <r>
    <s v="Thomson Neo IN-N14C4SL128 Laptop (Intel Celeron Dual Core/4 GB/128 GB SSD/Windows 11)"/>
    <s v="Thomson Neo IN-N14C4SL128 Laptop (Intel Celeron Dual Core/4 GB/128 GB SSD/Windows 11) price in India"/>
    <x v="848"/>
    <n v="4"/>
    <n v="40"/>
    <x v="1"/>
    <d v="2024-07-01T00:00:00"/>
    <s v="Intel Core Ultra 9 5.1 Ghz"/>
    <s v="Windows 11"/>
    <x v="85"/>
    <s v="14.1&quot; (35.81 cm), 1366 x 768 px Display"/>
    <s v="Web Camera"/>
    <s v="Slim 19.9 mm"/>
    <s v="HDMI Port"/>
    <m/>
    <m/>
    <x v="17"/>
    <x v="60"/>
    <x v="7"/>
  </r>
  <r>
    <s v="Thomson Neo IN-PX14C4SL128 Laptop (Intel Celeron Dual Core/4 GB/128 GB SSD/Windows 11)"/>
    <s v="Thomson Neo IN-PX14C4SL128 Laptop (Intel Celeron Dual Core/4 GB/128 GB SSD/Windows 11) price in India"/>
    <x v="849"/>
    <n v="4"/>
    <n v="40"/>
    <x v="1"/>
    <d v="2024-07-01T00:00:00"/>
    <s v="Intel Core Ultra 9 5.1 Ghz"/>
    <s v="Windows 11"/>
    <x v="85"/>
    <s v="14.1&quot; (35.81 cm), 1366 x 768 px Display"/>
    <s v="Web Camera"/>
    <s v="Slim 20.9 mm"/>
    <s v="HDMI Port"/>
    <m/>
    <m/>
    <x v="17"/>
    <x v="60"/>
    <x v="7"/>
  </r>
  <r>
    <s v="Microsoft Surface 5 Intel Evo (QZI-00023) Laptop (Core i5 12th Gen/8 GB/256 GB SSD/Windows 11)"/>
    <s v="Microsoft Surface 5 Intel Evo (QZI-00023) Laptop (Core i5 12th Gen/8 GB/256 GB SSD/Windows 11) price in India"/>
    <x v="294"/>
    <n v="4"/>
    <n v="40"/>
    <x v="1"/>
    <d v="2022-11-01T00:00:00"/>
    <s v="Intel Pentium Gold 2.0 Ghz, Dual-Core"/>
    <s v="Windows 11"/>
    <x v="31"/>
    <s v="13.5&quot; (34.29 cm), 1920 x 1080 px Display"/>
    <s v="Web Camera"/>
    <s v="Slim 15 mm"/>
    <m/>
    <s v="2 USB Ports"/>
    <n v="73"/>
    <x v="4"/>
    <x v="61"/>
    <x v="2"/>
  </r>
  <r>
    <s v="Asus ROG Flow X13 GV301RE-LJ156WS Laptop (AMD Octa Core Ryzen 9/32 GB/1 TB SSD/Windows 11/4 GB)"/>
    <s v="Asus ROG Flow X13 GV301RE-LJ156WS Laptop (AMD Octa Core Ryzen 9/32 GB/1 TB SSD/Windows 11/4 GB) price in India"/>
    <x v="850"/>
    <n v="1"/>
    <n v="40"/>
    <x v="1"/>
    <d v="2022-08-01T00:00:00"/>
    <s v="Intel Pentium Quad-Core 1.6 Ghz"/>
    <s v="Windows 11"/>
    <x v="46"/>
    <s v="13.4&quot; (34.04 cm), 1920 x 1200 px Display"/>
    <s v="Web Camera"/>
    <s v="Slim 16 mm"/>
    <s v="HDMI Port"/>
    <s v="3 USB Ports"/>
    <n v="83"/>
    <x v="2"/>
    <x v="62"/>
    <x v="3"/>
  </r>
  <r>
    <s v="Asus TUF Gaming A15 FA577RM-HQ032WS Laptop (AMD Octa Core Ryzen 7/16 GB/1 TB SSD/Windows 11/6 GB)"/>
    <s v="Asus TUF Gaming A15 FA577RM-HQ032WS Laptop (AMD Octa Core Ryzen 7/16 GB/1 TB SSD/Windows 11/6 GB) price in India"/>
    <x v="116"/>
    <n v="1"/>
    <n v="40"/>
    <x v="1"/>
    <d v="2022-08-01T00:00:00"/>
    <s v="Intel Pentium Quad-Core 2.0 Ghz, Quad-Core"/>
    <s v="Windows 11"/>
    <x v="10"/>
    <s v="15.6&quot; (39.62 cm), 2560 x 1440 px, IPS LCD Display"/>
    <s v="Web Camera"/>
    <m/>
    <s v="HDMI Port"/>
    <m/>
    <n v="85"/>
    <x v="2"/>
    <x v="62"/>
    <x v="0"/>
  </r>
  <r>
    <s v="HP 15-fd0466TU (B61ZGPA) Laptop (Core i5 13th Gen/8 GB/512 GB SSD/Windows 11)"/>
    <s v="HP 15-fd0466TU (B61ZGPA) Laptop (Core i5 13th Gen/8 GB/512 GB SSD/Windows 11) price in India"/>
    <x v="851"/>
    <n v="1"/>
    <n v="20"/>
    <x v="2"/>
    <d v="2025-02-01T00:00:00"/>
    <s v="Intel Pentium Quad-Core 3.1 Ghz, Quad-Core"/>
    <s v="Windows 11"/>
    <x v="5"/>
    <s v="15.6&quot; (39.62 cm), 1920 x 1080 px, IPS LCD Display"/>
    <s v="Web Camera"/>
    <s v="Slim 18.6 mm"/>
    <s v="HDMI Port"/>
    <m/>
    <n v="80"/>
    <x v="7"/>
    <x v="62"/>
    <x v="2"/>
  </r>
  <r>
    <s v="HP OmniBook X Flip 14-fm0026TU (B91BPPA) Laptop (Core Ultra 7 Series 2 /16 GB/512 GB SSD/Windows 11)"/>
    <s v="HP OmniBook X Flip 14-fm0026TU (B91BPPA) Laptop (Core Ultra 7 Series 2 /16 GB/512 GB SSD/Windows 11) price in India"/>
    <x v="852"/>
    <n v="1"/>
    <n v="20"/>
    <x v="2"/>
    <d v="2025-04-01T00:00:00"/>
    <s v="Intel Pentium Quad-Core 3.4 Ghz, Quad-Core"/>
    <s v="Windows 11"/>
    <x v="8"/>
    <s v="14&quot; (35.56 cm), 2880 x 1800 px, OLED Display"/>
    <s v="Web Camera"/>
    <s v="Slim 14.6 mm"/>
    <s v="HDMI Port"/>
    <m/>
    <n v="87"/>
    <x v="7"/>
    <x v="62"/>
    <x v="0"/>
  </r>
  <r>
    <s v="Asus Vivobook Go 15 E510KA-EJ9011WS Laptop (Intel Celeron Dual Core/8 GB/512 GB SSD/Windows 11)"/>
    <s v="Asus Vivobook Go 15 E510KA-EJ9011WS Laptop (Intel Celeron Dual Core/8 GB/512 GB SSD/Windows 11) price in India"/>
    <x v="639"/>
    <n v="2"/>
    <n v="20"/>
    <x v="2"/>
    <d v="2025-01-01T00:00:00"/>
    <s v="Intel Pentium Quad-Core 3.4 Ghz, Quad-Core"/>
    <s v="Windows 11"/>
    <x v="5"/>
    <s v="15.6&quot; (39.62 cm), 1920 x 1080 px Display"/>
    <s v="Web Camera"/>
    <s v="Slim 18.1 mm"/>
    <s v="HDMI Port"/>
    <m/>
    <m/>
    <x v="2"/>
    <x v="62"/>
    <x v="2"/>
  </r>
  <r>
    <s v="Lenovo LOQ 15IAX9 (83GS00LNIN) Laptop (Core i5 12th Gen/16 GB/512 GB SSD/Windows 11/6 GB)"/>
    <s v="Lenovo LOQ 15IAX9 (83GS00LNIN) Laptop (Core i5 12th Gen/16 GB/512 GB SSD/Windows 11/6 GB) price in India"/>
    <x v="827"/>
    <n v="1"/>
    <n v="20"/>
    <x v="2"/>
    <d v="2024-12-01T00:00:00"/>
    <s v="MediaTek Octa-core 2.0 Ghz, Octa-Core"/>
    <s v="Windows 11"/>
    <x v="6"/>
    <s v="15.6&quot; (39.62 cm), 1920 x 1080 px, IPS LCD Display"/>
    <s v="Web Camera"/>
    <m/>
    <s v="HDMI Port"/>
    <m/>
    <n v="87"/>
    <x v="5"/>
    <x v="63"/>
    <x v="0"/>
  </r>
  <r>
    <s v="MSI Modern 15 B12MO-1007IN Laptop (Core i5 13th Gen/16 GB/512 GB SSD/Windows 11)"/>
    <s v="MSI Modern 15 B12MO-1007IN Laptop (Core i5 13th Gen/16 GB/512 GB SSD/Windows 11) price in India"/>
    <x v="176"/>
    <n v="1"/>
    <n v="20"/>
    <x v="2"/>
    <d v="2024-07-01T00:00:00"/>
    <s v="MediaTek Octa-core 2.0 Ghz, Octa-Core"/>
    <s v="Windows 11"/>
    <x v="2"/>
    <s v="15.6&quot; (39.62 cm), 1920 x 1080 px, IPS LCD Display"/>
    <s v="Web Camera"/>
    <m/>
    <s v="HDMI Port"/>
    <m/>
    <n v="77"/>
    <x v="3"/>
    <x v="63"/>
    <x v="0"/>
  </r>
  <r>
    <s v="Microsoft Surface Pro 11 (ZID-00014) Laptop (Snapdragon X Elite/32 GB/1 TB SSD/Windows 11)"/>
    <s v="Microsoft Surface Pro 11 (ZID-00014) Laptop (Snapdragon X Elite/32 GB/1 TB SSD/Windows 11) price in India"/>
    <x v="853"/>
    <n v="1"/>
    <n v="20"/>
    <x v="2"/>
    <d v="2024-07-01T00:00:00"/>
    <s v="MediaTek Octa-core 2.0 Ghz, Octa-Core"/>
    <s v="Windows 11"/>
    <x v="19"/>
    <s v="13.8&quot; (35.05 cm), 2880 x 1920 px, OLED Display"/>
    <s v="Web Camera"/>
    <m/>
    <m/>
    <m/>
    <n v="84"/>
    <x v="4"/>
    <x v="63"/>
    <x v="3"/>
  </r>
  <r>
    <s v="Asus VivoBook 15 X1504VAP-NJ541WS Laptop (Core 5 Series 1 /16 GB/512 GB SSD/Windows 11)"/>
    <s v="Asus VivoBook 15 X1504VAP-NJ541WS Laptop (Core 5 Series 1 /16 GB/512 GB SSD/Windows 11) price in India"/>
    <x v="854"/>
    <n v="1"/>
    <n v="20"/>
    <x v="2"/>
    <d v="2024-07-01T00:00:00"/>
    <s v="MediaTek Octa-core 2.5 Ghz, Octa-Core"/>
    <s v="Windows 11"/>
    <x v="2"/>
    <s v="15.6&quot; (39.62 cm), 1920 x 1080 px, IPS LCD Display"/>
    <s v="Web Camera"/>
    <s v="Slim 17.9 mm"/>
    <s v="HDMI Port"/>
    <m/>
    <n v="79"/>
    <x v="2"/>
    <x v="63"/>
    <x v="0"/>
  </r>
  <r>
    <s v="Lenovo ThinkPad E14 Gen 5 (21JKS1FT00) Laptop (Core i7 13th Gen/16 GB/512 GB SSD/Windows 11)"/>
    <s v="Lenovo ThinkPad E14 Gen 5 (21JKS1FT00) Laptop (Core i7 13th Gen/16 GB/512 GB SSD/Windows 11) price in India"/>
    <x v="175"/>
    <n v="2"/>
    <n v="20"/>
    <x v="2"/>
    <d v="2024-06-01T00:00:00"/>
    <s v="MediaTek Octa-core 2.6 Ghz, Octa-Core"/>
    <s v="Windows 11"/>
    <x v="2"/>
    <s v="14&quot; (35.56 cm), 1920 x 1200 px, IPS LCD Display"/>
    <s v="Web Camera"/>
    <m/>
    <s v="HDMI Port"/>
    <m/>
    <n v="79"/>
    <x v="5"/>
    <x v="63"/>
    <x v="0"/>
  </r>
  <r>
    <s v="Lenovo LOQ (82XT004KIN) Laptop (AMD Octa Core Ryzen 7/16 GB/512 GB SSD/Windows 11/8 GB)"/>
    <s v="Lenovo LOQ (82XT004KIN) Laptop (AMD Octa Core Ryzen 7/16 GB/512 GB SSD/Windows 11/8 GB) price in India"/>
    <x v="178"/>
    <n v="2"/>
    <n v="20"/>
    <x v="2"/>
    <d v="2023-10-01T00:00:00"/>
    <s v="Qualcomm Snapdragon Octa-Core 2.9 Ghz, Octa-Core"/>
    <s v="Windows 11"/>
    <x v="6"/>
    <s v="15.6&quot; (39.62 cm), 1920 x 1080 px, IPS LCD Display"/>
    <s v="Web Camera"/>
    <m/>
    <s v="HDMI Port"/>
    <m/>
    <n v="84"/>
    <x v="5"/>
    <x v="64"/>
    <x v="0"/>
  </r>
  <r>
    <s v="MSI Stealth 16 Mercedes AMG A13VG-264IN Laptop (Core i9 13th Gen/32 GB/2 TB SSD/Windows 11/8 GB)"/>
    <s v="MSI Stealth 16 Mercedes AMG A13VG-264IN Laptop (Core i9 13th Gen/32 GB/2 TB SSD/Windows 11/8 GB) price in India"/>
    <x v="855"/>
    <n v="1"/>
    <n v="20"/>
    <x v="2"/>
    <d v="2023-07-01T00:00:00"/>
    <s v="Qualcomm Snapdragon Octa-Core, Octa-Core"/>
    <s v="Windows 11"/>
    <x v="22"/>
    <s v="16&quot; (40.64 cm), 3840 x 2400 px, OLED Display"/>
    <s v="Web Camera"/>
    <s v="Slim 19.9 mm"/>
    <s v="HDMI Port"/>
    <m/>
    <m/>
    <x v="3"/>
    <x v="64"/>
    <x v="3"/>
  </r>
  <r>
    <s v="Asus VivoBook 15 X1504VA-NJ543WS Laptop (Core i5 13th Gen/16 GB/512 GB SSD/Windows 11)"/>
    <s v="Asus VivoBook 15 X1504VA-NJ543WS Laptop (Core i5 13th Gen/16 GB/512 GB SSD/Windows 11) price in India"/>
    <x v="15"/>
    <n v="1"/>
    <n v="20"/>
    <x v="2"/>
    <d v="2023-07-01T00:00:00"/>
    <s v="Qualcomm Snapdragon Octa-Core, Octa-Core"/>
    <s v="Windows 11"/>
    <x v="2"/>
    <s v="15.6&quot; (39.62 cm), 1920 x 1080 px Display"/>
    <s v="Web Camera"/>
    <m/>
    <s v="HDMI Port"/>
    <m/>
    <n v="75"/>
    <x v="2"/>
    <x v="64"/>
    <x v="0"/>
  </r>
  <r>
    <s v="Asus ROG Strix G18 G814JI-N6097WS Laptop (Core i9 13th Gen/16 GB/1 TB SSD/Windows 11/8 GB)"/>
    <s v="Asus ROG Strix G18 G814JI-N6097WS Laptop (Core i9 13th Gen/16 GB/1 TB SSD/Windows 11/8 GB) price in India"/>
    <x v="856"/>
    <n v="2"/>
    <n v="20"/>
    <x v="2"/>
    <d v="2023-05-01T00:00:00"/>
    <s v="Snapdragon X Elite 3.4 Ghz"/>
    <s v="Windows 11"/>
    <x v="10"/>
    <s v="18&quot; (45.72 cm), 2560 x 1600 px, IPS LCD Display"/>
    <s v="Web Camera"/>
    <m/>
    <s v="HDMI Port"/>
    <m/>
    <m/>
    <x v="2"/>
    <x v="65"/>
    <x v="0"/>
  </r>
  <r>
    <s v="Asus ROG Zephyrus G14 GA402XV-N2034WS Laptop (AMD Octa Core Ryzen 9/32 GB/1 TB SSD/Windows 11/8 GB)"/>
    <s v="Asus ROG Zephyrus G14 GA402XV-N2034WS Laptop (AMD Octa Core Ryzen 9/32 GB/1 TB SSD/Windows 11/8 GB) price in India"/>
    <x v="69"/>
    <n v="3"/>
    <n v="20"/>
    <x v="2"/>
    <d v="2023-05-01T00:00:00"/>
    <s v="Snapdragon X Elite 3.4 Ghz"/>
    <s v="Windows 11"/>
    <x v="19"/>
    <s v="14&quot; (35.56 cm), 2560 x 1600 px, IPS LCD Display"/>
    <s v="Web Camera"/>
    <s v="Slim 20.5 mm"/>
    <s v="HDMI Port"/>
    <m/>
    <m/>
    <x v="2"/>
    <x v="65"/>
    <x v="3"/>
  </r>
  <r>
    <s v="Lenovo Thinkpad P15v Gen3 (21D8S05G00) Laptop (Core i7 12th Gen/32 GB/1 TB SSD/Windows 11/4 GB)"/>
    <s v="Lenovo Thinkpad P15v Gen3 (21D8S05G00) Laptop (Core i7 12th Gen/32 GB/1 TB SSD/Windows 11/4 GB) price in India"/>
    <x v="857"/>
    <n v="1"/>
    <n v="20"/>
    <x v="2"/>
    <d v="2023-02-01T00:00:00"/>
    <s v="Snapdragon X Elite 3.4 Ghz"/>
    <s v="Windows 11"/>
    <x v="19"/>
    <s v="15.6&quot; (39.62 cm), 1920 x 1080 px, IPS LCD Display"/>
    <s v="Web Camera"/>
    <m/>
    <s v="HDMI Port"/>
    <m/>
    <n v="83"/>
    <x v="5"/>
    <x v="65"/>
    <x v="3"/>
  </r>
  <r>
    <s v="Lenovo V14 Gen 2 (82KAA08BIH) Laptop (Core i3 11th Gen/8 GB/512 GB SSD/DOS)"/>
    <s v="Lenovo V14 Gen 2 (82KAA08BIH) Laptop (Core i3 11th Gen/8 GB/512 GB SSD/DOS) price in India"/>
    <x v="858"/>
    <n v="4"/>
    <n v="20"/>
    <x v="2"/>
    <d v="2023-01-01T00:00:00"/>
    <s v="Snapdragon X Elite 3.4 Ghz"/>
    <s v="DOS"/>
    <x v="5"/>
    <s v="14&quot; (35.56 cm), 1366 x 768 px Display"/>
    <s v="Web Camera"/>
    <s v="Slim 20 mm"/>
    <s v="HDMI Port"/>
    <m/>
    <m/>
    <x v="5"/>
    <x v="65"/>
    <x v="2"/>
  </r>
  <r>
    <s v="Lenovo V14 G2 ITL (82KAA04QIH) Laptop (Core i5 11th Gen/8 GB/512 GB SSD/DOS)"/>
    <s v="Lenovo V14 G2 ITL (82KAA04QIH) Laptop (Core i5 11th Gen/8 GB/512 GB SSD/DOS) price in India"/>
    <x v="859"/>
    <n v="1"/>
    <n v="20"/>
    <x v="2"/>
    <d v="2023-01-01T00:00:00"/>
    <s v="Snapdragon X Elite 3.4 Ghz"/>
    <s v="DOS"/>
    <x v="5"/>
    <s v="14&quot; (35.56 cm), 1366 x 768 px, TN LCD Display"/>
    <s v="Web Camera"/>
    <s v="Slim 19.9 mm"/>
    <s v="HDMI Port"/>
    <m/>
    <n v="72"/>
    <x v="5"/>
    <x v="65"/>
    <x v="2"/>
  </r>
  <r>
    <s v="Lenovo Thinkpad E14 Gen 4 (21E3S00L00) Laptop (Core i5 12th Gen/8 GB/512 GB SSD/Windows 11)"/>
    <s v="Lenovo Thinkpad E14 Gen 4 (21E3S00L00) Laptop (Core i5 12th Gen/8 GB/512 GB SSD/Windows 11) price in India"/>
    <x v="185"/>
    <n v="1"/>
    <n v="20"/>
    <x v="2"/>
    <d v="2023-01-01T00:00:00"/>
    <s v="Snapdragon X Elite 3.4 Ghz"/>
    <s v="Windows 11"/>
    <x v="5"/>
    <s v="14&quot; (35.56 cm), 1920 x 1080 px, IPS LCD Display"/>
    <s v="Web Camera"/>
    <s v="Slim 19 mm"/>
    <s v="HDMI Port"/>
    <m/>
    <n v="78"/>
    <x v="5"/>
    <x v="65"/>
    <x v="2"/>
  </r>
  <r>
    <s v="Dell Vostro 3510 (BTS-ICC-D585051WIN8) Laptop (Core i3 11th Gen/8 GB/1 TB 256 GB SSD/Windows 11)"/>
    <s v="Dell Vostro 3510 (BTS-ICC-D585051WIN8) Laptop (Core i3 11th Gen/8 GB/1 TB 256 GB SSD/Windows 11) price in India"/>
    <x v="176"/>
    <n v="2"/>
    <n v="20"/>
    <x v="2"/>
    <d v="2022-12-01T00:00:00"/>
    <s v="Snapdragon X Elite 3.4 Ghz"/>
    <s v="Windows 11"/>
    <x v="37"/>
    <s v="15.6&quot; (39.62 cm), 1920 x 1080 px, LED Display"/>
    <s v="Web Camera"/>
    <s v="Slim 18.9 mm"/>
    <s v="HDMI Port"/>
    <m/>
    <m/>
    <x v="6"/>
    <x v="65"/>
    <x v="2"/>
  </r>
  <r>
    <s v="Asus Vivobook K15 OLED KM513UA-L513WS Laptop (AMD Hexa Core Ryzen 5/16 GB/512 GB SSD/Windows 11)"/>
    <s v="Asus Vivobook K15 OLED KM513UA-L513WS Laptop (AMD Hexa Core Ryzen 5/16 GB/512 GB SSD/Windows 11) price in India"/>
    <x v="62"/>
    <n v="2"/>
    <n v="20"/>
    <x v="2"/>
    <d v="2022-11-01T00:00:00"/>
    <s v="Snapdragon X Elite 3.4 Ghz"/>
    <s v="Windows 11"/>
    <x v="2"/>
    <s v="15.6&quot; (39.62 cm), 1920 x 1080 px Display"/>
    <s v="Web Camera"/>
    <s v="Slim 18.6 mm"/>
    <s v="HDMI Port"/>
    <m/>
    <m/>
    <x v="2"/>
    <x v="65"/>
    <x v="0"/>
  </r>
  <r>
    <s v="Dell Alienware x17 R1 (D569936WIN9) Laptop (Core i9 11th Gen/32 GB/1 TB SSD/Windows 11/16 GB)"/>
    <s v="Dell Alienware x17 R1 (D569936WIN9) Laptop (Core i9 11th Gen/32 GB/1 TB SSD/Windows 11/16 GB) price in India"/>
    <x v="860"/>
    <n v="1"/>
    <n v="20"/>
    <x v="2"/>
    <d v="2022-11-01T00:00:00"/>
    <s v="Snapdragon X Elite 3.4 Ghz"/>
    <s v="Windows 11"/>
    <x v="67"/>
    <s v="17.3&quot; (43.94 cm), 1920 x 1080 px Display"/>
    <s v="Web Camera"/>
    <s v="Slim 21 mm"/>
    <s v="HDMI Port"/>
    <s v="2 USB Ports"/>
    <n v="83"/>
    <x v="6"/>
    <x v="65"/>
    <x v="3"/>
  </r>
  <r>
    <s v="Dell XPS 13 9315 (D560077WIN9S) Laptop (Core i7 12th Gen/16 GB/1 TB SSD/Windows 11)"/>
    <s v="Dell XPS 13 9315 (D560077WIN9S) Laptop (Core i7 12th Gen/16 GB/1 TB SSD/Windows 11) price in India"/>
    <x v="861"/>
    <n v="2"/>
    <n v="20"/>
    <x v="2"/>
    <d v="2022-09-01T00:00:00"/>
    <s v="Snapdragon X Elite 3.4 Ghz"/>
    <s v="Windows 11"/>
    <x v="36"/>
    <s v="13&quot; (33.02 cm), 2880 x 1920 px Display"/>
    <s v="Web Camera"/>
    <s v="Slim 7.40 mm"/>
    <m/>
    <m/>
    <n v="80"/>
    <x v="6"/>
    <x v="65"/>
    <x v="0"/>
  </r>
  <r>
    <s v="Dell Vostro 5625 (D552265WIN9S) Laptop (AMD Octa Core Ryzen 7/16 GB/512 GB SSD/Windows 11)"/>
    <s v="Dell Vostro 5625 (D552265WIN9S) Laptop (AMD Octa Core Ryzen 7/16 GB/512 GB SSD/Windows 11) price in India"/>
    <x v="272"/>
    <n v="1"/>
    <n v="20"/>
    <x v="2"/>
    <d v="2022-09-01T00:00:00"/>
    <s v="Snapdragon X Plus 3.2 Ghz, Octa-Core"/>
    <s v="Windows 11"/>
    <x v="2"/>
    <s v="16&quot; (40.64 cm), 1920 x 1080 px, IPS LCD Display"/>
    <s v="Web Camera"/>
    <s v="Slim 15.6 mm"/>
    <s v="HDMI Port"/>
    <m/>
    <n v="71"/>
    <x v="6"/>
    <x v="66"/>
    <x v="0"/>
  </r>
  <r>
    <s v="Asus TUF Gaming F15 FA507RE-HN043WS Laptop (AMD Octa Core Ryzen 7/16 GB/1 TB SSD/Windows 11/4 GB)"/>
    <s v="Asus TUF Gaming F15 FA507RE-HN043WS Laptop (AMD Octa Core Ryzen 7/16 GB/1 TB SSD/Windows 11/4 GB) price in India"/>
    <x v="230"/>
    <n v="1"/>
    <n v="20"/>
    <x v="2"/>
    <d v="2022-09-01T00:00:00"/>
    <s v="Snapdragon X Plus 3.4 Ghz, Deca-Core"/>
    <s v="Windows 11"/>
    <x v="10"/>
    <s v="15.6&quot; (39.62 cm), 1920 x 1080 px, IPS LCD Display"/>
    <s v="Web Camera"/>
    <m/>
    <s v="HDMI Port"/>
    <m/>
    <n v="82"/>
    <x v="2"/>
    <x v="66"/>
    <x v="0"/>
  </r>
  <r>
    <s v="Asus ROG Flow X16 GV601RM-M5053WS Laptop (AMD Octa Core Ryzen7/16 GB/1 TB SSD/Windows 11/6 GB)"/>
    <s v="Asus ROG Flow X16 GV601RM-M5053WS Laptop (AMD Octa Core Ryzen7/16 GB/1 TB SSD/Windows 11/6 GB) price in India"/>
    <x v="862"/>
    <n v="1"/>
    <n v="20"/>
    <x v="2"/>
    <d v="2022-09-01T00:00:00"/>
    <s v="Snapdragon X Plus 3.4 Ghz, Deca-Core"/>
    <s v="Windows 11"/>
    <x v="10"/>
    <s v="16&quot; (40.64 cm), 2560 x 1600 px, IPS LCD Display"/>
    <s v="Web Camera"/>
    <s v="Slim 19.4 mm"/>
    <s v="HDMI Port"/>
    <m/>
    <n v="83"/>
    <x v="2"/>
    <x v="66"/>
    <x v="0"/>
  </r>
  <r>
    <s v="Asus VivoBook Pro 15 M6500IH-HN702WS Laptop (AMD Octa Core Ryzen 7/16 GB/512 GB SSD/Windows 11/4 GB)"/>
    <s v="Asus VivoBook Pro 15 M6500IH-HN702WS Laptop (AMD Octa Core Ryzen 7/16 GB/512 GB SSD/Windows 11/4 GB) price in India"/>
    <x v="210"/>
    <n v="1"/>
    <n v="20"/>
    <x v="2"/>
    <d v="2022-08-01T00:00:00"/>
    <s v="Snapdragon X Plus 3.4 Ghz, Deca-Core"/>
    <s v="Windows 11"/>
    <x v="2"/>
    <s v="15.6&quot; (39.62 cm), 1920 x 1080 px, IPS LCD Display"/>
    <s v="Web Camera"/>
    <s v="Slim 19.9 mm"/>
    <s v="HDMI Port"/>
    <m/>
    <n v="76"/>
    <x v="2"/>
    <x v="66"/>
    <x v="0"/>
  </r>
  <r>
    <s v="Asus ROG Zephyrus G14 GA402RK-L8148WS Laptop (AMD Octa Core Ryzen 9/32 GB/1 TB SSD/Windows 11/8 GB)"/>
    <s v="Asus ROG Zephyrus G14 GA402RK-L8148WS Laptop (AMD Octa Core Ryzen 9/32 GB/1 TB SSD/Windows 11/8 GB) price in India"/>
    <x v="26"/>
    <n v="1"/>
    <n v="20"/>
    <x v="2"/>
    <d v="2022-07-01T00:00:00"/>
    <s v="Snapdragon X Plus 3.4 Ghz, Octa-Core"/>
    <s v="Windows 11"/>
    <x v="19"/>
    <s v="14&quot; (35.56 cm), 2560 x 1600 px, IPS LCD Display"/>
    <s v="Web Camera"/>
    <m/>
    <s v="HDMI Port"/>
    <m/>
    <n v="77"/>
    <x v="2"/>
    <x v="66"/>
    <x v="3"/>
  </r>
  <r>
    <s v="Lenovo Yoga 9i Gen 7 Intel Evo (82LU008TIN) Laptop (Core i7 12th Gen/16 GB/1 TB SSD/Windows 11)"/>
    <s v="Lenovo Yoga 9i Gen 7 Intel Evo (82LU008TIN) Laptop (Core i7 12th Gen/16 GB/1 TB SSD/Windows 11) price in India"/>
    <x v="697"/>
    <n v="1"/>
    <n v="20"/>
    <x v="2"/>
    <d v="2022-07-01T00:00:00"/>
    <s v="Snapdragon X Plus 3.4 Ghz, Octa-Core"/>
    <s v="Windows 11"/>
    <x v="21"/>
    <s v="14&quot; (35.56 cm), 3840 x 2160 px Display"/>
    <s v="Web Camera"/>
    <s v="Slim 15 mm"/>
    <m/>
    <m/>
    <n v="82"/>
    <x v="5"/>
    <x v="66"/>
    <x v="0"/>
  </r>
  <r>
    <s v="Asus ROG Zephyrus Duo 16 GX650RXZ-LS228WS Laptop (AMD Octa Core Ryzen 9/32 GB/2 TB SSD/Windows 11/16 GB)"/>
    <s v="Asus ROG Zephyrus Duo 16 GX650RXZ-LS228WS Laptop (AMD Octa Core Ryzen 9/32 GB/2 TB SSD/Windows 11/16 GB) price in India"/>
    <x v="863"/>
    <n v="2"/>
    <n v="20"/>
    <x v="2"/>
    <d v="2022-07-01T00:00:00"/>
    <s v="Snapdragon X Plus Deca-Core 3.4 Ghz, Deca-Core"/>
    <s v="Windows 11"/>
    <x v="22"/>
    <s v="16&quot; (40.64 cm), 1920 x 1200 px Display"/>
    <s v="Web Camera"/>
    <s v="Slim 21 mm"/>
    <s v="HDMI Port"/>
    <s v="5 USB Ports"/>
    <n v="85"/>
    <x v="2"/>
    <x v="67"/>
    <x v="3"/>
  </r>
  <r>
    <s v="Dell XPS 13 9320 (D560074WIN9S) Laptop (Core i5 12th Gen/16 GB/512 GB SSD/Windows 11)"/>
    <s v="Dell XPS 13 9320 (D560074WIN9S) Laptop (Core i5 12th Gen/16 GB/512 GB SSD/Windows 11) price in India"/>
    <x v="864"/>
    <n v="1"/>
    <n v="20"/>
    <x v="2"/>
    <d v="2022-06-01T00:00:00"/>
    <s v="Snapdragon X Plus Octa-Core 3.2 Ghz, Octa-Core"/>
    <s v="Windows 11"/>
    <x v="17"/>
    <s v="13.4&quot; (34.04 cm), 3840 x 2160 px Display"/>
    <s v="Web Camera"/>
    <s v="Slim 15 mm"/>
    <m/>
    <m/>
    <n v="79"/>
    <x v="6"/>
    <x v="6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13AD8-CEE9-48A7-AD03-B06B7F39342B}" name="PivotTable1" cacheId="70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4:E310" firstHeaderRow="1" firstDataRow="2" firstDataCol="2" rowPageCount="1" colPageCount="1"/>
  <pivotFields count="19">
    <pivotField compact="0" outline="0" showAll="0"/>
    <pivotField compact="0" outline="0" showAll="0"/>
    <pivotField dataField="1" compact="0" numFmtId="2" outline="0" showAll="0">
      <items count="866">
        <item x="688"/>
        <item x="786"/>
        <item x="848"/>
        <item x="849"/>
        <item x="726"/>
        <item x="719"/>
        <item x="491"/>
        <item x="729"/>
        <item x="551"/>
        <item x="763"/>
        <item x="656"/>
        <item x="814"/>
        <item x="426"/>
        <item x="672"/>
        <item x="720"/>
        <item x="767"/>
        <item x="446"/>
        <item x="653"/>
        <item x="523"/>
        <item x="665"/>
        <item x="618"/>
        <item x="820"/>
        <item x="783"/>
        <item x="813"/>
        <item x="766"/>
        <item x="816"/>
        <item x="545"/>
        <item x="646"/>
        <item x="685"/>
        <item x="765"/>
        <item x="626"/>
        <item x="712"/>
        <item x="271"/>
        <item x="492"/>
        <item x="723"/>
        <item x="701"/>
        <item x="728"/>
        <item x="613"/>
        <item x="404"/>
        <item x="566"/>
        <item x="631"/>
        <item x="793"/>
        <item x="760"/>
        <item x="536"/>
        <item x="582"/>
        <item x="649"/>
        <item x="602"/>
        <item x="611"/>
        <item x="639"/>
        <item x="526"/>
        <item x="780"/>
        <item x="614"/>
        <item x="465"/>
        <item x="464"/>
        <item x="619"/>
        <item x="313"/>
        <item x="306"/>
        <item x="597"/>
        <item x="421"/>
        <item x="565"/>
        <item x="659"/>
        <item x="603"/>
        <item x="544"/>
        <item x="589"/>
        <item x="318"/>
        <item x="532"/>
        <item x="489"/>
        <item x="707"/>
        <item x="581"/>
        <item x="258"/>
        <item x="706"/>
        <item x="327"/>
        <item x="317"/>
        <item x="515"/>
        <item x="714"/>
        <item x="478"/>
        <item x="276"/>
        <item x="826"/>
        <item x="570"/>
        <item x="704"/>
        <item x="752"/>
        <item x="548"/>
        <item x="502"/>
        <item x="531"/>
        <item x="56"/>
        <item x="337"/>
        <item x="505"/>
        <item x="840"/>
        <item x="518"/>
        <item x="586"/>
        <item x="397"/>
        <item x="817"/>
        <item x="540"/>
        <item x="379"/>
        <item x="858"/>
        <item x="811"/>
        <item x="354"/>
        <item x="627"/>
        <item x="454"/>
        <item x="625"/>
        <item x="253"/>
        <item x="405"/>
        <item x="493"/>
        <item x="628"/>
        <item x="450"/>
        <item x="588"/>
        <item x="569"/>
        <item x="147"/>
        <item x="564"/>
        <item x="734"/>
        <item x="738"/>
        <item x="567"/>
        <item x="152"/>
        <item x="703"/>
        <item x="480"/>
        <item x="378"/>
        <item x="490"/>
        <item x="609"/>
        <item x="740"/>
        <item x="91"/>
        <item x="133"/>
        <item x="413"/>
        <item x="574"/>
        <item x="587"/>
        <item x="498"/>
        <item x="418"/>
        <item x="410"/>
        <item x="608"/>
        <item x="600"/>
        <item x="590"/>
        <item x="568"/>
        <item x="67"/>
        <item x="126"/>
        <item x="694"/>
        <item x="348"/>
        <item x="452"/>
        <item x="668"/>
        <item x="687"/>
        <item x="598"/>
        <item x="845"/>
        <item x="553"/>
        <item x="328"/>
        <item x="228"/>
        <item x="500"/>
        <item x="334"/>
        <item x="411"/>
        <item x="419"/>
        <item x="356"/>
        <item x="414"/>
        <item x="620"/>
        <item x="517"/>
        <item x="470"/>
        <item x="233"/>
        <item x="438"/>
        <item x="47"/>
        <item x="447"/>
        <item x="745"/>
        <item x="606"/>
        <item x="468"/>
        <item x="160"/>
        <item x="497"/>
        <item x="428"/>
        <item x="371"/>
        <item x="383"/>
        <item x="390"/>
        <item x="692"/>
        <item x="689"/>
        <item x="583"/>
        <item x="481"/>
        <item x="709"/>
        <item x="663"/>
        <item x="440"/>
        <item x="6"/>
        <item x="396"/>
        <item x="506"/>
        <item x="790"/>
        <item x="184"/>
        <item x="434"/>
        <item x="543"/>
        <item x="487"/>
        <item x="407"/>
        <item x="384"/>
        <item x="131"/>
        <item x="651"/>
        <item x="114"/>
        <item x="425"/>
        <item x="442"/>
        <item x="616"/>
        <item x="499"/>
        <item x="751"/>
        <item x="787"/>
        <item x="333"/>
        <item x="683"/>
        <item x="859"/>
        <item x="406"/>
        <item x="362"/>
        <item x="347"/>
        <item x="735"/>
        <item x="415"/>
        <item x="534"/>
        <item x="824"/>
        <item x="41"/>
        <item x="781"/>
        <item x="508"/>
        <item x="417"/>
        <item x="155"/>
        <item x="245"/>
        <item x="444"/>
        <item x="821"/>
        <item x="643"/>
        <item x="580"/>
        <item x="200"/>
        <item x="802"/>
        <item x="71"/>
        <item x="16"/>
        <item x="180"/>
        <item x="311"/>
        <item x="346"/>
        <item x="552"/>
        <item x="509"/>
        <item x="332"/>
        <item x="733"/>
        <item x="323"/>
        <item x="352"/>
        <item x="471"/>
        <item x="260"/>
        <item x="757"/>
        <item x="585"/>
        <item x="322"/>
        <item x="176"/>
        <item x="539"/>
        <item x="486"/>
        <item x="420"/>
        <item x="432"/>
        <item x="529"/>
        <item x="594"/>
        <item x="666"/>
        <item x="169"/>
        <item x="275"/>
        <item x="290"/>
        <item x="596"/>
        <item x="556"/>
        <item x="693"/>
        <item x="641"/>
        <item x="310"/>
        <item x="647"/>
        <item x="393"/>
        <item x="389"/>
        <item x="315"/>
        <item x="573"/>
        <item x="441"/>
        <item x="369"/>
        <item x="439"/>
        <item x="584"/>
        <item x="785"/>
        <item x="524"/>
        <item x="711"/>
        <item x="547"/>
        <item x="803"/>
        <item x="361"/>
        <item x="298"/>
        <item x="124"/>
        <item x="382"/>
        <item x="669"/>
        <item x="718"/>
        <item x="677"/>
        <item x="610"/>
        <item x="795"/>
        <item x="541"/>
        <item x="314"/>
        <item x="377"/>
        <item x="851"/>
        <item x="678"/>
        <item x="623"/>
        <item x="794"/>
        <item x="799"/>
        <item x="854"/>
        <item x="469"/>
        <item x="247"/>
        <item x="329"/>
        <item x="463"/>
        <item x="326"/>
        <item x="843"/>
        <item x="691"/>
        <item x="340"/>
        <item x="416"/>
        <item x="125"/>
        <item x="373"/>
        <item x="296"/>
        <item x="698"/>
        <item x="472"/>
        <item x="533"/>
        <item x="642"/>
        <item x="177"/>
        <item x="635"/>
        <item x="42"/>
        <item x="349"/>
        <item x="344"/>
        <item x="700"/>
        <item x="202"/>
        <item x="392"/>
        <item x="443"/>
        <item x="749"/>
        <item x="270"/>
        <item x="319"/>
        <item x="530"/>
        <item x="800"/>
        <item x="475"/>
        <item x="792"/>
        <item x="806"/>
        <item x="429"/>
        <item x="437"/>
        <item x="163"/>
        <item x="164"/>
        <item x="727"/>
        <item x="715"/>
        <item x="244"/>
        <item x="402"/>
        <item x="538"/>
        <item x="572"/>
        <item x="21"/>
        <item x="705"/>
        <item x="561"/>
        <item x="385"/>
        <item x="324"/>
        <item x="431"/>
        <item x="460"/>
        <item x="673"/>
        <item x="664"/>
        <item x="722"/>
        <item x="15"/>
        <item x="285"/>
        <item x="303"/>
        <item x="370"/>
        <item x="399"/>
        <item x="546"/>
        <item x="295"/>
        <item x="833"/>
        <item x="189"/>
        <item x="741"/>
        <item x="61"/>
        <item x="274"/>
        <item x="132"/>
        <item x="355"/>
        <item x="325"/>
        <item x="367"/>
        <item x="291"/>
        <item x="753"/>
        <item x="560"/>
        <item x="266"/>
        <item x="148"/>
        <item x="456"/>
        <item x="436"/>
        <item x="190"/>
        <item x="483"/>
        <item x="387"/>
        <item x="2"/>
        <item x="203"/>
        <item x="195"/>
        <item x="288"/>
        <item x="351"/>
        <item x="408"/>
        <item x="182"/>
        <item x="267"/>
        <item x="196"/>
        <item x="257"/>
        <item x="256"/>
        <item x="458"/>
        <item x="671"/>
        <item x="576"/>
        <item x="528"/>
        <item x="593"/>
        <item x="736"/>
        <item x="435"/>
        <item x="320"/>
        <item x="578"/>
        <item x="365"/>
        <item x="699"/>
        <item x="395"/>
        <item x="605"/>
        <item x="34"/>
        <item x="612"/>
        <item x="292"/>
        <item x="514"/>
        <item x="622"/>
        <item x="422"/>
        <item x="236"/>
        <item x="401"/>
        <item x="555"/>
        <item x="549"/>
        <item x="204"/>
        <item x="246"/>
        <item x="796"/>
        <item x="62"/>
        <item x="222"/>
        <item x="474"/>
        <item x="630"/>
        <item x="507"/>
        <item x="660"/>
        <item x="433"/>
        <item x="473"/>
        <item x="241"/>
        <item x="194"/>
        <item x="212"/>
        <item x="682"/>
        <item x="822"/>
        <item x="339"/>
        <item x="376"/>
        <item x="743"/>
        <item x="386"/>
        <item x="218"/>
        <item x="159"/>
        <item x="185"/>
        <item x="70"/>
        <item x="375"/>
        <item x="73"/>
        <item x="667"/>
        <item x="158"/>
        <item x="496"/>
        <item x="394"/>
        <item x="788"/>
        <item x="225"/>
        <item x="455"/>
        <item x="773"/>
        <item x="286"/>
        <item x="537"/>
        <item x="210"/>
        <item x="479"/>
        <item x="808"/>
        <item x="640"/>
        <item x="557"/>
        <item x="142"/>
        <item x="558"/>
        <item x="264"/>
        <item x="466"/>
        <item x="679"/>
        <item x="321"/>
        <item x="359"/>
        <item x="358"/>
        <item x="46"/>
        <item x="198"/>
        <item x="360"/>
        <item x="374"/>
        <item x="219"/>
        <item x="827"/>
        <item x="459"/>
        <item x="282"/>
        <item x="330"/>
        <item x="357"/>
        <item x="445"/>
        <item x="516"/>
        <item x="255"/>
        <item x="798"/>
        <item x="403"/>
        <item x="345"/>
        <item x="300"/>
        <item x="522"/>
        <item x="730"/>
        <item x="283"/>
        <item x="117"/>
        <item x="94"/>
        <item x="107"/>
        <item x="188"/>
        <item x="686"/>
        <item x="554"/>
        <item x="744"/>
        <item x="412"/>
        <item x="308"/>
        <item x="108"/>
        <item x="504"/>
        <item x="227"/>
        <item x="657"/>
        <item x="400"/>
        <item x="265"/>
        <item x="27"/>
        <item x="681"/>
        <item x="63"/>
        <item x="181"/>
        <item x="755"/>
        <item x="30"/>
        <item x="134"/>
        <item x="542"/>
        <item x="243"/>
        <item x="562"/>
        <item x="251"/>
        <item x="55"/>
        <item x="238"/>
        <item x="769"/>
        <item x="512"/>
        <item x="250"/>
        <item x="629"/>
        <item x="717"/>
        <item x="427"/>
        <item x="121"/>
        <item x="263"/>
        <item x="364"/>
        <item x="316"/>
        <item x="461"/>
        <item x="680"/>
        <item x="109"/>
        <item x="272"/>
        <item x="592"/>
        <item x="172"/>
        <item x="637"/>
        <item x="237"/>
        <item x="60"/>
        <item x="638"/>
        <item x="579"/>
        <item x="273"/>
        <item x="550"/>
        <item x="338"/>
        <item x="476"/>
        <item x="725"/>
        <item x="784"/>
        <item x="106"/>
        <item x="513"/>
        <item x="759"/>
        <item x="388"/>
        <item x="336"/>
        <item x="658"/>
        <item x="242"/>
        <item x="343"/>
        <item x="825"/>
        <item x="690"/>
        <item x="577"/>
        <item x="648"/>
        <item x="633"/>
        <item x="123"/>
        <item x="779"/>
        <item x="223"/>
        <item x="655"/>
        <item x="31"/>
        <item x="559"/>
        <item x="269"/>
        <item x="78"/>
        <item x="563"/>
        <item x="213"/>
        <item x="294"/>
        <item x="477"/>
        <item x="527"/>
        <item x="20"/>
        <item x="216"/>
        <item x="240"/>
        <item x="409"/>
        <item x="778"/>
        <item x="299"/>
        <item x="791"/>
        <item x="782"/>
        <item x="482"/>
        <item x="254"/>
        <item x="252"/>
        <item x="101"/>
        <item x="307"/>
        <item x="624"/>
        <item x="191"/>
        <item x="535"/>
        <item x="207"/>
        <item x="262"/>
        <item x="304"/>
        <item x="713"/>
        <item x="82"/>
        <item x="510"/>
        <item x="789"/>
        <item x="645"/>
        <item x="775"/>
        <item x="217"/>
        <item x="391"/>
        <item x="366"/>
        <item x="571"/>
        <item x="13"/>
        <item x="175"/>
        <item x="75"/>
        <item x="710"/>
        <item x="289"/>
        <item x="3"/>
        <item x="485"/>
        <item x="674"/>
        <item x="747"/>
        <item x="66"/>
        <item x="280"/>
        <item x="32"/>
        <item x="732"/>
        <item x="278"/>
        <item x="797"/>
        <item x="24"/>
        <item x="742"/>
        <item x="331"/>
        <item x="211"/>
        <item x="187"/>
        <item x="335"/>
        <item x="183"/>
        <item x="451"/>
        <item x="52"/>
        <item x="488"/>
        <item x="380"/>
        <item x="234"/>
        <item x="634"/>
        <item x="45"/>
        <item x="104"/>
        <item x="232"/>
        <item x="139"/>
        <item x="151"/>
        <item x="279"/>
        <item x="231"/>
        <item x="235"/>
        <item x="675"/>
        <item x="261"/>
        <item x="208"/>
        <item x="215"/>
        <item x="353"/>
        <item x="724"/>
        <item x="157"/>
        <item x="178"/>
        <item x="695"/>
        <item x="835"/>
        <item x="201"/>
        <item x="305"/>
        <item x="9"/>
        <item x="495"/>
        <item x="363"/>
        <item x="302"/>
        <item x="350"/>
        <item x="776"/>
        <item x="774"/>
        <item x="214"/>
        <item x="599"/>
        <item x="88"/>
        <item x="127"/>
        <item x="130"/>
        <item x="398"/>
        <item x="372"/>
        <item x="165"/>
        <item x="617"/>
        <item x="226"/>
        <item x="33"/>
        <item x="809"/>
        <item x="607"/>
        <item x="156"/>
        <item x="129"/>
        <item x="652"/>
        <item x="205"/>
        <item x="424"/>
        <item x="621"/>
        <item x="220"/>
        <item x="113"/>
        <item x="284"/>
        <item x="448"/>
        <item x="171"/>
        <item x="832"/>
        <item x="99"/>
        <item x="449"/>
        <item x="281"/>
        <item x="519"/>
        <item x="8"/>
        <item x="309"/>
        <item x="297"/>
        <item x="72"/>
        <item x="494"/>
        <item x="146"/>
        <item x="153"/>
        <item x="287"/>
        <item x="140"/>
        <item x="259"/>
        <item x="138"/>
        <item x="199"/>
        <item x="768"/>
        <item x="604"/>
        <item x="293"/>
        <item x="850"/>
        <item x="230"/>
        <item x="239"/>
        <item x="601"/>
        <item x="179"/>
        <item x="830"/>
        <item x="0"/>
        <item x="150"/>
        <item x="716"/>
        <item x="4"/>
        <item x="501"/>
        <item x="23"/>
        <item x="852"/>
        <item x="102"/>
        <item x="161"/>
        <item x="25"/>
        <item x="750"/>
        <item x="739"/>
        <item x="48"/>
        <item x="312"/>
        <item x="484"/>
        <item x="812"/>
        <item x="847"/>
        <item x="801"/>
        <item x="206"/>
        <item x="457"/>
        <item x="521"/>
        <item x="95"/>
        <item x="135"/>
        <item x="520"/>
        <item x="141"/>
        <item x="83"/>
        <item x="40"/>
        <item x="575"/>
        <item x="118"/>
        <item x="209"/>
        <item x="128"/>
        <item x="89"/>
        <item x="756"/>
        <item x="342"/>
        <item x="166"/>
        <item x="22"/>
        <item x="525"/>
        <item x="676"/>
        <item x="708"/>
        <item x="77"/>
        <item x="12"/>
        <item x="777"/>
        <item x="145"/>
        <item x="137"/>
        <item x="149"/>
        <item x="43"/>
        <item x="771"/>
        <item x="636"/>
        <item x="19"/>
        <item x="697"/>
        <item x="810"/>
        <item x="805"/>
        <item x="49"/>
        <item x="68"/>
        <item x="170"/>
        <item x="37"/>
        <item x="842"/>
        <item x="224"/>
        <item x="144"/>
        <item x="831"/>
        <item x="143"/>
        <item x="644"/>
        <item x="248"/>
        <item x="511"/>
        <item x="136"/>
        <item x="116"/>
        <item x="44"/>
        <item x="249"/>
        <item x="758"/>
        <item x="110"/>
        <item x="268"/>
        <item x="764"/>
        <item x="684"/>
        <item x="79"/>
        <item x="120"/>
        <item x="50"/>
        <item x="7"/>
        <item x="591"/>
        <item x="162"/>
        <item x="277"/>
        <item x="154"/>
        <item x="301"/>
        <item x="26"/>
        <item x="762"/>
        <item x="423"/>
        <item x="174"/>
        <item x="834"/>
        <item x="615"/>
        <item x="841"/>
        <item x="662"/>
        <item x="14"/>
        <item x="341"/>
        <item x="748"/>
        <item x="38"/>
        <item x="836"/>
        <item x="112"/>
        <item x="864"/>
        <item x="746"/>
        <item x="229"/>
        <item x="861"/>
        <item x="837"/>
        <item x="761"/>
        <item x="53"/>
        <item x="97"/>
        <item x="721"/>
        <item x="54"/>
        <item x="173"/>
        <item x="111"/>
        <item x="772"/>
        <item x="462"/>
        <item x="829"/>
        <item x="193"/>
        <item x="430"/>
        <item x="87"/>
        <item x="661"/>
        <item x="828"/>
        <item x="105"/>
        <item x="595"/>
        <item x="857"/>
        <item x="192"/>
        <item x="696"/>
        <item x="93"/>
        <item x="18"/>
        <item x="122"/>
        <item x="467"/>
        <item x="702"/>
        <item x="80"/>
        <item x="59"/>
        <item x="115"/>
        <item x="1"/>
        <item x="76"/>
        <item x="807"/>
        <item x="167"/>
        <item x="815"/>
        <item x="818"/>
        <item x="85"/>
        <item x="57"/>
        <item x="754"/>
        <item x="368"/>
        <item x="69"/>
        <item x="17"/>
        <item x="35"/>
        <item x="39"/>
        <item x="862"/>
        <item x="29"/>
        <item x="839"/>
        <item x="846"/>
        <item x="503"/>
        <item x="92"/>
        <item x="856"/>
        <item x="98"/>
        <item x="5"/>
        <item x="64"/>
        <item x="100"/>
        <item x="731"/>
        <item x="221"/>
        <item x="853"/>
        <item x="86"/>
        <item x="84"/>
        <item x="823"/>
        <item x="650"/>
        <item x="119"/>
        <item x="654"/>
        <item x="11"/>
        <item x="819"/>
        <item x="90"/>
        <item x="838"/>
        <item x="74"/>
        <item x="381"/>
        <item x="453"/>
        <item x="855"/>
        <item x="103"/>
        <item x="10"/>
        <item x="65"/>
        <item x="770"/>
        <item x="58"/>
        <item x="860"/>
        <item x="96"/>
        <item x="632"/>
        <item x="670"/>
        <item x="51"/>
        <item x="28"/>
        <item x="168"/>
        <item x="863"/>
        <item x="81"/>
        <item x="197"/>
        <item x="804"/>
        <item x="36"/>
        <item x="186"/>
        <item x="737"/>
        <item x="844"/>
        <item t="default"/>
      </items>
    </pivotField>
    <pivotField compact="0" numFmtId="2" outline="0" showAll="0"/>
    <pivotField compact="0" numFmtId="12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9">
        <item sd="0" m="1" x="18"/>
        <item x="1"/>
        <item x="0"/>
        <item x="2"/>
        <item x="16"/>
        <item x="6"/>
        <item x="9"/>
        <item x="11"/>
        <item x="7"/>
        <item x="10"/>
        <item x="5"/>
        <item x="4"/>
        <item x="12"/>
        <item x="3"/>
        <item x="13"/>
        <item x="8"/>
        <item x="17"/>
        <item x="14"/>
        <item x="15"/>
      </items>
    </pivotField>
    <pivotField axis="axisRow" compact="0" outline="0" showAll="0">
      <items count="71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3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m="1" x="69"/>
        <item t="default"/>
      </items>
    </pivotField>
    <pivotField axis="axisPage" compact="0" outline="0" multipleItemSelectionAllowed="1" showAll="0">
      <items count="11">
        <item x="8"/>
        <item x="0"/>
        <item x="6"/>
        <item x="1"/>
        <item x="3"/>
        <item x="5"/>
        <item x="7"/>
        <item x="4"/>
        <item x="9"/>
        <item x="2"/>
        <item t="default"/>
      </items>
    </pivotField>
  </pivotFields>
  <rowFields count="2">
    <field x="16"/>
    <field x="17"/>
  </rowFields>
  <rowItems count="305">
    <i>
      <x v="1"/>
      <x/>
    </i>
    <i r="1">
      <x v="5"/>
    </i>
    <i r="1">
      <x v="7"/>
    </i>
    <i r="1"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9"/>
    </i>
    <i r="1">
      <x v="40"/>
    </i>
    <i r="1">
      <x v="41"/>
    </i>
    <i r="1">
      <x v="46"/>
    </i>
    <i r="1">
      <x v="47"/>
    </i>
    <i r="1">
      <x v="48"/>
    </i>
    <i r="1">
      <x v="49"/>
    </i>
    <i r="1">
      <x v="50"/>
    </i>
    <i r="1">
      <x v="56"/>
    </i>
    <i r="1">
      <x v="58"/>
    </i>
    <i r="1">
      <x v="59"/>
    </i>
    <i>
      <x v="2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7"/>
    </i>
    <i r="1">
      <x v="21"/>
    </i>
    <i r="1">
      <x v="31"/>
    </i>
    <i r="1">
      <x v="41"/>
    </i>
    <i r="1">
      <x v="59"/>
    </i>
    <i>
      <x v="3"/>
      <x v="1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2"/>
    </i>
    <i r="1">
      <x v="63"/>
    </i>
    <i r="1">
      <x v="64"/>
    </i>
    <i r="1">
      <x v="65"/>
    </i>
    <i r="1">
      <x v="66"/>
    </i>
    <i r="1">
      <x v="67"/>
    </i>
    <i>
      <x v="4"/>
      <x v="48"/>
    </i>
    <i>
      <x v="5"/>
      <x v="4"/>
    </i>
    <i r="1">
      <x v="5"/>
    </i>
    <i r="1">
      <x v="7"/>
    </i>
    <i r="1">
      <x v="10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30"/>
    </i>
    <i r="1">
      <x v="31"/>
    </i>
    <i r="1">
      <x v="32"/>
    </i>
    <i r="1">
      <x v="35"/>
    </i>
    <i r="1">
      <x v="36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 r="1">
      <x v="56"/>
    </i>
    <i r="1">
      <x v="57"/>
    </i>
    <i r="1">
      <x v="58"/>
    </i>
    <i r="1">
      <x v="59"/>
    </i>
    <i r="1">
      <x v="65"/>
    </i>
    <i r="1">
      <x v="66"/>
    </i>
    <i r="1">
      <x v="68"/>
    </i>
    <i>
      <x v="6"/>
      <x v="7"/>
    </i>
    <i r="1">
      <x v="39"/>
    </i>
    <i r="1">
      <x v="41"/>
    </i>
    <i r="1">
      <x v="48"/>
    </i>
    <i r="1">
      <x v="60"/>
    </i>
    <i>
      <x v="7"/>
      <x v="10"/>
    </i>
    <i r="1">
      <x v="17"/>
    </i>
    <i r="1">
      <x v="30"/>
    </i>
    <i r="1">
      <x v="31"/>
    </i>
    <i r="1">
      <x v="39"/>
    </i>
    <i r="1">
      <x v="40"/>
    </i>
    <i r="1">
      <x v="41"/>
    </i>
    <i r="1">
      <x v="56"/>
    </i>
    <i>
      <x v="8"/>
      <x v="4"/>
    </i>
    <i r="1">
      <x v="5"/>
    </i>
    <i r="1">
      <x v="7"/>
    </i>
    <i r="1">
      <x v="8"/>
    </i>
    <i r="1">
      <x v="10"/>
    </i>
    <i r="1">
      <x v="11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4"/>
    </i>
    <i r="1">
      <x v="38"/>
    </i>
    <i r="1">
      <x v="39"/>
    </i>
    <i r="1">
      <x v="40"/>
    </i>
    <i r="1">
      <x v="41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5"/>
    </i>
    <i r="1">
      <x v="56"/>
    </i>
    <i r="1">
      <x v="58"/>
    </i>
    <i r="1">
      <x v="59"/>
    </i>
    <i r="1">
      <x v="62"/>
    </i>
    <i>
      <x v="9"/>
      <x v="7"/>
    </i>
    <i r="1">
      <x v="10"/>
    </i>
    <i r="1">
      <x v="11"/>
    </i>
    <i r="1">
      <x v="17"/>
    </i>
    <i r="1">
      <x v="21"/>
    </i>
    <i r="1">
      <x v="22"/>
    </i>
    <i r="1">
      <x v="26"/>
    </i>
    <i r="1">
      <x v="30"/>
    </i>
    <i r="1">
      <x v="31"/>
    </i>
    <i r="1">
      <x v="32"/>
    </i>
    <i r="1">
      <x v="33"/>
    </i>
    <i r="1">
      <x v="34"/>
    </i>
    <i r="1">
      <x v="39"/>
    </i>
    <i r="1">
      <x v="40"/>
    </i>
    <i r="1">
      <x v="41"/>
    </i>
    <i r="1">
      <x v="44"/>
    </i>
    <i r="1">
      <x v="48"/>
    </i>
    <i>
      <x v="10"/>
      <x v="2"/>
    </i>
    <i r="1">
      <x v="4"/>
    </i>
    <i r="1">
      <x v="7"/>
    </i>
    <i r="1">
      <x v="10"/>
    </i>
    <i r="1">
      <x v="11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8"/>
    </i>
    <i r="1">
      <x v="30"/>
    </i>
    <i r="1">
      <x v="31"/>
    </i>
    <i r="1">
      <x v="32"/>
    </i>
    <i r="1">
      <x v="34"/>
    </i>
    <i r="1">
      <x v="35"/>
    </i>
    <i r="1">
      <x v="39"/>
    </i>
    <i r="1">
      <x v="40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8"/>
    </i>
    <i r="1">
      <x v="59"/>
    </i>
    <i r="1">
      <x v="60"/>
    </i>
    <i r="1">
      <x v="63"/>
    </i>
    <i r="1">
      <x v="64"/>
    </i>
    <i r="1">
      <x v="65"/>
    </i>
    <i r="1">
      <x v="66"/>
    </i>
    <i>
      <x v="11"/>
      <x v="2"/>
    </i>
    <i r="1">
      <x v="4"/>
    </i>
    <i r="1">
      <x v="5"/>
    </i>
    <i r="1">
      <x v="7"/>
    </i>
    <i r="1">
      <x v="10"/>
    </i>
    <i r="1">
      <x v="17"/>
    </i>
    <i r="1">
      <x v="41"/>
    </i>
    <i r="1">
      <x v="48"/>
    </i>
    <i r="1">
      <x v="52"/>
    </i>
    <i r="1">
      <x v="56"/>
    </i>
    <i r="1">
      <x v="59"/>
    </i>
    <i r="1">
      <x v="61"/>
    </i>
    <i r="1">
      <x v="63"/>
    </i>
    <i>
      <x v="12"/>
      <x v="11"/>
    </i>
    <i>
      <x v="13"/>
      <x v="2"/>
    </i>
    <i r="1">
      <x v="5"/>
    </i>
    <i r="1">
      <x v="7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4"/>
    </i>
    <i r="1">
      <x v="35"/>
    </i>
    <i r="1">
      <x v="38"/>
    </i>
    <i r="1">
      <x v="39"/>
    </i>
    <i r="1">
      <x v="40"/>
    </i>
    <i r="1">
      <x v="41"/>
    </i>
    <i r="1">
      <x v="44"/>
    </i>
    <i r="1">
      <x v="48"/>
    </i>
    <i r="1">
      <x v="49"/>
    </i>
    <i r="1">
      <x v="55"/>
    </i>
    <i r="1">
      <x v="59"/>
    </i>
    <i r="1">
      <x v="63"/>
    </i>
    <i r="1">
      <x v="64"/>
    </i>
    <i>
      <x v="14"/>
      <x v="39"/>
    </i>
    <i>
      <x v="15"/>
      <x v="7"/>
    </i>
    <i r="1">
      <x v="10"/>
    </i>
    <i r="1">
      <x v="11"/>
    </i>
    <i r="1">
      <x v="18"/>
    </i>
    <i r="1">
      <x v="22"/>
    </i>
    <i r="1">
      <x v="30"/>
    </i>
    <i r="1">
      <x v="31"/>
    </i>
    <i r="1">
      <x v="39"/>
    </i>
    <i r="1">
      <x v="41"/>
    </i>
    <i r="1">
      <x v="47"/>
    </i>
    <i r="1">
      <x v="48"/>
    </i>
    <i r="1">
      <x v="49"/>
    </i>
    <i r="1">
      <x v="59"/>
    </i>
    <i>
      <x v="16"/>
      <x v="58"/>
    </i>
    <i r="1">
      <x v="59"/>
    </i>
    <i r="1">
      <x v="60"/>
    </i>
    <i>
      <x v="17"/>
      <x v="40"/>
    </i>
    <i>
      <x v="18"/>
      <x v="47"/>
    </i>
    <i r="1">
      <x v="49"/>
    </i>
  </rowItems>
  <colFields count="1">
    <field x="5"/>
  </colFields>
  <colItems count="3">
    <i>
      <x/>
    </i>
    <i>
      <x v="1"/>
    </i>
    <i>
      <x v="2"/>
    </i>
  </colItems>
  <pageFields count="1">
    <pageField fld="18" hier="-1"/>
  </pageFields>
  <dataFields count="1">
    <dataField name="Average of Price" fld="2" subtotal="average" baseField="0" baseItem="0" numFmtId="2"/>
  </dataFields>
  <formats count="88">
    <format dxfId="0">
      <pivotArea field="16" type="button" dataOnly="0" labelOnly="1" outline="0" axis="axisRow" fieldPosition="0"/>
    </format>
    <format dxfId="1">
      <pivotArea dataOnly="0" labelOnly="1" outline="0" fieldPosition="0">
        <references count="1">
          <reference field="16" count="0"/>
        </references>
      </pivotArea>
    </format>
    <format dxfId="2">
      <pivotArea field="16" type="button" dataOnly="0" labelOnly="1" outline="0" axis="axisRow" fieldPosition="0"/>
    </format>
    <format dxfId="3">
      <pivotArea dataOnly="0" labelOnly="1" outline="0" fieldPosition="0">
        <references count="1">
          <reference field="16" count="0"/>
        </references>
      </pivotArea>
    </format>
    <format dxfId="4">
      <pivotArea outline="0" fieldPosition="0">
        <references count="2">
          <reference field="5" count="1" selected="0">
            <x v="0"/>
          </reference>
          <reference field="16" count="0" selected="0"/>
        </references>
      </pivotArea>
    </format>
    <format dxfId="5">
      <pivotArea dataOnly="0" labelOnly="1" outline="0" fieldPosition="0">
        <references count="1">
          <reference field="5" count="1">
            <x v="0"/>
          </reference>
        </references>
      </pivotArea>
    </format>
    <format dxfId="6">
      <pivotArea outline="0" fieldPosition="0">
        <references count="2">
          <reference field="5" count="1" selected="0">
            <x v="1"/>
          </reference>
          <reference field="16" count="0" selected="0"/>
        </references>
      </pivotArea>
    </format>
    <format dxfId="7">
      <pivotArea dataOnly="0" labelOnly="1" outline="0" fieldPosition="0">
        <references count="1">
          <reference field="5" count="1">
            <x v="1"/>
          </reference>
        </references>
      </pivotArea>
    </format>
    <format dxfId="8">
      <pivotArea outline="0" fieldPosition="0">
        <references count="2">
          <reference field="5" count="1" selected="0">
            <x v="2"/>
          </reference>
          <reference field="16" count="0" selected="0"/>
        </references>
      </pivotArea>
    </format>
    <format dxfId="9">
      <pivotArea dataOnly="0" labelOnly="1" outline="0" fieldPosition="0">
        <references count="1">
          <reference field="5" count="1">
            <x v="2"/>
          </reference>
        </references>
      </pivotArea>
    </format>
    <format dxfId="10">
      <pivotArea field="16" grandCol="1" outline="0" axis="axisRow" fieldPosition="0">
        <references count="1">
          <reference field="16" count="0" selected="0"/>
        </references>
      </pivotArea>
    </format>
    <format dxfId="11">
      <pivotArea dataOnly="0" labelOnly="1" outline="0" offset="IV256" fieldPosition="0">
        <references count="1">
          <reference field="16" count="1" defaultSubtotal="1">
            <x v="0"/>
          </reference>
        </references>
      </pivotArea>
    </format>
    <format dxfId="12">
      <pivotArea dataOnly="0" labelOnly="1" outline="0" fieldPosition="0">
        <references count="2">
          <reference field="16" count="1" selected="0">
            <x v="0"/>
          </reference>
          <reference field="17" count="9">
            <x v="18"/>
            <x v="22"/>
            <x v="23"/>
            <x v="32"/>
            <x v="39"/>
            <x v="40"/>
            <x v="48"/>
            <x v="49"/>
            <x v="50"/>
          </reference>
        </references>
      </pivotArea>
    </format>
    <format dxfId="13">
      <pivotArea field="17" type="button" dataOnly="0" labelOnly="1" outline="0" axis="axisRow" fieldPosition="1"/>
    </format>
    <format dxfId="14">
      <pivotArea dataOnly="0" labelOnly="1" outline="0" offset="IV256" fieldPosition="0">
        <references count="1">
          <reference field="16" count="1" defaultSubtotal="1">
            <x v="1"/>
          </reference>
        </references>
      </pivotArea>
    </format>
    <format dxfId="15">
      <pivotArea dataOnly="0" labelOnly="1" outline="0" offset="IV256" fieldPosition="0">
        <references count="1">
          <reference field="16" count="1" defaultSubtotal="1">
            <x v="2"/>
          </reference>
        </references>
      </pivotArea>
    </format>
    <format dxfId="16">
      <pivotArea dataOnly="0" labelOnly="1" outline="0" offset="IV256" fieldPosition="0">
        <references count="1">
          <reference field="16" count="1" defaultSubtotal="1">
            <x v="3"/>
          </reference>
        </references>
      </pivotArea>
    </format>
    <format dxfId="17">
      <pivotArea dataOnly="0" labelOnly="1" outline="0" offset="IV256" fieldPosition="0">
        <references count="1">
          <reference field="16" count="1" defaultSubtotal="1">
            <x v="4"/>
          </reference>
        </references>
      </pivotArea>
    </format>
    <format dxfId="18">
      <pivotArea dataOnly="0" labelOnly="1" outline="0" offset="IV256" fieldPosition="0">
        <references count="1">
          <reference field="16" count="1" defaultSubtotal="1">
            <x v="5"/>
          </reference>
        </references>
      </pivotArea>
    </format>
    <format dxfId="19">
      <pivotArea dataOnly="0" labelOnly="1" outline="0" offset="IV256" fieldPosition="0">
        <references count="1">
          <reference field="16" count="1" defaultSubtotal="1">
            <x v="6"/>
          </reference>
        </references>
      </pivotArea>
    </format>
    <format dxfId="20">
      <pivotArea dataOnly="0" labelOnly="1" outline="0" offset="IV256" fieldPosition="0">
        <references count="1">
          <reference field="16" count="1" defaultSubtotal="1">
            <x v="7"/>
          </reference>
        </references>
      </pivotArea>
    </format>
    <format dxfId="21">
      <pivotArea dataOnly="0" labelOnly="1" outline="0" offset="IV256" fieldPosition="0">
        <references count="1">
          <reference field="16" count="1" defaultSubtotal="1">
            <x v="8"/>
          </reference>
        </references>
      </pivotArea>
    </format>
    <format dxfId="22">
      <pivotArea dataOnly="0" labelOnly="1" outline="0" offset="IV256" fieldPosition="0">
        <references count="1">
          <reference field="16" count="1" defaultSubtotal="1">
            <x v="9"/>
          </reference>
        </references>
      </pivotArea>
    </format>
    <format dxfId="23">
      <pivotArea dataOnly="0" labelOnly="1" outline="0" offset="IV256" fieldPosition="0">
        <references count="1">
          <reference field="16" count="1" defaultSubtotal="1">
            <x v="10"/>
          </reference>
        </references>
      </pivotArea>
    </format>
    <format dxfId="24">
      <pivotArea dataOnly="0" labelOnly="1" outline="0" offset="IV256" fieldPosition="0">
        <references count="1">
          <reference field="16" count="1" defaultSubtotal="1">
            <x v="11"/>
          </reference>
        </references>
      </pivotArea>
    </format>
    <format dxfId="25">
      <pivotArea dataOnly="0" labelOnly="1" outline="0" offset="IV256" fieldPosition="0">
        <references count="1">
          <reference field="16" count="1" defaultSubtotal="1">
            <x v="12"/>
          </reference>
        </references>
      </pivotArea>
    </format>
    <format dxfId="26">
      <pivotArea dataOnly="0" labelOnly="1" outline="0" offset="IV256" fieldPosition="0">
        <references count="1">
          <reference field="16" count="1" defaultSubtotal="1">
            <x v="13"/>
          </reference>
        </references>
      </pivotArea>
    </format>
    <format dxfId="27">
      <pivotArea dataOnly="0" labelOnly="1" outline="0" offset="IV256" fieldPosition="0">
        <references count="1">
          <reference field="16" count="1" defaultSubtotal="1">
            <x v="14"/>
          </reference>
        </references>
      </pivotArea>
    </format>
    <format dxfId="28">
      <pivotArea dataOnly="0" labelOnly="1" outline="0" offset="IV256" fieldPosition="0">
        <references count="1">
          <reference field="16" count="1" defaultSubtotal="1">
            <x v="15"/>
          </reference>
        </references>
      </pivotArea>
    </format>
    <format dxfId="29">
      <pivotArea dataOnly="0" labelOnly="1" outline="0" offset="IV256" fieldPosition="0">
        <references count="1">
          <reference field="16" count="1" defaultSubtotal="1">
            <x v="16"/>
          </reference>
        </references>
      </pivotArea>
    </format>
    <format dxfId="30">
      <pivotArea dataOnly="0" labelOnly="1" outline="0" offset="IV256" fieldPosition="0">
        <references count="1">
          <reference field="16" count="1" defaultSubtotal="1">
            <x v="17"/>
          </reference>
        </references>
      </pivotArea>
    </format>
    <format dxfId="31">
      <pivotArea dataOnly="0" labelOnly="1" outline="0" fieldPosition="0">
        <references count="2">
          <reference field="16" count="1" selected="0">
            <x v="1"/>
          </reference>
          <reference field="17" count="28">
            <x v="0"/>
            <x v="5"/>
            <x v="7"/>
            <x v="10"/>
            <x v="17"/>
            <x v="18"/>
            <x v="19"/>
            <x v="20"/>
            <x v="21"/>
            <x v="22"/>
            <x v="29"/>
            <x v="30"/>
            <x v="31"/>
            <x v="32"/>
            <x v="34"/>
            <x v="35"/>
            <x v="36"/>
            <x v="39"/>
            <x v="40"/>
            <x v="41"/>
            <x v="46"/>
            <x v="47"/>
            <x v="48"/>
            <x v="49"/>
            <x v="50"/>
            <x v="56"/>
            <x v="58"/>
            <x v="59"/>
          </reference>
        </references>
      </pivotArea>
    </format>
    <format dxfId="32">
      <pivotArea dataOnly="0" labelOnly="1" outline="0" fieldPosition="0">
        <references count="2">
          <reference field="16" count="1" selected="0">
            <x v="2"/>
          </reference>
          <reference field="17" count="15">
            <x v="0"/>
            <x v="1"/>
            <x v="3"/>
            <x v="4"/>
            <x v="5"/>
            <x v="6"/>
            <x v="7"/>
            <x v="9"/>
            <x v="10"/>
            <x v="11"/>
            <x v="17"/>
            <x v="21"/>
            <x v="31"/>
            <x v="41"/>
            <x v="59"/>
          </reference>
        </references>
      </pivotArea>
    </format>
    <format dxfId="33">
      <pivotArea dataOnly="0" labelOnly="1" outline="0" fieldPosition="0">
        <references count="2">
          <reference field="16" count="1" selected="0">
            <x v="3"/>
          </reference>
          <reference field="17" count="50">
            <x v="1"/>
            <x v="3"/>
            <x v="4"/>
            <x v="5"/>
            <x v="7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7"/>
            <x v="28"/>
            <x v="29"/>
            <x v="30"/>
            <x v="31"/>
            <x v="32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2"/>
            <x v="63"/>
          </reference>
        </references>
      </pivotArea>
    </format>
    <format dxfId="34">
      <pivotArea dataOnly="0" labelOnly="1" outline="0" fieldPosition="0">
        <references count="2">
          <reference field="16" count="1" selected="0">
            <x v="3"/>
          </reference>
          <reference field="17" count="4">
            <x v="64"/>
            <x v="65"/>
            <x v="66"/>
            <x v="67"/>
          </reference>
        </references>
      </pivotArea>
    </format>
    <format dxfId="35">
      <pivotArea dataOnly="0" labelOnly="1" outline="0" fieldPosition="0">
        <references count="2">
          <reference field="16" count="1" selected="0">
            <x v="4"/>
          </reference>
          <reference field="17" count="1">
            <x v="48"/>
          </reference>
        </references>
      </pivotArea>
    </format>
    <format dxfId="36">
      <pivotArea dataOnly="0" labelOnly="1" outline="0" fieldPosition="0">
        <references count="2">
          <reference field="16" count="1" selected="0">
            <x v="5"/>
          </reference>
          <reference field="17" count="32">
            <x v="4"/>
            <x v="5"/>
            <x v="7"/>
            <x v="10"/>
            <x v="17"/>
            <x v="18"/>
            <x v="19"/>
            <x v="20"/>
            <x v="21"/>
            <x v="22"/>
            <x v="30"/>
            <x v="31"/>
            <x v="32"/>
            <x v="35"/>
            <x v="36"/>
            <x v="39"/>
            <x v="40"/>
            <x v="41"/>
            <x v="42"/>
            <x v="43"/>
            <x v="44"/>
            <x v="46"/>
            <x v="47"/>
            <x v="48"/>
            <x v="49"/>
            <x v="56"/>
            <x v="57"/>
            <x v="58"/>
            <x v="59"/>
            <x v="65"/>
            <x v="66"/>
            <x v="68"/>
          </reference>
        </references>
      </pivotArea>
    </format>
    <format dxfId="37">
      <pivotArea dataOnly="0" labelOnly="1" outline="0" fieldPosition="0">
        <references count="2">
          <reference field="16" count="1" selected="0">
            <x v="6"/>
          </reference>
          <reference field="17" count="5">
            <x v="7"/>
            <x v="39"/>
            <x v="41"/>
            <x v="48"/>
            <x v="60"/>
          </reference>
        </references>
      </pivotArea>
    </format>
    <format dxfId="38">
      <pivotArea dataOnly="0" labelOnly="1" outline="0" fieldPosition="0">
        <references count="2">
          <reference field="16" count="1" selected="0">
            <x v="7"/>
          </reference>
          <reference field="17" count="8">
            <x v="10"/>
            <x v="17"/>
            <x v="30"/>
            <x v="31"/>
            <x v="39"/>
            <x v="40"/>
            <x v="41"/>
            <x v="56"/>
          </reference>
        </references>
      </pivotArea>
    </format>
    <format dxfId="39">
      <pivotArea dataOnly="0" labelOnly="1" outline="0" fieldPosition="0">
        <references count="2">
          <reference field="16" count="1" selected="0">
            <x v="8"/>
          </reference>
          <reference field="17" count="39">
            <x v="4"/>
            <x v="5"/>
            <x v="7"/>
            <x v="8"/>
            <x v="10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9"/>
            <x v="30"/>
            <x v="31"/>
            <x v="32"/>
            <x v="34"/>
            <x v="38"/>
            <x v="39"/>
            <x v="40"/>
            <x v="41"/>
            <x v="44"/>
            <x v="45"/>
            <x v="46"/>
            <x v="47"/>
            <x v="48"/>
            <x v="49"/>
            <x v="50"/>
            <x v="55"/>
            <x v="56"/>
            <x v="58"/>
            <x v="59"/>
            <x v="62"/>
          </reference>
        </references>
      </pivotArea>
    </format>
    <format dxfId="40">
      <pivotArea dataOnly="0" labelOnly="1" outline="0" fieldPosition="0">
        <references count="2">
          <reference field="16" count="1" selected="0">
            <x v="9"/>
          </reference>
          <reference field="17" count="17">
            <x v="7"/>
            <x v="10"/>
            <x v="11"/>
            <x v="17"/>
            <x v="21"/>
            <x v="22"/>
            <x v="26"/>
            <x v="30"/>
            <x v="31"/>
            <x v="32"/>
            <x v="33"/>
            <x v="34"/>
            <x v="39"/>
            <x v="40"/>
            <x v="41"/>
            <x v="44"/>
            <x v="48"/>
          </reference>
        </references>
      </pivotArea>
    </format>
    <format dxfId="41">
      <pivotArea dataOnly="0" labelOnly="1" outline="0" fieldPosition="0">
        <references count="2">
          <reference field="16" count="1" selected="0">
            <x v="10"/>
          </reference>
          <reference field="17" count="40">
            <x v="2"/>
            <x v="4"/>
            <x v="7"/>
            <x v="10"/>
            <x v="11"/>
            <x v="17"/>
            <x v="18"/>
            <x v="20"/>
            <x v="21"/>
            <x v="22"/>
            <x v="23"/>
            <x v="25"/>
            <x v="26"/>
            <x v="28"/>
            <x v="30"/>
            <x v="31"/>
            <x v="32"/>
            <x v="34"/>
            <x v="35"/>
            <x v="39"/>
            <x v="40"/>
            <x v="41"/>
            <x v="44"/>
            <x v="46"/>
            <x v="47"/>
            <x v="48"/>
            <x v="49"/>
            <x v="50"/>
            <x v="51"/>
            <x v="52"/>
            <x v="53"/>
            <x v="55"/>
            <x v="56"/>
            <x v="58"/>
            <x v="59"/>
            <x v="60"/>
            <x v="63"/>
            <x v="64"/>
            <x v="65"/>
            <x v="66"/>
          </reference>
        </references>
      </pivotArea>
    </format>
    <format dxfId="42">
      <pivotArea dataOnly="0" labelOnly="1" outline="0" fieldPosition="0">
        <references count="2">
          <reference field="16" count="1" selected="0">
            <x v="11"/>
          </reference>
          <reference field="17" count="13">
            <x v="2"/>
            <x v="4"/>
            <x v="5"/>
            <x v="7"/>
            <x v="10"/>
            <x v="17"/>
            <x v="41"/>
            <x v="48"/>
            <x v="52"/>
            <x v="56"/>
            <x v="59"/>
            <x v="61"/>
            <x v="63"/>
          </reference>
        </references>
      </pivotArea>
    </format>
    <format dxfId="43">
      <pivotArea dataOnly="0" labelOnly="1" outline="0" fieldPosition="0">
        <references count="2">
          <reference field="16" count="1" selected="0">
            <x v="12"/>
          </reference>
          <reference field="17" count="1">
            <x v="11"/>
          </reference>
        </references>
      </pivotArea>
    </format>
    <format dxfId="44">
      <pivotArea dataOnly="0" labelOnly="1" outline="0" fieldPosition="0">
        <references count="2">
          <reference field="16" count="1" selected="0">
            <x v="13"/>
          </reference>
          <reference field="17" count="32">
            <x v="2"/>
            <x v="5"/>
            <x v="7"/>
            <x v="10"/>
            <x v="11"/>
            <x v="12"/>
            <x v="17"/>
            <x v="18"/>
            <x v="19"/>
            <x v="20"/>
            <x v="21"/>
            <x v="22"/>
            <x v="26"/>
            <x v="27"/>
            <x v="28"/>
            <x v="29"/>
            <x v="30"/>
            <x v="31"/>
            <x v="32"/>
            <x v="34"/>
            <x v="35"/>
            <x v="38"/>
            <x v="39"/>
            <x v="40"/>
            <x v="41"/>
            <x v="44"/>
            <x v="48"/>
            <x v="49"/>
            <x v="55"/>
            <x v="59"/>
            <x v="63"/>
            <x v="64"/>
          </reference>
        </references>
      </pivotArea>
    </format>
    <format dxfId="45">
      <pivotArea dataOnly="0" labelOnly="1" outline="0" fieldPosition="0">
        <references count="2">
          <reference field="16" count="1" selected="0">
            <x v="14"/>
          </reference>
          <reference field="17" count="1">
            <x v="39"/>
          </reference>
        </references>
      </pivotArea>
    </format>
    <format dxfId="46">
      <pivotArea dataOnly="0" labelOnly="1" outline="0" fieldPosition="0">
        <references count="2">
          <reference field="16" count="1" selected="0">
            <x v="15"/>
          </reference>
          <reference field="17" count="13">
            <x v="7"/>
            <x v="10"/>
            <x v="11"/>
            <x v="18"/>
            <x v="22"/>
            <x v="30"/>
            <x v="31"/>
            <x v="39"/>
            <x v="41"/>
            <x v="47"/>
            <x v="48"/>
            <x v="49"/>
            <x v="59"/>
          </reference>
        </references>
      </pivotArea>
    </format>
    <format dxfId="47">
      <pivotArea dataOnly="0" labelOnly="1" outline="0" fieldPosition="0">
        <references count="2">
          <reference field="16" count="1" selected="0">
            <x v="16"/>
          </reference>
          <reference field="17" count="3">
            <x v="58"/>
            <x v="59"/>
            <x v="60"/>
          </reference>
        </references>
      </pivotArea>
    </format>
    <format dxfId="48">
      <pivotArea dataOnly="0" labelOnly="1" outline="0" fieldPosition="0">
        <references count="2">
          <reference field="16" count="1" selected="0">
            <x v="17"/>
          </reference>
          <reference field="17" count="1">
            <x v="40"/>
          </reference>
        </references>
      </pivotArea>
    </format>
    <format dxfId="49">
      <pivotArea dataOnly="0" labelOnly="1" outline="0" fieldPosition="0">
        <references count="2">
          <reference field="16" count="1" selected="0">
            <x v="18"/>
          </reference>
          <reference field="17" count="2">
            <x v="47"/>
            <x v="49"/>
          </reference>
        </references>
      </pivotArea>
    </format>
    <format dxfId="50">
      <pivotArea field="17" type="button" dataOnly="0" labelOnly="1" outline="0" axis="axisRow" fieldPosition="1"/>
    </format>
    <format dxfId="51">
      <pivotArea dataOnly="0" labelOnly="1" outline="0" fieldPosition="0">
        <references count="1">
          <reference field="16" count="1" defaultSubtotal="1">
            <x v="2"/>
          </reference>
        </references>
      </pivotArea>
    </format>
    <format dxfId="52">
      <pivotArea dataOnly="0" labelOnly="1" outline="0" fieldPosition="0">
        <references count="1">
          <reference field="16" count="1" defaultSubtotal="1">
            <x v="12"/>
          </reference>
        </references>
      </pivotArea>
    </format>
    <format dxfId="53">
      <pivotArea dataOnly="0" labelOnly="1" outline="0" fieldPosition="0">
        <references count="2">
          <reference field="16" count="1" selected="0">
            <x v="1"/>
          </reference>
          <reference field="17" count="28">
            <x v="0"/>
            <x v="5"/>
            <x v="7"/>
            <x v="10"/>
            <x v="17"/>
            <x v="18"/>
            <x v="19"/>
            <x v="20"/>
            <x v="21"/>
            <x v="22"/>
            <x v="29"/>
            <x v="30"/>
            <x v="31"/>
            <x v="32"/>
            <x v="34"/>
            <x v="35"/>
            <x v="36"/>
            <x v="39"/>
            <x v="40"/>
            <x v="41"/>
            <x v="46"/>
            <x v="47"/>
            <x v="48"/>
            <x v="49"/>
            <x v="50"/>
            <x v="56"/>
            <x v="58"/>
            <x v="59"/>
          </reference>
        </references>
      </pivotArea>
    </format>
    <format dxfId="54">
      <pivotArea dataOnly="0" labelOnly="1" outline="0" fieldPosition="0">
        <references count="2">
          <reference field="16" count="1" selected="0">
            <x v="2"/>
          </reference>
          <reference field="17" count="15">
            <x v="0"/>
            <x v="1"/>
            <x v="3"/>
            <x v="4"/>
            <x v="5"/>
            <x v="6"/>
            <x v="7"/>
            <x v="9"/>
            <x v="10"/>
            <x v="11"/>
            <x v="17"/>
            <x v="21"/>
            <x v="31"/>
            <x v="41"/>
            <x v="59"/>
          </reference>
        </references>
      </pivotArea>
    </format>
    <format dxfId="55">
      <pivotArea dataOnly="0" labelOnly="1" outline="0" fieldPosition="0">
        <references count="2">
          <reference field="16" count="1" selected="0">
            <x v="3"/>
          </reference>
          <reference field="17" count="50">
            <x v="1"/>
            <x v="3"/>
            <x v="4"/>
            <x v="5"/>
            <x v="7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5"/>
            <x v="27"/>
            <x v="28"/>
            <x v="29"/>
            <x v="30"/>
            <x v="31"/>
            <x v="32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1"/>
            <x v="52"/>
            <x v="53"/>
            <x v="54"/>
            <x v="55"/>
            <x v="56"/>
            <x v="57"/>
            <x v="58"/>
            <x v="59"/>
            <x v="60"/>
            <x v="62"/>
            <x v="63"/>
          </reference>
        </references>
      </pivotArea>
    </format>
    <format dxfId="56">
      <pivotArea dataOnly="0" labelOnly="1" outline="0" fieldPosition="0">
        <references count="2">
          <reference field="16" count="1" selected="0">
            <x v="3"/>
          </reference>
          <reference field="17" count="4">
            <x v="64"/>
            <x v="65"/>
            <x v="66"/>
            <x v="67"/>
          </reference>
        </references>
      </pivotArea>
    </format>
    <format dxfId="57">
      <pivotArea dataOnly="0" labelOnly="1" outline="0" fieldPosition="0">
        <references count="2">
          <reference field="16" count="1" selected="0">
            <x v="4"/>
          </reference>
          <reference field="17" count="1">
            <x v="48"/>
          </reference>
        </references>
      </pivotArea>
    </format>
    <format dxfId="58">
      <pivotArea dataOnly="0" labelOnly="1" outline="0" fieldPosition="0">
        <references count="2">
          <reference field="16" count="1" selected="0">
            <x v="5"/>
          </reference>
          <reference field="17" count="32">
            <x v="4"/>
            <x v="5"/>
            <x v="7"/>
            <x v="10"/>
            <x v="17"/>
            <x v="18"/>
            <x v="19"/>
            <x v="20"/>
            <x v="21"/>
            <x v="22"/>
            <x v="30"/>
            <x v="31"/>
            <x v="32"/>
            <x v="35"/>
            <x v="36"/>
            <x v="39"/>
            <x v="40"/>
            <x v="41"/>
            <x v="42"/>
            <x v="43"/>
            <x v="44"/>
            <x v="46"/>
            <x v="47"/>
            <x v="48"/>
            <x v="49"/>
            <x v="56"/>
            <x v="57"/>
            <x v="58"/>
            <x v="59"/>
            <x v="65"/>
            <x v="66"/>
            <x v="68"/>
          </reference>
        </references>
      </pivotArea>
    </format>
    <format dxfId="59">
      <pivotArea dataOnly="0" labelOnly="1" outline="0" fieldPosition="0">
        <references count="2">
          <reference field="16" count="1" selected="0">
            <x v="6"/>
          </reference>
          <reference field="17" count="5">
            <x v="7"/>
            <x v="39"/>
            <x v="41"/>
            <x v="48"/>
            <x v="60"/>
          </reference>
        </references>
      </pivotArea>
    </format>
    <format dxfId="60">
      <pivotArea dataOnly="0" labelOnly="1" outline="0" fieldPosition="0">
        <references count="2">
          <reference field="16" count="1" selected="0">
            <x v="7"/>
          </reference>
          <reference field="17" count="8">
            <x v="10"/>
            <x v="17"/>
            <x v="30"/>
            <x v="31"/>
            <x v="39"/>
            <x v="40"/>
            <x v="41"/>
            <x v="56"/>
          </reference>
        </references>
      </pivotArea>
    </format>
    <format dxfId="61">
      <pivotArea dataOnly="0" labelOnly="1" outline="0" fieldPosition="0">
        <references count="2">
          <reference field="16" count="1" selected="0">
            <x v="8"/>
          </reference>
          <reference field="17" count="39">
            <x v="4"/>
            <x v="5"/>
            <x v="7"/>
            <x v="8"/>
            <x v="10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6"/>
            <x v="27"/>
            <x v="29"/>
            <x v="30"/>
            <x v="31"/>
            <x v="32"/>
            <x v="34"/>
            <x v="38"/>
            <x v="39"/>
            <x v="40"/>
            <x v="41"/>
            <x v="44"/>
            <x v="45"/>
            <x v="46"/>
            <x v="47"/>
            <x v="48"/>
            <x v="49"/>
            <x v="50"/>
            <x v="55"/>
            <x v="56"/>
            <x v="58"/>
            <x v="59"/>
            <x v="62"/>
          </reference>
        </references>
      </pivotArea>
    </format>
    <format dxfId="62">
      <pivotArea dataOnly="0" labelOnly="1" outline="0" fieldPosition="0">
        <references count="2">
          <reference field="16" count="1" selected="0">
            <x v="9"/>
          </reference>
          <reference field="17" count="17">
            <x v="7"/>
            <x v="10"/>
            <x v="11"/>
            <x v="17"/>
            <x v="21"/>
            <x v="22"/>
            <x v="26"/>
            <x v="30"/>
            <x v="31"/>
            <x v="32"/>
            <x v="33"/>
            <x v="34"/>
            <x v="39"/>
            <x v="40"/>
            <x v="41"/>
            <x v="44"/>
            <x v="48"/>
          </reference>
        </references>
      </pivotArea>
    </format>
    <format dxfId="63">
      <pivotArea dataOnly="0" labelOnly="1" outline="0" fieldPosition="0">
        <references count="2">
          <reference field="16" count="1" selected="0">
            <x v="10"/>
          </reference>
          <reference field="17" count="40">
            <x v="2"/>
            <x v="4"/>
            <x v="7"/>
            <x v="10"/>
            <x v="11"/>
            <x v="17"/>
            <x v="18"/>
            <x v="20"/>
            <x v="21"/>
            <x v="22"/>
            <x v="23"/>
            <x v="25"/>
            <x v="26"/>
            <x v="28"/>
            <x v="30"/>
            <x v="31"/>
            <x v="32"/>
            <x v="34"/>
            <x v="35"/>
            <x v="39"/>
            <x v="40"/>
            <x v="41"/>
            <x v="44"/>
            <x v="46"/>
            <x v="47"/>
            <x v="48"/>
            <x v="49"/>
            <x v="50"/>
            <x v="51"/>
            <x v="52"/>
            <x v="53"/>
            <x v="55"/>
            <x v="56"/>
            <x v="58"/>
            <x v="59"/>
            <x v="60"/>
            <x v="63"/>
            <x v="64"/>
            <x v="65"/>
            <x v="66"/>
          </reference>
        </references>
      </pivotArea>
    </format>
    <format dxfId="64">
      <pivotArea dataOnly="0" labelOnly="1" outline="0" fieldPosition="0">
        <references count="2">
          <reference field="16" count="1" selected="0">
            <x v="11"/>
          </reference>
          <reference field="17" count="13">
            <x v="2"/>
            <x v="4"/>
            <x v="5"/>
            <x v="7"/>
            <x v="10"/>
            <x v="17"/>
            <x v="41"/>
            <x v="48"/>
            <x v="52"/>
            <x v="56"/>
            <x v="59"/>
            <x v="61"/>
            <x v="63"/>
          </reference>
        </references>
      </pivotArea>
    </format>
    <format dxfId="65">
      <pivotArea dataOnly="0" labelOnly="1" outline="0" fieldPosition="0">
        <references count="2">
          <reference field="16" count="1" selected="0">
            <x v="12"/>
          </reference>
          <reference field="17" count="1">
            <x v="11"/>
          </reference>
        </references>
      </pivotArea>
    </format>
    <format dxfId="66">
      <pivotArea dataOnly="0" labelOnly="1" outline="0" fieldPosition="0">
        <references count="2">
          <reference field="16" count="1" selected="0">
            <x v="13"/>
          </reference>
          <reference field="17" count="32">
            <x v="2"/>
            <x v="5"/>
            <x v="7"/>
            <x v="10"/>
            <x v="11"/>
            <x v="12"/>
            <x v="17"/>
            <x v="18"/>
            <x v="19"/>
            <x v="20"/>
            <x v="21"/>
            <x v="22"/>
            <x v="26"/>
            <x v="27"/>
            <x v="28"/>
            <x v="29"/>
            <x v="30"/>
            <x v="31"/>
            <x v="32"/>
            <x v="34"/>
            <x v="35"/>
            <x v="38"/>
            <x v="39"/>
            <x v="40"/>
            <x v="41"/>
            <x v="44"/>
            <x v="48"/>
            <x v="49"/>
            <x v="55"/>
            <x v="59"/>
            <x v="63"/>
            <x v="64"/>
          </reference>
        </references>
      </pivotArea>
    </format>
    <format dxfId="67">
      <pivotArea dataOnly="0" labelOnly="1" outline="0" fieldPosition="0">
        <references count="2">
          <reference field="16" count="1" selected="0">
            <x v="14"/>
          </reference>
          <reference field="17" count="1">
            <x v="39"/>
          </reference>
        </references>
      </pivotArea>
    </format>
    <format dxfId="68">
      <pivotArea dataOnly="0" labelOnly="1" outline="0" fieldPosition="0">
        <references count="2">
          <reference field="16" count="1" selected="0">
            <x v="15"/>
          </reference>
          <reference field="17" count="13">
            <x v="7"/>
            <x v="10"/>
            <x v="11"/>
            <x v="18"/>
            <x v="22"/>
            <x v="30"/>
            <x v="31"/>
            <x v="39"/>
            <x v="41"/>
            <x v="47"/>
            <x v="48"/>
            <x v="49"/>
            <x v="59"/>
          </reference>
        </references>
      </pivotArea>
    </format>
    <format dxfId="69">
      <pivotArea dataOnly="0" labelOnly="1" outline="0" fieldPosition="0">
        <references count="2">
          <reference field="16" count="1" selected="0">
            <x v="16"/>
          </reference>
          <reference field="17" count="3">
            <x v="58"/>
            <x v="59"/>
            <x v="60"/>
          </reference>
        </references>
      </pivotArea>
    </format>
    <format dxfId="70">
      <pivotArea dataOnly="0" labelOnly="1" outline="0" fieldPosition="0">
        <references count="2">
          <reference field="16" count="1" selected="0">
            <x v="17"/>
          </reference>
          <reference field="17" count="1">
            <x v="40"/>
          </reference>
        </references>
      </pivotArea>
    </format>
    <format dxfId="71">
      <pivotArea dataOnly="0" labelOnly="1" outline="0" fieldPosition="0">
        <references count="2">
          <reference field="16" count="1" selected="0">
            <x v="18"/>
          </reference>
          <reference field="17" count="2">
            <x v="47"/>
            <x v="49"/>
          </reference>
        </references>
      </pivotArea>
    </format>
    <format dxfId="72">
      <pivotArea dataOnly="0" labelOnly="1" outline="0" fieldPosition="0">
        <references count="1">
          <reference field="16" count="1" defaultSubtotal="1">
            <x v="11"/>
          </reference>
        </references>
      </pivotArea>
    </format>
    <format dxfId="73">
      <pivotArea dataOnly="0" labelOnly="1" outline="0" fieldPosition="0">
        <references count="1">
          <reference field="16" count="1" defaultSubtotal="1">
            <x v="10"/>
          </reference>
        </references>
      </pivotArea>
    </format>
    <format dxfId="74">
      <pivotArea dataOnly="0" labelOnly="1" outline="0" fieldPosition="0">
        <references count="1">
          <reference field="16" count="1" defaultSubtotal="1">
            <x v="9"/>
          </reference>
        </references>
      </pivotArea>
    </format>
    <format dxfId="75">
      <pivotArea dataOnly="0" labelOnly="1" outline="0" fieldPosition="0">
        <references count="1">
          <reference field="16" count="1" defaultSubtotal="1">
            <x v="8"/>
          </reference>
        </references>
      </pivotArea>
    </format>
    <format dxfId="76">
      <pivotArea dataOnly="0" labelOnly="1" outline="0" fieldPosition="0">
        <references count="1">
          <reference field="16" count="1" defaultSubtotal="1">
            <x v="7"/>
          </reference>
        </references>
      </pivotArea>
    </format>
    <format dxfId="77">
      <pivotArea dataOnly="0" labelOnly="1" outline="0" fieldPosition="0">
        <references count="1">
          <reference field="16" count="1" defaultSubtotal="1">
            <x v="6"/>
          </reference>
        </references>
      </pivotArea>
    </format>
    <format dxfId="78">
      <pivotArea dataOnly="0" labelOnly="1" outline="0" fieldPosition="0">
        <references count="1">
          <reference field="16" count="1" defaultSubtotal="1">
            <x v="5"/>
          </reference>
        </references>
      </pivotArea>
    </format>
    <format dxfId="79">
      <pivotArea dataOnly="0" labelOnly="1" outline="0" fieldPosition="0">
        <references count="1">
          <reference field="16" count="1" defaultSubtotal="1">
            <x v="4"/>
          </reference>
        </references>
      </pivotArea>
    </format>
    <format dxfId="80">
      <pivotArea dataOnly="0" labelOnly="1" outline="0" fieldPosition="0">
        <references count="1">
          <reference field="16" count="1" defaultSubtotal="1">
            <x v="3"/>
          </reference>
        </references>
      </pivotArea>
    </format>
    <format dxfId="81">
      <pivotArea dataOnly="0" labelOnly="1" outline="0" fieldPosition="0">
        <references count="1">
          <reference field="16" count="1" defaultSubtotal="1">
            <x v="1"/>
          </reference>
        </references>
      </pivotArea>
    </format>
    <format dxfId="82">
      <pivotArea dataOnly="0" labelOnly="1" outline="0" fieldPosition="0">
        <references count="1">
          <reference field="16" count="1" defaultSubtotal="1">
            <x v="13"/>
          </reference>
        </references>
      </pivotArea>
    </format>
    <format dxfId="83">
      <pivotArea dataOnly="0" labelOnly="1" outline="0" fieldPosition="0">
        <references count="1">
          <reference field="16" count="1" defaultSubtotal="1">
            <x v="14"/>
          </reference>
        </references>
      </pivotArea>
    </format>
    <format dxfId="84">
      <pivotArea dataOnly="0" labelOnly="1" outline="0" fieldPosition="0">
        <references count="1">
          <reference field="16" count="1" defaultSubtotal="1">
            <x v="15"/>
          </reference>
        </references>
      </pivotArea>
    </format>
    <format dxfId="85">
      <pivotArea dataOnly="0" labelOnly="1" outline="0" fieldPosition="0">
        <references count="1">
          <reference field="16" count="1" defaultSubtotal="1">
            <x v="16"/>
          </reference>
        </references>
      </pivotArea>
    </format>
    <format dxfId="86">
      <pivotArea dataOnly="0" labelOnly="1" outline="0" fieldPosition="0">
        <references count="1">
          <reference field="16" count="1" defaultSubtotal="1">
            <x v="17"/>
          </reference>
        </references>
      </pivotArea>
    </format>
    <format dxfId="87">
      <pivotArea dataOnly="0" labelOnly="1" outline="0" fieldPosition="0">
        <references count="1">
          <reference field="16" count="1" defaultSubtotal="1">
            <x v="10"/>
          </reference>
        </references>
      </pivotArea>
    </format>
  </formats>
  <chartFormats count="1836"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0"/>
          </reference>
        </references>
      </pivotArea>
    </chartFormat>
    <chartFormat chart="1" format="1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"/>
          </reference>
        </references>
      </pivotArea>
    </chartFormat>
    <chartFormat chart="1" format="1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7"/>
          </reference>
        </references>
      </pivotArea>
    </chartFormat>
    <chartFormat chart="1" format="1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0"/>
          </reference>
        </references>
      </pivotArea>
    </chartFormat>
    <chartFormat chart="1" format="1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7"/>
          </reference>
        </references>
      </pivotArea>
    </chartFormat>
    <chartFormat chart="1" format="1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8"/>
          </reference>
        </references>
      </pivotArea>
    </chartFormat>
    <chartFormat chart="1" format="1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9"/>
          </reference>
        </references>
      </pivotArea>
    </chartFormat>
    <chartFormat chart="1" format="1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0"/>
          </reference>
        </references>
      </pivotArea>
    </chartFormat>
    <chartFormat chart="1" format="1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1"/>
          </reference>
        </references>
      </pivotArea>
    </chartFormat>
    <chartFormat chart="1" format="1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2"/>
          </reference>
        </references>
      </pivotArea>
    </chartFormat>
    <chartFormat chart="1" format="2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9"/>
          </reference>
        </references>
      </pivotArea>
    </chartFormat>
    <chartFormat chart="1" format="2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0"/>
          </reference>
        </references>
      </pivotArea>
    </chartFormat>
    <chartFormat chart="1" format="2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1"/>
          </reference>
        </references>
      </pivotArea>
    </chartFormat>
    <chartFormat chart="1" format="2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2"/>
          </reference>
        </references>
      </pivotArea>
    </chartFormat>
    <chartFormat chart="1" format="2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4"/>
          </reference>
        </references>
      </pivotArea>
    </chartFormat>
    <chartFormat chart="1" format="2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5"/>
          </reference>
        </references>
      </pivotArea>
    </chartFormat>
    <chartFormat chart="1" format="2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6"/>
          </reference>
        </references>
      </pivotArea>
    </chartFormat>
    <chartFormat chart="1" format="2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9"/>
          </reference>
        </references>
      </pivotArea>
    </chartFormat>
    <chartFormat chart="1" format="2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0"/>
          </reference>
        </references>
      </pivotArea>
    </chartFormat>
    <chartFormat chart="1" format="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1"/>
          </reference>
        </references>
      </pivotArea>
    </chartFormat>
    <chartFormat chart="1" format="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6"/>
          </reference>
        </references>
      </pivotArea>
    </chartFormat>
    <chartFormat chart="1" format="3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7"/>
          </reference>
        </references>
      </pivotArea>
    </chartFormat>
    <chartFormat chart="1" format="3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8"/>
          </reference>
        </references>
      </pivotArea>
    </chartFormat>
    <chartFormat chart="1" format="3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9"/>
          </reference>
        </references>
      </pivotArea>
    </chartFormat>
    <chartFormat chart="1" format="3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0"/>
          </reference>
        </references>
      </pivotArea>
    </chartFormat>
    <chartFormat chart="1" format="3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6"/>
          </reference>
        </references>
      </pivotArea>
    </chartFormat>
    <chartFormat chart="1" format="3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8"/>
          </reference>
        </references>
      </pivotArea>
    </chartFormat>
    <chartFormat chart="1" format="3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9"/>
          </reference>
        </references>
      </pivotArea>
    </chartFormat>
    <chartFormat chart="1" format="3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0"/>
          </reference>
        </references>
      </pivotArea>
    </chartFormat>
    <chartFormat chart="1" format="3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chartFormat>
    <chartFormat chart="1" format="4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3"/>
          </reference>
        </references>
      </pivotArea>
    </chartFormat>
    <chartFormat chart="1" format="4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4"/>
          </reference>
        </references>
      </pivotArea>
    </chartFormat>
    <chartFormat chart="1" format="4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5"/>
          </reference>
        </references>
      </pivotArea>
    </chartFormat>
    <chartFormat chart="1" format="4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6"/>
          </reference>
        </references>
      </pivotArea>
    </chartFormat>
    <chartFormat chart="1" format="4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7"/>
          </reference>
        </references>
      </pivotArea>
    </chartFormat>
    <chartFormat chart="1" format="4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9"/>
          </reference>
        </references>
      </pivotArea>
    </chartFormat>
    <chartFormat chart="1" format="4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0"/>
          </reference>
        </references>
      </pivotArea>
    </chartFormat>
    <chartFormat chart="1" format="4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1"/>
          </reference>
        </references>
      </pivotArea>
    </chartFormat>
    <chartFormat chart="1" format="4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7"/>
          </reference>
        </references>
      </pivotArea>
    </chartFormat>
    <chartFormat chart="1" format="4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21"/>
          </reference>
        </references>
      </pivotArea>
    </chartFormat>
    <chartFormat chart="1" format="5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31"/>
          </reference>
        </references>
      </pivotArea>
    </chartFormat>
    <chartFormat chart="1" format="5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41"/>
          </reference>
        </references>
      </pivotArea>
    </chartFormat>
    <chartFormat chart="1" format="5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59"/>
          </reference>
        </references>
      </pivotArea>
    </chartFormat>
    <chartFormat chart="1" format="5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"/>
          </reference>
        </references>
      </pivotArea>
    </chartFormat>
    <chartFormat chart="1" format="5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"/>
          </reference>
        </references>
      </pivotArea>
    </chartFormat>
    <chartFormat chart="1" format="5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"/>
          </reference>
        </references>
      </pivotArea>
    </chartFormat>
    <chartFormat chart="1" format="5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"/>
          </reference>
        </references>
      </pivotArea>
    </chartFormat>
    <chartFormat chart="1" format="5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7"/>
          </reference>
        </references>
      </pivotArea>
    </chartFormat>
    <chartFormat chart="1" format="5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0"/>
          </reference>
        </references>
      </pivotArea>
    </chartFormat>
    <chartFormat chart="1" format="5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1"/>
          </reference>
        </references>
      </pivotArea>
    </chartFormat>
    <chartFormat chart="1" format="6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3"/>
          </reference>
        </references>
      </pivotArea>
    </chartFormat>
    <chartFormat chart="1" format="6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4"/>
          </reference>
        </references>
      </pivotArea>
    </chartFormat>
    <chartFormat chart="1" format="6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5"/>
          </reference>
        </references>
      </pivotArea>
    </chartFormat>
    <chartFormat chart="1" format="6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6"/>
          </reference>
        </references>
      </pivotArea>
    </chartFormat>
    <chartFormat chart="1" format="6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7"/>
          </reference>
        </references>
      </pivotArea>
    </chartFormat>
    <chartFormat chart="1" format="6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8"/>
          </reference>
        </references>
      </pivotArea>
    </chartFormat>
    <chartFormat chart="1" format="6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9"/>
          </reference>
        </references>
      </pivotArea>
    </chartFormat>
    <chartFormat chart="1" format="6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0"/>
          </reference>
        </references>
      </pivotArea>
    </chartFormat>
    <chartFormat chart="1" format="6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1"/>
          </reference>
        </references>
      </pivotArea>
    </chartFormat>
    <chartFormat chart="1" format="6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2"/>
          </reference>
        </references>
      </pivotArea>
    </chartFormat>
    <chartFormat chart="1" format="7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3"/>
          </reference>
        </references>
      </pivotArea>
    </chartFormat>
    <chartFormat chart="1" format="7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5"/>
          </reference>
        </references>
      </pivotArea>
    </chartFormat>
    <chartFormat chart="1" format="7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7"/>
          </reference>
        </references>
      </pivotArea>
    </chartFormat>
    <chartFormat chart="1" format="7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8"/>
          </reference>
        </references>
      </pivotArea>
    </chartFormat>
    <chartFormat chart="1" format="7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9"/>
          </reference>
        </references>
      </pivotArea>
    </chartFormat>
    <chartFormat chart="1" format="7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0"/>
          </reference>
        </references>
      </pivotArea>
    </chartFormat>
    <chartFormat chart="1" format="7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1"/>
          </reference>
        </references>
      </pivotArea>
    </chartFormat>
    <chartFormat chart="1" format="7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2"/>
          </reference>
        </references>
      </pivotArea>
    </chartFormat>
    <chartFormat chart="1" format="7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6"/>
          </reference>
        </references>
      </pivotArea>
    </chartFormat>
    <chartFormat chart="1" format="7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7"/>
          </reference>
        </references>
      </pivotArea>
    </chartFormat>
    <chartFormat chart="1" format="8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8"/>
          </reference>
        </references>
      </pivotArea>
    </chartFormat>
    <chartFormat chart="1" format="8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9"/>
          </reference>
        </references>
      </pivotArea>
    </chartFormat>
    <chartFormat chart="1" format="8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0"/>
          </reference>
        </references>
      </pivotArea>
    </chartFormat>
    <chartFormat chart="1" format="8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1"/>
          </reference>
        </references>
      </pivotArea>
    </chartFormat>
    <chartFormat chart="1" format="8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3"/>
          </reference>
        </references>
      </pivotArea>
    </chartFormat>
    <chartFormat chart="1" format="8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4"/>
          </reference>
        </references>
      </pivotArea>
    </chartFormat>
    <chartFormat chart="1" format="8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5"/>
          </reference>
        </references>
      </pivotArea>
    </chartFormat>
    <chartFormat chart="1" format="8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6"/>
          </reference>
        </references>
      </pivotArea>
    </chartFormat>
    <chartFormat chart="1" format="8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7"/>
          </reference>
        </references>
      </pivotArea>
    </chartFormat>
    <chartFormat chart="1" format="8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8"/>
          </reference>
        </references>
      </pivotArea>
    </chartFormat>
    <chartFormat chart="1" format="9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9"/>
          </reference>
        </references>
      </pivotArea>
    </chartFormat>
    <chartFormat chart="1" format="9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1"/>
          </reference>
        </references>
      </pivotArea>
    </chartFormat>
    <chartFormat chart="1" format="9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2"/>
          </reference>
        </references>
      </pivotArea>
    </chartFormat>
    <chartFormat chart="1" format="9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3"/>
          </reference>
        </references>
      </pivotArea>
    </chartFormat>
    <chartFormat chart="1" format="9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4"/>
          </reference>
        </references>
      </pivotArea>
    </chartFormat>
    <chartFormat chart="1" format="9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5"/>
          </reference>
        </references>
      </pivotArea>
    </chartFormat>
    <chartFormat chart="1" format="9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6"/>
          </reference>
        </references>
      </pivotArea>
    </chartFormat>
    <chartFormat chart="1" format="9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7"/>
          </reference>
        </references>
      </pivotArea>
    </chartFormat>
    <chartFormat chart="1" format="9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8"/>
          </reference>
        </references>
      </pivotArea>
    </chartFormat>
    <chartFormat chart="1" format="9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9"/>
          </reference>
        </references>
      </pivotArea>
    </chartFormat>
    <chartFormat chart="1" format="10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0"/>
          </reference>
        </references>
      </pivotArea>
    </chartFormat>
    <chartFormat chart="1" format="10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2"/>
          </reference>
        </references>
      </pivotArea>
    </chartFormat>
    <chartFormat chart="1" format="10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3"/>
          </reference>
        </references>
      </pivotArea>
    </chartFormat>
    <chartFormat chart="1" format="10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4"/>
          </reference>
        </references>
      </pivotArea>
    </chartFormat>
    <chartFormat chart="1" format="10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5"/>
          </reference>
        </references>
      </pivotArea>
    </chartFormat>
    <chartFormat chart="1" format="10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6"/>
          </reference>
        </references>
      </pivotArea>
    </chartFormat>
    <chartFormat chart="1" format="10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7"/>
          </reference>
        </references>
      </pivotArea>
    </chartFormat>
    <chartFormat chart="1" format="10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  <reference field="17" count="1" selected="0">
            <x v="48"/>
          </reference>
        </references>
      </pivotArea>
    </chartFormat>
    <chartFormat chart="1" format="10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"/>
          </reference>
        </references>
      </pivotArea>
    </chartFormat>
    <chartFormat chart="1" format="10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"/>
          </reference>
        </references>
      </pivotArea>
    </chartFormat>
    <chartFormat chart="1" format="1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7"/>
          </reference>
        </references>
      </pivotArea>
    </chartFormat>
    <chartFormat chart="1" format="11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0"/>
          </reference>
        </references>
      </pivotArea>
    </chartFormat>
    <chartFormat chart="1" format="11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7"/>
          </reference>
        </references>
      </pivotArea>
    </chartFormat>
    <chartFormat chart="1" format="11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8"/>
          </reference>
        </references>
      </pivotArea>
    </chartFormat>
    <chartFormat chart="1" format="11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9"/>
          </reference>
        </references>
      </pivotArea>
    </chartFormat>
    <chartFormat chart="1" format="11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20"/>
          </reference>
        </references>
      </pivotArea>
    </chartFormat>
    <chartFormat chart="1" format="11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21"/>
          </reference>
        </references>
      </pivotArea>
    </chartFormat>
    <chartFormat chart="1" format="11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22"/>
          </reference>
        </references>
      </pivotArea>
    </chartFormat>
    <chartFormat chart="1" format="11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0"/>
          </reference>
        </references>
      </pivotArea>
    </chartFormat>
    <chartFormat chart="1" format="11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1"/>
          </reference>
        </references>
      </pivotArea>
    </chartFormat>
    <chartFormat chart="1" format="12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2"/>
          </reference>
        </references>
      </pivotArea>
    </chartFormat>
    <chartFormat chart="1" format="12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5"/>
          </reference>
        </references>
      </pivotArea>
    </chartFormat>
    <chartFormat chart="1" format="12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6"/>
          </reference>
        </references>
      </pivotArea>
    </chartFormat>
    <chartFormat chart="1" format="12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9"/>
          </reference>
        </references>
      </pivotArea>
    </chartFormat>
    <chartFormat chart="1" format="12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0"/>
          </reference>
        </references>
      </pivotArea>
    </chartFormat>
    <chartFormat chart="1" format="12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1"/>
          </reference>
        </references>
      </pivotArea>
    </chartFormat>
    <chartFormat chart="1" format="12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2"/>
          </reference>
        </references>
      </pivotArea>
    </chartFormat>
    <chartFormat chart="1" format="12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3"/>
          </reference>
        </references>
      </pivotArea>
    </chartFormat>
    <chartFormat chart="1" format="12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4"/>
          </reference>
        </references>
      </pivotArea>
    </chartFormat>
    <chartFormat chart="1" format="1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6"/>
          </reference>
        </references>
      </pivotArea>
    </chartFormat>
    <chartFormat chart="1" format="1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7"/>
          </reference>
        </references>
      </pivotArea>
    </chartFormat>
    <chartFormat chart="1" format="13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8"/>
          </reference>
        </references>
      </pivotArea>
    </chartFormat>
    <chartFormat chart="1" format="13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9"/>
          </reference>
        </references>
      </pivotArea>
    </chartFormat>
    <chartFormat chart="1" format="13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6"/>
          </reference>
        </references>
      </pivotArea>
    </chartFormat>
    <chartFormat chart="1" format="13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7"/>
          </reference>
        </references>
      </pivotArea>
    </chartFormat>
    <chartFormat chart="1" format="13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8"/>
          </reference>
        </references>
      </pivotArea>
    </chartFormat>
    <chartFormat chart="1" format="13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9"/>
          </reference>
        </references>
      </pivotArea>
    </chartFormat>
    <chartFormat chart="1" format="13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65"/>
          </reference>
        </references>
      </pivotArea>
    </chartFormat>
    <chartFormat chart="1" format="13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66"/>
          </reference>
        </references>
      </pivotArea>
    </chartFormat>
    <chartFormat chart="1" format="13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68"/>
          </reference>
        </references>
      </pivotArea>
    </chartFormat>
    <chartFormat chart="1" format="14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7"/>
          </reference>
        </references>
      </pivotArea>
    </chartFormat>
    <chartFormat chart="1" format="14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39"/>
          </reference>
        </references>
      </pivotArea>
    </chartFormat>
    <chartFormat chart="1" format="14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41"/>
          </reference>
        </references>
      </pivotArea>
    </chartFormat>
    <chartFormat chart="1" format="14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48"/>
          </reference>
        </references>
      </pivotArea>
    </chartFormat>
    <chartFormat chart="1" format="14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60"/>
          </reference>
        </references>
      </pivotArea>
    </chartFormat>
    <chartFormat chart="1" format="14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10"/>
          </reference>
        </references>
      </pivotArea>
    </chartFormat>
    <chartFormat chart="1" format="14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17"/>
          </reference>
        </references>
      </pivotArea>
    </chartFormat>
    <chartFormat chart="1" format="14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30"/>
          </reference>
        </references>
      </pivotArea>
    </chartFormat>
    <chartFormat chart="1" format="14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31"/>
          </reference>
        </references>
      </pivotArea>
    </chartFormat>
    <chartFormat chart="1" format="14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39"/>
          </reference>
        </references>
      </pivotArea>
    </chartFormat>
    <chartFormat chart="1" format="15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40"/>
          </reference>
        </references>
      </pivotArea>
    </chartFormat>
    <chartFormat chart="1" format="15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41"/>
          </reference>
        </references>
      </pivotArea>
    </chartFormat>
    <chartFormat chart="1" format="15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56"/>
          </reference>
        </references>
      </pivotArea>
    </chartFormat>
    <chartFormat chart="1" format="15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"/>
          </reference>
        </references>
      </pivotArea>
    </chartFormat>
    <chartFormat chart="1" format="15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"/>
          </reference>
        </references>
      </pivotArea>
    </chartFormat>
    <chartFormat chart="1" format="15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7"/>
          </reference>
        </references>
      </pivotArea>
    </chartFormat>
    <chartFormat chart="1" format="15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8"/>
          </reference>
        </references>
      </pivotArea>
    </chartFormat>
    <chartFormat chart="1" format="15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0"/>
          </reference>
        </references>
      </pivotArea>
    </chartFormat>
    <chartFormat chart="1" format="15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1"/>
          </reference>
        </references>
      </pivotArea>
    </chartFormat>
    <chartFormat chart="1" format="15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3"/>
          </reference>
        </references>
      </pivotArea>
    </chartFormat>
    <chartFormat chart="1" format="16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5"/>
          </reference>
        </references>
      </pivotArea>
    </chartFormat>
    <chartFormat chart="1" format="16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7"/>
          </reference>
        </references>
      </pivotArea>
    </chartFormat>
    <chartFormat chart="1" format="16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8"/>
          </reference>
        </references>
      </pivotArea>
    </chartFormat>
    <chartFormat chart="1" format="16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9"/>
          </reference>
        </references>
      </pivotArea>
    </chartFormat>
    <chartFormat chart="1" format="16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0"/>
          </reference>
        </references>
      </pivotArea>
    </chartFormat>
    <chartFormat chart="1" format="16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1"/>
          </reference>
        </references>
      </pivotArea>
    </chartFormat>
    <chartFormat chart="1" format="16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2"/>
          </reference>
        </references>
      </pivotArea>
    </chartFormat>
    <chartFormat chart="1" format="16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4"/>
          </reference>
        </references>
      </pivotArea>
    </chartFormat>
    <chartFormat chart="1" format="16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5"/>
          </reference>
        </references>
      </pivotArea>
    </chartFormat>
    <chartFormat chart="1" format="16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6"/>
          </reference>
        </references>
      </pivotArea>
    </chartFormat>
    <chartFormat chart="1" format="17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7"/>
          </reference>
        </references>
      </pivotArea>
    </chartFormat>
    <chartFormat chart="1" format="17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9"/>
          </reference>
        </references>
      </pivotArea>
    </chartFormat>
    <chartFormat chart="1" format="17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0"/>
          </reference>
        </references>
      </pivotArea>
    </chartFormat>
    <chartFormat chart="1" format="17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1"/>
          </reference>
        </references>
      </pivotArea>
    </chartFormat>
    <chartFormat chart="1" format="17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2"/>
          </reference>
        </references>
      </pivotArea>
    </chartFormat>
    <chartFormat chart="1" format="17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4"/>
          </reference>
        </references>
      </pivotArea>
    </chartFormat>
    <chartFormat chart="1" format="17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8"/>
          </reference>
        </references>
      </pivotArea>
    </chartFormat>
    <chartFormat chart="1" format="17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9"/>
          </reference>
        </references>
      </pivotArea>
    </chartFormat>
    <chartFormat chart="1" format="17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0"/>
          </reference>
        </references>
      </pivotArea>
    </chartFormat>
    <chartFormat chart="1" format="17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1"/>
          </reference>
        </references>
      </pivotArea>
    </chartFormat>
    <chartFormat chart="1" format="18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4"/>
          </reference>
        </references>
      </pivotArea>
    </chartFormat>
    <chartFormat chart="1" format="18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5"/>
          </reference>
        </references>
      </pivotArea>
    </chartFormat>
    <chartFormat chart="1" format="18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6"/>
          </reference>
        </references>
      </pivotArea>
    </chartFormat>
    <chartFormat chart="1" format="18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7"/>
          </reference>
        </references>
      </pivotArea>
    </chartFormat>
    <chartFormat chart="1" format="18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8"/>
          </reference>
        </references>
      </pivotArea>
    </chartFormat>
    <chartFormat chart="1" format="18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9"/>
          </reference>
        </references>
      </pivotArea>
    </chartFormat>
    <chartFormat chart="1" format="18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0"/>
          </reference>
        </references>
      </pivotArea>
    </chartFormat>
    <chartFormat chart="1" format="18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5"/>
          </reference>
        </references>
      </pivotArea>
    </chartFormat>
    <chartFormat chart="1" format="18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6"/>
          </reference>
        </references>
      </pivotArea>
    </chartFormat>
    <chartFormat chart="1" format="18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8"/>
          </reference>
        </references>
      </pivotArea>
    </chartFormat>
    <chartFormat chart="1" format="19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9"/>
          </reference>
        </references>
      </pivotArea>
    </chartFormat>
    <chartFormat chart="1" format="19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62"/>
          </reference>
        </references>
      </pivotArea>
    </chartFormat>
    <chartFormat chart="1" format="19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7"/>
          </reference>
        </references>
      </pivotArea>
    </chartFormat>
    <chartFormat chart="1" format="19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10"/>
          </reference>
        </references>
      </pivotArea>
    </chartFormat>
    <chartFormat chart="1" format="19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11"/>
          </reference>
        </references>
      </pivotArea>
    </chartFormat>
    <chartFormat chart="1" format="19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17"/>
          </reference>
        </references>
      </pivotArea>
    </chartFormat>
    <chartFormat chart="1" format="19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21"/>
          </reference>
        </references>
      </pivotArea>
    </chartFormat>
    <chartFormat chart="1" format="19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22"/>
          </reference>
        </references>
      </pivotArea>
    </chartFormat>
    <chartFormat chart="1" format="19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26"/>
          </reference>
        </references>
      </pivotArea>
    </chartFormat>
    <chartFormat chart="1" format="19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0"/>
          </reference>
        </references>
      </pivotArea>
    </chartFormat>
    <chartFormat chart="1" format="20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1"/>
          </reference>
        </references>
      </pivotArea>
    </chartFormat>
    <chartFormat chart="1" format="20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2"/>
          </reference>
        </references>
      </pivotArea>
    </chartFormat>
    <chartFormat chart="1" format="20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3"/>
          </reference>
        </references>
      </pivotArea>
    </chartFormat>
    <chartFormat chart="1" format="20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4"/>
          </reference>
        </references>
      </pivotArea>
    </chartFormat>
    <chartFormat chart="1" format="20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9"/>
          </reference>
        </references>
      </pivotArea>
    </chartFormat>
    <chartFormat chart="1" format="20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0"/>
          </reference>
        </references>
      </pivotArea>
    </chartFormat>
    <chartFormat chart="1" format="20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1"/>
          </reference>
        </references>
      </pivotArea>
    </chartFormat>
    <chartFormat chart="1" format="20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4"/>
          </reference>
        </references>
      </pivotArea>
    </chartFormat>
    <chartFormat chart="1" format="20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8"/>
          </reference>
        </references>
      </pivotArea>
    </chartFormat>
    <chartFormat chart="1" format="20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"/>
          </reference>
        </references>
      </pivotArea>
    </chartFormat>
    <chartFormat chart="1" format="2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"/>
          </reference>
        </references>
      </pivotArea>
    </chartFormat>
    <chartFormat chart="1" format="21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7"/>
          </reference>
        </references>
      </pivotArea>
    </chartFormat>
    <chartFormat chart="1" format="21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0"/>
          </reference>
        </references>
      </pivotArea>
    </chartFormat>
    <chartFormat chart="1" format="21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1"/>
          </reference>
        </references>
      </pivotArea>
    </chartFormat>
    <chartFormat chart="1" format="21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7"/>
          </reference>
        </references>
      </pivotArea>
    </chartFormat>
    <chartFormat chart="1" format="21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8"/>
          </reference>
        </references>
      </pivotArea>
    </chartFormat>
    <chartFormat chart="1" format="21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0"/>
          </reference>
        </references>
      </pivotArea>
    </chartFormat>
    <chartFormat chart="1" format="21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1"/>
          </reference>
        </references>
      </pivotArea>
    </chartFormat>
    <chartFormat chart="1" format="21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2"/>
          </reference>
        </references>
      </pivotArea>
    </chartFormat>
    <chartFormat chart="1" format="21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3"/>
          </reference>
        </references>
      </pivotArea>
    </chartFormat>
    <chartFormat chart="1" format="22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5"/>
          </reference>
        </references>
      </pivotArea>
    </chartFormat>
    <chartFormat chart="1" format="22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6"/>
          </reference>
        </references>
      </pivotArea>
    </chartFormat>
    <chartFormat chart="1" format="22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8"/>
          </reference>
        </references>
      </pivotArea>
    </chartFormat>
    <chartFormat chart="1" format="22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0"/>
          </reference>
        </references>
      </pivotArea>
    </chartFormat>
    <chartFormat chart="1" format="22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1"/>
          </reference>
        </references>
      </pivotArea>
    </chartFormat>
    <chartFormat chart="1" format="22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2"/>
          </reference>
        </references>
      </pivotArea>
    </chartFormat>
    <chartFormat chart="1" format="22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4"/>
          </reference>
        </references>
      </pivotArea>
    </chartFormat>
    <chartFormat chart="1" format="22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5"/>
          </reference>
        </references>
      </pivotArea>
    </chartFormat>
    <chartFormat chart="1" format="22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9"/>
          </reference>
        </references>
      </pivotArea>
    </chartFormat>
    <chartFormat chart="1" format="2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0"/>
          </reference>
        </references>
      </pivotArea>
    </chartFormat>
    <chartFormat chart="1" format="2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1"/>
          </reference>
        </references>
      </pivotArea>
    </chartFormat>
    <chartFormat chart="1" format="23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4"/>
          </reference>
        </references>
      </pivotArea>
    </chartFormat>
    <chartFormat chart="1" format="23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6"/>
          </reference>
        </references>
      </pivotArea>
    </chartFormat>
    <chartFormat chart="1" format="23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7"/>
          </reference>
        </references>
      </pivotArea>
    </chartFormat>
    <chartFormat chart="1" format="23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8"/>
          </reference>
        </references>
      </pivotArea>
    </chartFormat>
    <chartFormat chart="1" format="23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9"/>
          </reference>
        </references>
      </pivotArea>
    </chartFormat>
    <chartFormat chart="1" format="23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0"/>
          </reference>
        </references>
      </pivotArea>
    </chartFormat>
    <chartFormat chart="1" format="23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1"/>
          </reference>
        </references>
      </pivotArea>
    </chartFormat>
    <chartFormat chart="1" format="23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2"/>
          </reference>
        </references>
      </pivotArea>
    </chartFormat>
    <chartFormat chart="1" format="23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3"/>
          </reference>
        </references>
      </pivotArea>
    </chartFormat>
    <chartFormat chart="1" format="24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5"/>
          </reference>
        </references>
      </pivotArea>
    </chartFormat>
    <chartFormat chart="1" format="24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6"/>
          </reference>
        </references>
      </pivotArea>
    </chartFormat>
    <chartFormat chart="1" format="24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8"/>
          </reference>
        </references>
      </pivotArea>
    </chartFormat>
    <chartFormat chart="1" format="24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9"/>
          </reference>
        </references>
      </pivotArea>
    </chartFormat>
    <chartFormat chart="1" format="24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0"/>
          </reference>
        </references>
      </pivotArea>
    </chartFormat>
    <chartFormat chart="1" format="24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3"/>
          </reference>
        </references>
      </pivotArea>
    </chartFormat>
    <chartFormat chart="1" format="24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4"/>
          </reference>
        </references>
      </pivotArea>
    </chartFormat>
    <chartFormat chart="1" format="24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5"/>
          </reference>
        </references>
      </pivotArea>
    </chartFormat>
    <chartFormat chart="1" format="24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6"/>
          </reference>
        </references>
      </pivotArea>
    </chartFormat>
    <chartFormat chart="1" format="24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2"/>
          </reference>
        </references>
      </pivotArea>
    </chartFormat>
    <chartFormat chart="1" format="25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4"/>
          </reference>
        </references>
      </pivotArea>
    </chartFormat>
    <chartFormat chart="1" format="25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"/>
          </reference>
        </references>
      </pivotArea>
    </chartFormat>
    <chartFormat chart="1" format="25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7"/>
          </reference>
        </references>
      </pivotArea>
    </chartFormat>
    <chartFormat chart="1" format="25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10"/>
          </reference>
        </references>
      </pivotArea>
    </chartFormat>
    <chartFormat chart="1" format="25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17"/>
          </reference>
        </references>
      </pivotArea>
    </chartFormat>
    <chartFormat chart="1" format="25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41"/>
          </reference>
        </references>
      </pivotArea>
    </chartFormat>
    <chartFormat chart="1" format="25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48"/>
          </reference>
        </references>
      </pivotArea>
    </chartFormat>
    <chartFormat chart="1" format="25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2"/>
          </reference>
        </references>
      </pivotArea>
    </chartFormat>
    <chartFormat chart="1" format="25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6"/>
          </reference>
        </references>
      </pivotArea>
    </chartFormat>
    <chartFormat chart="1" format="25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9"/>
          </reference>
        </references>
      </pivotArea>
    </chartFormat>
    <chartFormat chart="1" format="26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61"/>
          </reference>
        </references>
      </pivotArea>
    </chartFormat>
    <chartFormat chart="1" format="26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63"/>
          </reference>
        </references>
      </pivotArea>
    </chartFormat>
    <chartFormat chart="1" format="26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2"/>
          </reference>
          <reference field="17" count="1" selected="0">
            <x v="11"/>
          </reference>
        </references>
      </pivotArea>
    </chartFormat>
    <chartFormat chart="1" format="26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"/>
          </reference>
        </references>
      </pivotArea>
    </chartFormat>
    <chartFormat chart="1" format="26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5"/>
          </reference>
        </references>
      </pivotArea>
    </chartFormat>
    <chartFormat chart="1" format="26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7"/>
          </reference>
        </references>
      </pivotArea>
    </chartFormat>
    <chartFormat chart="1" format="26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0"/>
          </reference>
        </references>
      </pivotArea>
    </chartFormat>
    <chartFormat chart="1" format="26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1"/>
          </reference>
        </references>
      </pivotArea>
    </chartFormat>
    <chartFormat chart="1" format="26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2"/>
          </reference>
        </references>
      </pivotArea>
    </chartFormat>
    <chartFormat chart="1" format="26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7"/>
          </reference>
        </references>
      </pivotArea>
    </chartFormat>
    <chartFormat chart="1" format="27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8"/>
          </reference>
        </references>
      </pivotArea>
    </chartFormat>
    <chartFormat chart="1" format="27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9"/>
          </reference>
        </references>
      </pivotArea>
    </chartFormat>
    <chartFormat chart="1" format="27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0"/>
          </reference>
        </references>
      </pivotArea>
    </chartFormat>
    <chartFormat chart="1" format="27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1"/>
          </reference>
        </references>
      </pivotArea>
    </chartFormat>
    <chartFormat chart="1" format="27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2"/>
          </reference>
        </references>
      </pivotArea>
    </chartFormat>
    <chartFormat chart="1" format="27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6"/>
          </reference>
        </references>
      </pivotArea>
    </chartFormat>
    <chartFormat chart="1" format="27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7"/>
          </reference>
        </references>
      </pivotArea>
    </chartFormat>
    <chartFormat chart="1" format="27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8"/>
          </reference>
        </references>
      </pivotArea>
    </chartFormat>
    <chartFormat chart="1" format="27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9"/>
          </reference>
        </references>
      </pivotArea>
    </chartFormat>
    <chartFormat chart="1" format="27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0"/>
          </reference>
        </references>
      </pivotArea>
    </chartFormat>
    <chartFormat chart="1" format="28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1"/>
          </reference>
        </references>
      </pivotArea>
    </chartFormat>
    <chartFormat chart="1" format="28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2"/>
          </reference>
        </references>
      </pivotArea>
    </chartFormat>
    <chartFormat chart="1" format="28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4"/>
          </reference>
        </references>
      </pivotArea>
    </chartFormat>
    <chartFormat chart="1" format="28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5"/>
          </reference>
        </references>
      </pivotArea>
    </chartFormat>
    <chartFormat chart="1" format="28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8"/>
          </reference>
        </references>
      </pivotArea>
    </chartFormat>
    <chartFormat chart="1" format="28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9"/>
          </reference>
        </references>
      </pivotArea>
    </chartFormat>
    <chartFormat chart="1" format="28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0"/>
          </reference>
        </references>
      </pivotArea>
    </chartFormat>
    <chartFormat chart="1" format="28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1"/>
          </reference>
        </references>
      </pivotArea>
    </chartFormat>
    <chartFormat chart="1" format="28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4"/>
          </reference>
        </references>
      </pivotArea>
    </chartFormat>
    <chartFormat chart="1" format="28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8"/>
          </reference>
        </references>
      </pivotArea>
    </chartFormat>
    <chartFormat chart="1" format="29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9"/>
          </reference>
        </references>
      </pivotArea>
    </chartFormat>
    <chartFormat chart="1" format="29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55"/>
          </reference>
        </references>
      </pivotArea>
    </chartFormat>
    <chartFormat chart="1" format="29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59"/>
          </reference>
        </references>
      </pivotArea>
    </chartFormat>
    <chartFormat chart="1" format="29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63"/>
          </reference>
        </references>
      </pivotArea>
    </chartFormat>
    <chartFormat chart="1" format="29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64"/>
          </reference>
        </references>
      </pivotArea>
    </chartFormat>
    <chartFormat chart="1" format="29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4"/>
          </reference>
          <reference field="17" count="1" selected="0">
            <x v="39"/>
          </reference>
        </references>
      </pivotArea>
    </chartFormat>
    <chartFormat chart="1" format="29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7"/>
          </reference>
        </references>
      </pivotArea>
    </chartFormat>
    <chartFormat chart="1" format="29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10"/>
          </reference>
        </references>
      </pivotArea>
    </chartFormat>
    <chartFormat chart="1" format="29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11"/>
          </reference>
        </references>
      </pivotArea>
    </chartFormat>
    <chartFormat chart="1" format="29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18"/>
          </reference>
        </references>
      </pivotArea>
    </chartFormat>
    <chartFormat chart="1" format="30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22"/>
          </reference>
        </references>
      </pivotArea>
    </chartFormat>
    <chartFormat chart="1" format="30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30"/>
          </reference>
        </references>
      </pivotArea>
    </chartFormat>
    <chartFormat chart="1" format="30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31"/>
          </reference>
        </references>
      </pivotArea>
    </chartFormat>
    <chartFormat chart="1" format="30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39"/>
          </reference>
        </references>
      </pivotArea>
    </chartFormat>
    <chartFormat chart="1" format="30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1"/>
          </reference>
        </references>
      </pivotArea>
    </chartFormat>
    <chartFormat chart="1" format="30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7"/>
          </reference>
        </references>
      </pivotArea>
    </chartFormat>
    <chartFormat chart="1" format="30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8"/>
          </reference>
        </references>
      </pivotArea>
    </chartFormat>
    <chartFormat chart="1" format="30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9"/>
          </reference>
        </references>
      </pivotArea>
    </chartFormat>
    <chartFormat chart="1" format="30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59"/>
          </reference>
        </references>
      </pivotArea>
    </chartFormat>
    <chartFormat chart="1" format="30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6"/>
          </reference>
          <reference field="17" count="1" selected="0">
            <x v="58"/>
          </reference>
        </references>
      </pivotArea>
    </chartFormat>
    <chartFormat chart="1" format="3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6"/>
          </reference>
          <reference field="17" count="1" selected="0">
            <x v="59"/>
          </reference>
        </references>
      </pivotArea>
    </chartFormat>
    <chartFormat chart="1" format="31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6"/>
          </reference>
          <reference field="17" count="1" selected="0">
            <x v="60"/>
          </reference>
        </references>
      </pivotArea>
    </chartFormat>
    <chartFormat chart="1" format="31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7"/>
          </reference>
          <reference field="17" count="1" selected="0">
            <x v="40"/>
          </reference>
        </references>
      </pivotArea>
    </chartFormat>
    <chartFormat chart="1" format="31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8"/>
          </reference>
          <reference field="17" count="1" selected="0">
            <x v="47"/>
          </reference>
        </references>
      </pivotArea>
    </chartFormat>
    <chartFormat chart="1" format="31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8"/>
          </reference>
          <reference field="17" count="1" selected="0">
            <x v="49"/>
          </reference>
        </references>
      </pivotArea>
    </chartFormat>
    <chartFormat chart="1" format="3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1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0"/>
          </reference>
        </references>
      </pivotArea>
    </chartFormat>
    <chartFormat chart="1" format="31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"/>
          </reference>
        </references>
      </pivotArea>
    </chartFormat>
    <chartFormat chart="1" format="31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7"/>
          </reference>
        </references>
      </pivotArea>
    </chartFormat>
    <chartFormat chart="1" format="31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0"/>
          </reference>
        </references>
      </pivotArea>
    </chartFormat>
    <chartFormat chart="1" format="32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7"/>
          </reference>
        </references>
      </pivotArea>
    </chartFormat>
    <chartFormat chart="1" format="32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8"/>
          </reference>
        </references>
      </pivotArea>
    </chartFormat>
    <chartFormat chart="1" format="32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9"/>
          </reference>
        </references>
      </pivotArea>
    </chartFormat>
    <chartFormat chart="1" format="32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0"/>
          </reference>
        </references>
      </pivotArea>
    </chartFormat>
    <chartFormat chart="1" format="32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1"/>
          </reference>
        </references>
      </pivotArea>
    </chartFormat>
    <chartFormat chart="1" format="32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2"/>
          </reference>
        </references>
      </pivotArea>
    </chartFormat>
    <chartFormat chart="1" format="32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9"/>
          </reference>
        </references>
      </pivotArea>
    </chartFormat>
    <chartFormat chart="1" format="32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0"/>
          </reference>
        </references>
      </pivotArea>
    </chartFormat>
    <chartFormat chart="1" format="32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1"/>
          </reference>
        </references>
      </pivotArea>
    </chartFormat>
    <chartFormat chart="1" format="32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2"/>
          </reference>
        </references>
      </pivotArea>
    </chartFormat>
    <chartFormat chart="1" format="33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4"/>
          </reference>
        </references>
      </pivotArea>
    </chartFormat>
    <chartFormat chart="1" format="33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5"/>
          </reference>
        </references>
      </pivotArea>
    </chartFormat>
    <chartFormat chart="1" format="33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6"/>
          </reference>
        </references>
      </pivotArea>
    </chartFormat>
    <chartFormat chart="1" format="33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9"/>
          </reference>
        </references>
      </pivotArea>
    </chartFormat>
    <chartFormat chart="1" format="33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0"/>
          </reference>
        </references>
      </pivotArea>
    </chartFormat>
    <chartFormat chart="1" format="33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1"/>
          </reference>
        </references>
      </pivotArea>
    </chartFormat>
    <chartFormat chart="1" format="33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6"/>
          </reference>
        </references>
      </pivotArea>
    </chartFormat>
    <chartFormat chart="1" format="33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7"/>
          </reference>
        </references>
      </pivotArea>
    </chartFormat>
    <chartFormat chart="1" format="33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8"/>
          </reference>
        </references>
      </pivotArea>
    </chartFormat>
    <chartFormat chart="1" format="33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9"/>
          </reference>
        </references>
      </pivotArea>
    </chartFormat>
    <chartFormat chart="1" format="34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0"/>
          </reference>
        </references>
      </pivotArea>
    </chartFormat>
    <chartFormat chart="1" format="34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6"/>
          </reference>
        </references>
      </pivotArea>
    </chartFormat>
    <chartFormat chart="1" format="34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8"/>
          </reference>
        </references>
      </pivotArea>
    </chartFormat>
    <chartFormat chart="1" format="34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9"/>
          </reference>
        </references>
      </pivotArea>
    </chartFormat>
    <chartFormat chart="1" format="34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0"/>
          </reference>
        </references>
      </pivotArea>
    </chartFormat>
    <chartFormat chart="1" format="34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"/>
          </reference>
        </references>
      </pivotArea>
    </chartFormat>
    <chartFormat chart="1" format="34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3"/>
          </reference>
        </references>
      </pivotArea>
    </chartFormat>
    <chartFormat chart="1" format="34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4"/>
          </reference>
        </references>
      </pivotArea>
    </chartFormat>
    <chartFormat chart="1" format="34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5"/>
          </reference>
        </references>
      </pivotArea>
    </chartFormat>
    <chartFormat chart="1" format="34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6"/>
          </reference>
        </references>
      </pivotArea>
    </chartFormat>
    <chartFormat chart="1" format="35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7"/>
          </reference>
        </references>
      </pivotArea>
    </chartFormat>
    <chartFormat chart="1" format="35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9"/>
          </reference>
        </references>
      </pivotArea>
    </chartFormat>
    <chartFormat chart="1" format="35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0"/>
          </reference>
        </references>
      </pivotArea>
    </chartFormat>
    <chartFormat chart="1" format="35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1"/>
          </reference>
        </references>
      </pivotArea>
    </chartFormat>
    <chartFormat chart="1" format="35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7"/>
          </reference>
        </references>
      </pivotArea>
    </chartFormat>
    <chartFormat chart="1" format="35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21"/>
          </reference>
        </references>
      </pivotArea>
    </chartFormat>
    <chartFormat chart="1" format="35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31"/>
          </reference>
        </references>
      </pivotArea>
    </chartFormat>
    <chartFormat chart="1" format="35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41"/>
          </reference>
        </references>
      </pivotArea>
    </chartFormat>
    <chartFormat chart="1" format="35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59"/>
          </reference>
        </references>
      </pivotArea>
    </chartFormat>
    <chartFormat chart="1" format="35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"/>
          </reference>
        </references>
      </pivotArea>
    </chartFormat>
    <chartFormat chart="1" format="36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"/>
          </reference>
        </references>
      </pivotArea>
    </chartFormat>
    <chartFormat chart="1" format="36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"/>
          </reference>
        </references>
      </pivotArea>
    </chartFormat>
    <chartFormat chart="1" format="36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"/>
          </reference>
        </references>
      </pivotArea>
    </chartFormat>
    <chartFormat chart="1" format="36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7"/>
          </reference>
        </references>
      </pivotArea>
    </chartFormat>
    <chartFormat chart="1" format="36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0"/>
          </reference>
        </references>
      </pivotArea>
    </chartFormat>
    <chartFormat chart="1" format="36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1"/>
          </reference>
        </references>
      </pivotArea>
    </chartFormat>
    <chartFormat chart="1" format="36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3"/>
          </reference>
        </references>
      </pivotArea>
    </chartFormat>
    <chartFormat chart="1" format="36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4"/>
          </reference>
        </references>
      </pivotArea>
    </chartFormat>
    <chartFormat chart="1" format="36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5"/>
          </reference>
        </references>
      </pivotArea>
    </chartFormat>
    <chartFormat chart="1" format="36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6"/>
          </reference>
        </references>
      </pivotArea>
    </chartFormat>
    <chartFormat chart="1" format="37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7"/>
          </reference>
        </references>
      </pivotArea>
    </chartFormat>
    <chartFormat chart="1" format="37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8"/>
          </reference>
        </references>
      </pivotArea>
    </chartFormat>
    <chartFormat chart="1" format="37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9"/>
          </reference>
        </references>
      </pivotArea>
    </chartFormat>
    <chartFormat chart="1" format="37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0"/>
          </reference>
        </references>
      </pivotArea>
    </chartFormat>
    <chartFormat chart="1" format="37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1"/>
          </reference>
        </references>
      </pivotArea>
    </chartFormat>
    <chartFormat chart="1" format="37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2"/>
          </reference>
        </references>
      </pivotArea>
    </chartFormat>
    <chartFormat chart="1" format="37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3"/>
          </reference>
        </references>
      </pivotArea>
    </chartFormat>
    <chartFormat chart="1" format="37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5"/>
          </reference>
        </references>
      </pivotArea>
    </chartFormat>
    <chartFormat chart="1" format="37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7"/>
          </reference>
        </references>
      </pivotArea>
    </chartFormat>
    <chartFormat chart="1" format="37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8"/>
          </reference>
        </references>
      </pivotArea>
    </chartFormat>
    <chartFormat chart="1" format="38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9"/>
          </reference>
        </references>
      </pivotArea>
    </chartFormat>
    <chartFormat chart="1" format="38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0"/>
          </reference>
        </references>
      </pivotArea>
    </chartFormat>
    <chartFormat chart="1" format="38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1"/>
          </reference>
        </references>
      </pivotArea>
    </chartFormat>
    <chartFormat chart="1" format="38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2"/>
          </reference>
        </references>
      </pivotArea>
    </chartFormat>
    <chartFormat chart="1" format="38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6"/>
          </reference>
        </references>
      </pivotArea>
    </chartFormat>
    <chartFormat chart="1" format="38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7"/>
          </reference>
        </references>
      </pivotArea>
    </chartFormat>
    <chartFormat chart="1" format="38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8"/>
          </reference>
        </references>
      </pivotArea>
    </chartFormat>
    <chartFormat chart="1" format="38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9"/>
          </reference>
        </references>
      </pivotArea>
    </chartFormat>
    <chartFormat chart="1" format="38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0"/>
          </reference>
        </references>
      </pivotArea>
    </chartFormat>
    <chartFormat chart="1" format="38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1"/>
          </reference>
        </references>
      </pivotArea>
    </chartFormat>
    <chartFormat chart="1" format="39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3"/>
          </reference>
        </references>
      </pivotArea>
    </chartFormat>
    <chartFormat chart="1" format="39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4"/>
          </reference>
        </references>
      </pivotArea>
    </chartFormat>
    <chartFormat chart="1" format="39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5"/>
          </reference>
        </references>
      </pivotArea>
    </chartFormat>
    <chartFormat chart="1" format="39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6"/>
          </reference>
        </references>
      </pivotArea>
    </chartFormat>
    <chartFormat chart="1" format="39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7"/>
          </reference>
        </references>
      </pivotArea>
    </chartFormat>
    <chartFormat chart="1" format="39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8"/>
          </reference>
        </references>
      </pivotArea>
    </chartFormat>
    <chartFormat chart="1" format="39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9"/>
          </reference>
        </references>
      </pivotArea>
    </chartFormat>
    <chartFormat chart="1" format="39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1"/>
          </reference>
        </references>
      </pivotArea>
    </chartFormat>
    <chartFormat chart="1" format="39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2"/>
          </reference>
        </references>
      </pivotArea>
    </chartFormat>
    <chartFormat chart="1" format="39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3"/>
          </reference>
        </references>
      </pivotArea>
    </chartFormat>
    <chartFormat chart="1" format="40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4"/>
          </reference>
        </references>
      </pivotArea>
    </chartFormat>
    <chartFormat chart="1" format="40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5"/>
          </reference>
        </references>
      </pivotArea>
    </chartFormat>
    <chartFormat chart="1" format="40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6"/>
          </reference>
        </references>
      </pivotArea>
    </chartFormat>
    <chartFormat chart="1" format="40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7"/>
          </reference>
        </references>
      </pivotArea>
    </chartFormat>
    <chartFormat chart="1" format="40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8"/>
          </reference>
        </references>
      </pivotArea>
    </chartFormat>
    <chartFormat chart="1" format="40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9"/>
          </reference>
        </references>
      </pivotArea>
    </chartFormat>
    <chartFormat chart="1" format="40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0"/>
          </reference>
        </references>
      </pivotArea>
    </chartFormat>
    <chartFormat chart="1" format="40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2"/>
          </reference>
        </references>
      </pivotArea>
    </chartFormat>
    <chartFormat chart="1" format="40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3"/>
          </reference>
        </references>
      </pivotArea>
    </chartFormat>
    <chartFormat chart="1" format="40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4"/>
          </reference>
        </references>
      </pivotArea>
    </chartFormat>
    <chartFormat chart="1" format="41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5"/>
          </reference>
        </references>
      </pivotArea>
    </chartFormat>
    <chartFormat chart="1" format="41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6"/>
          </reference>
        </references>
      </pivotArea>
    </chartFormat>
    <chartFormat chart="1" format="41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7"/>
          </reference>
        </references>
      </pivotArea>
    </chartFormat>
    <chartFormat chart="1" format="41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  <reference field="17" count="1" selected="0">
            <x v="48"/>
          </reference>
        </references>
      </pivotArea>
    </chartFormat>
    <chartFormat chart="1" format="41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"/>
          </reference>
        </references>
      </pivotArea>
    </chartFormat>
    <chartFormat chart="1" format="41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"/>
          </reference>
        </references>
      </pivotArea>
    </chartFormat>
    <chartFormat chart="1" format="41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7"/>
          </reference>
        </references>
      </pivotArea>
    </chartFormat>
    <chartFormat chart="1" format="41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0"/>
          </reference>
        </references>
      </pivotArea>
    </chartFormat>
    <chartFormat chart="1" format="41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7"/>
          </reference>
        </references>
      </pivotArea>
    </chartFormat>
    <chartFormat chart="1" format="41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8"/>
          </reference>
        </references>
      </pivotArea>
    </chartFormat>
    <chartFormat chart="1" format="42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9"/>
          </reference>
        </references>
      </pivotArea>
    </chartFormat>
    <chartFormat chart="1" format="42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20"/>
          </reference>
        </references>
      </pivotArea>
    </chartFormat>
    <chartFormat chart="1" format="42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21"/>
          </reference>
        </references>
      </pivotArea>
    </chartFormat>
    <chartFormat chart="1" format="42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22"/>
          </reference>
        </references>
      </pivotArea>
    </chartFormat>
    <chartFormat chart="1" format="42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0"/>
          </reference>
        </references>
      </pivotArea>
    </chartFormat>
    <chartFormat chart="1" format="42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1"/>
          </reference>
        </references>
      </pivotArea>
    </chartFormat>
    <chartFormat chart="1" format="42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2"/>
          </reference>
        </references>
      </pivotArea>
    </chartFormat>
    <chartFormat chart="1" format="42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5"/>
          </reference>
        </references>
      </pivotArea>
    </chartFormat>
    <chartFormat chart="1" format="42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6"/>
          </reference>
        </references>
      </pivotArea>
    </chartFormat>
    <chartFormat chart="1" format="42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9"/>
          </reference>
        </references>
      </pivotArea>
    </chartFormat>
    <chartFormat chart="1" format="43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0"/>
          </reference>
        </references>
      </pivotArea>
    </chartFormat>
    <chartFormat chart="1" format="43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1"/>
          </reference>
        </references>
      </pivotArea>
    </chartFormat>
    <chartFormat chart="1" format="43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2"/>
          </reference>
        </references>
      </pivotArea>
    </chartFormat>
    <chartFormat chart="1" format="43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3"/>
          </reference>
        </references>
      </pivotArea>
    </chartFormat>
    <chartFormat chart="1" format="43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4"/>
          </reference>
        </references>
      </pivotArea>
    </chartFormat>
    <chartFormat chart="1" format="43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6"/>
          </reference>
        </references>
      </pivotArea>
    </chartFormat>
    <chartFormat chart="1" format="43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7"/>
          </reference>
        </references>
      </pivotArea>
    </chartFormat>
    <chartFormat chart="1" format="43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8"/>
          </reference>
        </references>
      </pivotArea>
    </chartFormat>
    <chartFormat chart="1" format="43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9"/>
          </reference>
        </references>
      </pivotArea>
    </chartFormat>
    <chartFormat chart="1" format="43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6"/>
          </reference>
        </references>
      </pivotArea>
    </chartFormat>
    <chartFormat chart="1" format="44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7"/>
          </reference>
        </references>
      </pivotArea>
    </chartFormat>
    <chartFormat chart="1" format="44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8"/>
          </reference>
        </references>
      </pivotArea>
    </chartFormat>
    <chartFormat chart="1" format="44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9"/>
          </reference>
        </references>
      </pivotArea>
    </chartFormat>
    <chartFormat chart="1" format="44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65"/>
          </reference>
        </references>
      </pivotArea>
    </chartFormat>
    <chartFormat chart="1" format="44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66"/>
          </reference>
        </references>
      </pivotArea>
    </chartFormat>
    <chartFormat chart="1" format="44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68"/>
          </reference>
        </references>
      </pivotArea>
    </chartFormat>
    <chartFormat chart="1" format="44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7"/>
          </reference>
        </references>
      </pivotArea>
    </chartFormat>
    <chartFormat chart="1" format="44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39"/>
          </reference>
        </references>
      </pivotArea>
    </chartFormat>
    <chartFormat chart="1" format="44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41"/>
          </reference>
        </references>
      </pivotArea>
    </chartFormat>
    <chartFormat chart="1" format="44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48"/>
          </reference>
        </references>
      </pivotArea>
    </chartFormat>
    <chartFormat chart="1" format="45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60"/>
          </reference>
        </references>
      </pivotArea>
    </chartFormat>
    <chartFormat chart="1" format="45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10"/>
          </reference>
        </references>
      </pivotArea>
    </chartFormat>
    <chartFormat chart="1" format="45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17"/>
          </reference>
        </references>
      </pivotArea>
    </chartFormat>
    <chartFormat chart="1" format="45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30"/>
          </reference>
        </references>
      </pivotArea>
    </chartFormat>
    <chartFormat chart="1" format="45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31"/>
          </reference>
        </references>
      </pivotArea>
    </chartFormat>
    <chartFormat chart="1" format="45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39"/>
          </reference>
        </references>
      </pivotArea>
    </chartFormat>
    <chartFormat chart="1" format="45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40"/>
          </reference>
        </references>
      </pivotArea>
    </chartFormat>
    <chartFormat chart="1" format="45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41"/>
          </reference>
        </references>
      </pivotArea>
    </chartFormat>
    <chartFormat chart="1" format="45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56"/>
          </reference>
        </references>
      </pivotArea>
    </chartFormat>
    <chartFormat chart="1" format="45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"/>
          </reference>
        </references>
      </pivotArea>
    </chartFormat>
    <chartFormat chart="1" format="46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"/>
          </reference>
        </references>
      </pivotArea>
    </chartFormat>
    <chartFormat chart="1" format="46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7"/>
          </reference>
        </references>
      </pivotArea>
    </chartFormat>
    <chartFormat chart="1" format="46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8"/>
          </reference>
        </references>
      </pivotArea>
    </chartFormat>
    <chartFormat chart="1" format="46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0"/>
          </reference>
        </references>
      </pivotArea>
    </chartFormat>
    <chartFormat chart="1" format="46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1"/>
          </reference>
        </references>
      </pivotArea>
    </chartFormat>
    <chartFormat chart="1" format="46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3"/>
          </reference>
        </references>
      </pivotArea>
    </chartFormat>
    <chartFormat chart="1" format="46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5"/>
          </reference>
        </references>
      </pivotArea>
    </chartFormat>
    <chartFormat chart="1" format="46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7"/>
          </reference>
        </references>
      </pivotArea>
    </chartFormat>
    <chartFormat chart="1" format="46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8"/>
          </reference>
        </references>
      </pivotArea>
    </chartFormat>
    <chartFormat chart="1" format="46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9"/>
          </reference>
        </references>
      </pivotArea>
    </chartFormat>
    <chartFormat chart="1" format="47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0"/>
          </reference>
        </references>
      </pivotArea>
    </chartFormat>
    <chartFormat chart="1" format="47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1"/>
          </reference>
        </references>
      </pivotArea>
    </chartFormat>
    <chartFormat chart="1" format="47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2"/>
          </reference>
        </references>
      </pivotArea>
    </chartFormat>
    <chartFormat chart="1" format="47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4"/>
          </reference>
        </references>
      </pivotArea>
    </chartFormat>
    <chartFormat chart="1" format="47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5"/>
          </reference>
        </references>
      </pivotArea>
    </chartFormat>
    <chartFormat chart="1" format="47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6"/>
          </reference>
        </references>
      </pivotArea>
    </chartFormat>
    <chartFormat chart="1" format="47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7"/>
          </reference>
        </references>
      </pivotArea>
    </chartFormat>
    <chartFormat chart="1" format="47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9"/>
          </reference>
        </references>
      </pivotArea>
    </chartFormat>
    <chartFormat chart="1" format="47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0"/>
          </reference>
        </references>
      </pivotArea>
    </chartFormat>
    <chartFormat chart="1" format="47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1"/>
          </reference>
        </references>
      </pivotArea>
    </chartFormat>
    <chartFormat chart="1" format="48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2"/>
          </reference>
        </references>
      </pivotArea>
    </chartFormat>
    <chartFormat chart="1" format="48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4"/>
          </reference>
        </references>
      </pivotArea>
    </chartFormat>
    <chartFormat chart="1" format="48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8"/>
          </reference>
        </references>
      </pivotArea>
    </chartFormat>
    <chartFormat chart="1" format="48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9"/>
          </reference>
        </references>
      </pivotArea>
    </chartFormat>
    <chartFormat chart="1" format="48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0"/>
          </reference>
        </references>
      </pivotArea>
    </chartFormat>
    <chartFormat chart="1" format="48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1"/>
          </reference>
        </references>
      </pivotArea>
    </chartFormat>
    <chartFormat chart="1" format="48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4"/>
          </reference>
        </references>
      </pivotArea>
    </chartFormat>
    <chartFormat chart="1" format="48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5"/>
          </reference>
        </references>
      </pivotArea>
    </chartFormat>
    <chartFormat chart="1" format="48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6"/>
          </reference>
        </references>
      </pivotArea>
    </chartFormat>
    <chartFormat chart="1" format="48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7"/>
          </reference>
        </references>
      </pivotArea>
    </chartFormat>
    <chartFormat chart="1" format="49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8"/>
          </reference>
        </references>
      </pivotArea>
    </chartFormat>
    <chartFormat chart="1" format="49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9"/>
          </reference>
        </references>
      </pivotArea>
    </chartFormat>
    <chartFormat chart="1" format="49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0"/>
          </reference>
        </references>
      </pivotArea>
    </chartFormat>
    <chartFormat chart="1" format="49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5"/>
          </reference>
        </references>
      </pivotArea>
    </chartFormat>
    <chartFormat chart="1" format="49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6"/>
          </reference>
        </references>
      </pivotArea>
    </chartFormat>
    <chartFormat chart="1" format="49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8"/>
          </reference>
        </references>
      </pivotArea>
    </chartFormat>
    <chartFormat chart="1" format="49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9"/>
          </reference>
        </references>
      </pivotArea>
    </chartFormat>
    <chartFormat chart="1" format="49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62"/>
          </reference>
        </references>
      </pivotArea>
    </chartFormat>
    <chartFormat chart="1" format="49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7"/>
          </reference>
        </references>
      </pivotArea>
    </chartFormat>
    <chartFormat chart="1" format="49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10"/>
          </reference>
        </references>
      </pivotArea>
    </chartFormat>
    <chartFormat chart="1" format="50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11"/>
          </reference>
        </references>
      </pivotArea>
    </chartFormat>
    <chartFormat chart="1" format="50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17"/>
          </reference>
        </references>
      </pivotArea>
    </chartFormat>
    <chartFormat chart="1" format="50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21"/>
          </reference>
        </references>
      </pivotArea>
    </chartFormat>
    <chartFormat chart="1" format="50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22"/>
          </reference>
        </references>
      </pivotArea>
    </chartFormat>
    <chartFormat chart="1" format="50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26"/>
          </reference>
        </references>
      </pivotArea>
    </chartFormat>
    <chartFormat chart="1" format="50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0"/>
          </reference>
        </references>
      </pivotArea>
    </chartFormat>
    <chartFormat chart="1" format="50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1"/>
          </reference>
        </references>
      </pivotArea>
    </chartFormat>
    <chartFormat chart="1" format="50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2"/>
          </reference>
        </references>
      </pivotArea>
    </chartFormat>
    <chartFormat chart="1" format="50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3"/>
          </reference>
        </references>
      </pivotArea>
    </chartFormat>
    <chartFormat chart="1" format="50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4"/>
          </reference>
        </references>
      </pivotArea>
    </chartFormat>
    <chartFormat chart="1" format="51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9"/>
          </reference>
        </references>
      </pivotArea>
    </chartFormat>
    <chartFormat chart="1" format="51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0"/>
          </reference>
        </references>
      </pivotArea>
    </chartFormat>
    <chartFormat chart="1" format="51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1"/>
          </reference>
        </references>
      </pivotArea>
    </chartFormat>
    <chartFormat chart="1" format="51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4"/>
          </reference>
        </references>
      </pivotArea>
    </chartFormat>
    <chartFormat chart="1" format="51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8"/>
          </reference>
        </references>
      </pivotArea>
    </chartFormat>
    <chartFormat chart="1" format="51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"/>
          </reference>
        </references>
      </pivotArea>
    </chartFormat>
    <chartFormat chart="1" format="51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"/>
          </reference>
        </references>
      </pivotArea>
    </chartFormat>
    <chartFormat chart="1" format="51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7"/>
          </reference>
        </references>
      </pivotArea>
    </chartFormat>
    <chartFormat chart="1" format="51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0"/>
          </reference>
        </references>
      </pivotArea>
    </chartFormat>
    <chartFormat chart="1" format="51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1"/>
          </reference>
        </references>
      </pivotArea>
    </chartFormat>
    <chartFormat chart="1" format="52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7"/>
          </reference>
        </references>
      </pivotArea>
    </chartFormat>
    <chartFormat chart="1" format="52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8"/>
          </reference>
        </references>
      </pivotArea>
    </chartFormat>
    <chartFormat chart="1" format="52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0"/>
          </reference>
        </references>
      </pivotArea>
    </chartFormat>
    <chartFormat chart="1" format="52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1"/>
          </reference>
        </references>
      </pivotArea>
    </chartFormat>
    <chartFormat chart="1" format="52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2"/>
          </reference>
        </references>
      </pivotArea>
    </chartFormat>
    <chartFormat chart="1" format="52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3"/>
          </reference>
        </references>
      </pivotArea>
    </chartFormat>
    <chartFormat chart="1" format="52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5"/>
          </reference>
        </references>
      </pivotArea>
    </chartFormat>
    <chartFormat chart="1" format="52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6"/>
          </reference>
        </references>
      </pivotArea>
    </chartFormat>
    <chartFormat chart="1" format="52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8"/>
          </reference>
        </references>
      </pivotArea>
    </chartFormat>
    <chartFormat chart="1" format="52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0"/>
          </reference>
        </references>
      </pivotArea>
    </chartFormat>
    <chartFormat chart="1" format="53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1"/>
          </reference>
        </references>
      </pivotArea>
    </chartFormat>
    <chartFormat chart="1" format="53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2"/>
          </reference>
        </references>
      </pivotArea>
    </chartFormat>
    <chartFormat chart="1" format="53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4"/>
          </reference>
        </references>
      </pivotArea>
    </chartFormat>
    <chartFormat chart="1" format="53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5"/>
          </reference>
        </references>
      </pivotArea>
    </chartFormat>
    <chartFormat chart="1" format="53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9"/>
          </reference>
        </references>
      </pivotArea>
    </chartFormat>
    <chartFormat chart="1" format="53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0"/>
          </reference>
        </references>
      </pivotArea>
    </chartFormat>
    <chartFormat chart="1" format="53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1"/>
          </reference>
        </references>
      </pivotArea>
    </chartFormat>
    <chartFormat chart="1" format="53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4"/>
          </reference>
        </references>
      </pivotArea>
    </chartFormat>
    <chartFormat chart="1" format="53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6"/>
          </reference>
        </references>
      </pivotArea>
    </chartFormat>
    <chartFormat chart="1" format="53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7"/>
          </reference>
        </references>
      </pivotArea>
    </chartFormat>
    <chartFormat chart="1" format="54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8"/>
          </reference>
        </references>
      </pivotArea>
    </chartFormat>
    <chartFormat chart="1" format="54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9"/>
          </reference>
        </references>
      </pivotArea>
    </chartFormat>
    <chartFormat chart="1" format="54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0"/>
          </reference>
        </references>
      </pivotArea>
    </chartFormat>
    <chartFormat chart="1" format="54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1"/>
          </reference>
        </references>
      </pivotArea>
    </chartFormat>
    <chartFormat chart="1" format="54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2"/>
          </reference>
        </references>
      </pivotArea>
    </chartFormat>
    <chartFormat chart="1" format="54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3"/>
          </reference>
        </references>
      </pivotArea>
    </chartFormat>
    <chartFormat chart="1" format="54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5"/>
          </reference>
        </references>
      </pivotArea>
    </chartFormat>
    <chartFormat chart="1" format="54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6"/>
          </reference>
        </references>
      </pivotArea>
    </chartFormat>
    <chartFormat chart="1" format="54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8"/>
          </reference>
        </references>
      </pivotArea>
    </chartFormat>
    <chartFormat chart="1" format="54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9"/>
          </reference>
        </references>
      </pivotArea>
    </chartFormat>
    <chartFormat chart="1" format="55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0"/>
          </reference>
        </references>
      </pivotArea>
    </chartFormat>
    <chartFormat chart="1" format="55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3"/>
          </reference>
        </references>
      </pivotArea>
    </chartFormat>
    <chartFormat chart="1" format="55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4"/>
          </reference>
        </references>
      </pivotArea>
    </chartFormat>
    <chartFormat chart="1" format="55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5"/>
          </reference>
        </references>
      </pivotArea>
    </chartFormat>
    <chartFormat chart="1" format="55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6"/>
          </reference>
        </references>
      </pivotArea>
    </chartFormat>
    <chartFormat chart="1" format="55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2"/>
          </reference>
        </references>
      </pivotArea>
    </chartFormat>
    <chartFormat chart="1" format="55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4"/>
          </reference>
        </references>
      </pivotArea>
    </chartFormat>
    <chartFormat chart="1" format="55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"/>
          </reference>
        </references>
      </pivotArea>
    </chartFormat>
    <chartFormat chart="1" format="55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7"/>
          </reference>
        </references>
      </pivotArea>
    </chartFormat>
    <chartFormat chart="1" format="55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10"/>
          </reference>
        </references>
      </pivotArea>
    </chartFormat>
    <chartFormat chart="1" format="56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17"/>
          </reference>
        </references>
      </pivotArea>
    </chartFormat>
    <chartFormat chart="1" format="56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41"/>
          </reference>
        </references>
      </pivotArea>
    </chartFormat>
    <chartFormat chart="1" format="56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48"/>
          </reference>
        </references>
      </pivotArea>
    </chartFormat>
    <chartFormat chart="1" format="56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2"/>
          </reference>
        </references>
      </pivotArea>
    </chartFormat>
    <chartFormat chart="1" format="56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6"/>
          </reference>
        </references>
      </pivotArea>
    </chartFormat>
    <chartFormat chart="1" format="56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9"/>
          </reference>
        </references>
      </pivotArea>
    </chartFormat>
    <chartFormat chart="1" format="56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61"/>
          </reference>
        </references>
      </pivotArea>
    </chartFormat>
    <chartFormat chart="1" format="56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63"/>
          </reference>
        </references>
      </pivotArea>
    </chartFormat>
    <chartFormat chart="1" format="56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2"/>
          </reference>
          <reference field="17" count="1" selected="0">
            <x v="11"/>
          </reference>
        </references>
      </pivotArea>
    </chartFormat>
    <chartFormat chart="1" format="56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"/>
          </reference>
        </references>
      </pivotArea>
    </chartFormat>
    <chartFormat chart="1" format="57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5"/>
          </reference>
        </references>
      </pivotArea>
    </chartFormat>
    <chartFormat chart="1" format="57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7"/>
          </reference>
        </references>
      </pivotArea>
    </chartFormat>
    <chartFormat chart="1" format="57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0"/>
          </reference>
        </references>
      </pivotArea>
    </chartFormat>
    <chartFormat chart="1" format="57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1"/>
          </reference>
        </references>
      </pivotArea>
    </chartFormat>
    <chartFormat chart="1" format="57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2"/>
          </reference>
        </references>
      </pivotArea>
    </chartFormat>
    <chartFormat chart="1" format="57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7"/>
          </reference>
        </references>
      </pivotArea>
    </chartFormat>
    <chartFormat chart="1" format="57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8"/>
          </reference>
        </references>
      </pivotArea>
    </chartFormat>
    <chartFormat chart="1" format="57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9"/>
          </reference>
        </references>
      </pivotArea>
    </chartFormat>
    <chartFormat chart="1" format="57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0"/>
          </reference>
        </references>
      </pivotArea>
    </chartFormat>
    <chartFormat chart="1" format="57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1"/>
          </reference>
        </references>
      </pivotArea>
    </chartFormat>
    <chartFormat chart="1" format="58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2"/>
          </reference>
        </references>
      </pivotArea>
    </chartFormat>
    <chartFormat chart="1" format="58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6"/>
          </reference>
        </references>
      </pivotArea>
    </chartFormat>
    <chartFormat chart="1" format="58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7"/>
          </reference>
        </references>
      </pivotArea>
    </chartFormat>
    <chartFormat chart="1" format="58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8"/>
          </reference>
        </references>
      </pivotArea>
    </chartFormat>
    <chartFormat chart="1" format="58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9"/>
          </reference>
        </references>
      </pivotArea>
    </chartFormat>
    <chartFormat chart="1" format="58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0"/>
          </reference>
        </references>
      </pivotArea>
    </chartFormat>
    <chartFormat chart="1" format="58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1"/>
          </reference>
        </references>
      </pivotArea>
    </chartFormat>
    <chartFormat chart="1" format="58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2"/>
          </reference>
        </references>
      </pivotArea>
    </chartFormat>
    <chartFormat chart="1" format="58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4"/>
          </reference>
        </references>
      </pivotArea>
    </chartFormat>
    <chartFormat chart="1" format="58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5"/>
          </reference>
        </references>
      </pivotArea>
    </chartFormat>
    <chartFormat chart="1" format="59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8"/>
          </reference>
        </references>
      </pivotArea>
    </chartFormat>
    <chartFormat chart="1" format="59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9"/>
          </reference>
        </references>
      </pivotArea>
    </chartFormat>
    <chartFormat chart="1" format="59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0"/>
          </reference>
        </references>
      </pivotArea>
    </chartFormat>
    <chartFormat chart="1" format="59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1"/>
          </reference>
        </references>
      </pivotArea>
    </chartFormat>
    <chartFormat chart="1" format="59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4"/>
          </reference>
        </references>
      </pivotArea>
    </chartFormat>
    <chartFormat chart="1" format="59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8"/>
          </reference>
        </references>
      </pivotArea>
    </chartFormat>
    <chartFormat chart="1" format="59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9"/>
          </reference>
        </references>
      </pivotArea>
    </chartFormat>
    <chartFormat chart="1" format="59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55"/>
          </reference>
        </references>
      </pivotArea>
    </chartFormat>
    <chartFormat chart="1" format="59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59"/>
          </reference>
        </references>
      </pivotArea>
    </chartFormat>
    <chartFormat chart="1" format="59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63"/>
          </reference>
        </references>
      </pivotArea>
    </chartFormat>
    <chartFormat chart="1" format="60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64"/>
          </reference>
        </references>
      </pivotArea>
    </chartFormat>
    <chartFormat chart="1" format="60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4"/>
          </reference>
          <reference field="17" count="1" selected="0">
            <x v="39"/>
          </reference>
        </references>
      </pivotArea>
    </chartFormat>
    <chartFormat chart="1" format="60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7"/>
          </reference>
        </references>
      </pivotArea>
    </chartFormat>
    <chartFormat chart="1" format="60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10"/>
          </reference>
        </references>
      </pivotArea>
    </chartFormat>
    <chartFormat chart="1" format="60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11"/>
          </reference>
        </references>
      </pivotArea>
    </chartFormat>
    <chartFormat chart="1" format="60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18"/>
          </reference>
        </references>
      </pivotArea>
    </chartFormat>
    <chartFormat chart="1" format="60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22"/>
          </reference>
        </references>
      </pivotArea>
    </chartFormat>
    <chartFormat chart="1" format="60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30"/>
          </reference>
        </references>
      </pivotArea>
    </chartFormat>
    <chartFormat chart="1" format="60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31"/>
          </reference>
        </references>
      </pivotArea>
    </chartFormat>
    <chartFormat chart="1" format="60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39"/>
          </reference>
        </references>
      </pivotArea>
    </chartFormat>
    <chartFormat chart="1" format="61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1"/>
          </reference>
        </references>
      </pivotArea>
    </chartFormat>
    <chartFormat chart="1" format="61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7"/>
          </reference>
        </references>
      </pivotArea>
    </chartFormat>
    <chartFormat chart="1" format="61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8"/>
          </reference>
        </references>
      </pivotArea>
    </chartFormat>
    <chartFormat chart="1" format="61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9"/>
          </reference>
        </references>
      </pivotArea>
    </chartFormat>
    <chartFormat chart="1" format="61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59"/>
          </reference>
        </references>
      </pivotArea>
    </chartFormat>
    <chartFormat chart="1" format="61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6"/>
          </reference>
          <reference field="17" count="1" selected="0">
            <x v="58"/>
          </reference>
        </references>
      </pivotArea>
    </chartFormat>
    <chartFormat chart="1" format="61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6"/>
          </reference>
          <reference field="17" count="1" selected="0">
            <x v="59"/>
          </reference>
        </references>
      </pivotArea>
    </chartFormat>
    <chartFormat chart="1" format="61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6"/>
          </reference>
          <reference field="17" count="1" selected="0">
            <x v="60"/>
          </reference>
        </references>
      </pivotArea>
    </chartFormat>
    <chartFormat chart="1" format="61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7"/>
          </reference>
          <reference field="17" count="1" selected="0">
            <x v="40"/>
          </reference>
        </references>
      </pivotArea>
    </chartFormat>
    <chartFormat chart="1" format="61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8"/>
          </reference>
          <reference field="17" count="1" selected="0">
            <x v="47"/>
          </reference>
        </references>
      </pivotArea>
    </chartFormat>
    <chartFormat chart="1" format="62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8"/>
          </reference>
          <reference field="17" count="1" selected="0">
            <x v="49"/>
          </reference>
        </references>
      </pivotArea>
    </chartFormat>
    <chartFormat chart="1" format="6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62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0"/>
          </reference>
        </references>
      </pivotArea>
    </chartFormat>
    <chartFormat chart="1" format="62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"/>
          </reference>
        </references>
      </pivotArea>
    </chartFormat>
    <chartFormat chart="1" format="62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7"/>
          </reference>
        </references>
      </pivotArea>
    </chartFormat>
    <chartFormat chart="1" format="62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0"/>
          </reference>
        </references>
      </pivotArea>
    </chartFormat>
    <chartFormat chart="1" format="62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7"/>
          </reference>
        </references>
      </pivotArea>
    </chartFormat>
    <chartFormat chart="1" format="62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8"/>
          </reference>
        </references>
      </pivotArea>
    </chartFormat>
    <chartFormat chart="1" format="62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9"/>
          </reference>
        </references>
      </pivotArea>
    </chartFormat>
    <chartFormat chart="1" format="62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0"/>
          </reference>
        </references>
      </pivotArea>
    </chartFormat>
    <chartFormat chart="1" format="63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1"/>
          </reference>
        </references>
      </pivotArea>
    </chartFormat>
    <chartFormat chart="1" format="63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2"/>
          </reference>
        </references>
      </pivotArea>
    </chartFormat>
    <chartFormat chart="1" format="63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9"/>
          </reference>
        </references>
      </pivotArea>
    </chartFormat>
    <chartFormat chart="1" format="63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0"/>
          </reference>
        </references>
      </pivotArea>
    </chartFormat>
    <chartFormat chart="1" format="63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1"/>
          </reference>
        </references>
      </pivotArea>
    </chartFormat>
    <chartFormat chart="1" format="63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2"/>
          </reference>
        </references>
      </pivotArea>
    </chartFormat>
    <chartFormat chart="1" format="63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4"/>
          </reference>
        </references>
      </pivotArea>
    </chartFormat>
    <chartFormat chart="1" format="63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5"/>
          </reference>
        </references>
      </pivotArea>
    </chartFormat>
    <chartFormat chart="1" format="63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6"/>
          </reference>
        </references>
      </pivotArea>
    </chartFormat>
    <chartFormat chart="1" format="63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9"/>
          </reference>
        </references>
      </pivotArea>
    </chartFormat>
    <chartFormat chart="1" format="64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0"/>
          </reference>
        </references>
      </pivotArea>
    </chartFormat>
    <chartFormat chart="1" format="64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1"/>
          </reference>
        </references>
      </pivotArea>
    </chartFormat>
    <chartFormat chart="1" format="64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6"/>
          </reference>
        </references>
      </pivotArea>
    </chartFormat>
    <chartFormat chart="1" format="64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7"/>
          </reference>
        </references>
      </pivotArea>
    </chartFormat>
    <chartFormat chart="1" format="64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8"/>
          </reference>
        </references>
      </pivotArea>
    </chartFormat>
    <chartFormat chart="1" format="64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9"/>
          </reference>
        </references>
      </pivotArea>
    </chartFormat>
    <chartFormat chart="1" format="64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0"/>
          </reference>
        </references>
      </pivotArea>
    </chartFormat>
    <chartFormat chart="1" format="64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6"/>
          </reference>
        </references>
      </pivotArea>
    </chartFormat>
    <chartFormat chart="1" format="64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8"/>
          </reference>
        </references>
      </pivotArea>
    </chartFormat>
    <chartFormat chart="1" format="64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9"/>
          </reference>
        </references>
      </pivotArea>
    </chartFormat>
    <chartFormat chart="1" format="65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0"/>
          </reference>
        </references>
      </pivotArea>
    </chartFormat>
    <chartFormat chart="1" format="65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"/>
          </reference>
        </references>
      </pivotArea>
    </chartFormat>
    <chartFormat chart="1" format="65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3"/>
          </reference>
        </references>
      </pivotArea>
    </chartFormat>
    <chartFormat chart="1" format="65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4"/>
          </reference>
        </references>
      </pivotArea>
    </chartFormat>
    <chartFormat chart="1" format="65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5"/>
          </reference>
        </references>
      </pivotArea>
    </chartFormat>
    <chartFormat chart="1" format="65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6"/>
          </reference>
        </references>
      </pivotArea>
    </chartFormat>
    <chartFormat chart="1" format="65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7"/>
          </reference>
        </references>
      </pivotArea>
    </chartFormat>
    <chartFormat chart="1" format="65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9"/>
          </reference>
        </references>
      </pivotArea>
    </chartFormat>
    <chartFormat chart="1" format="65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0"/>
          </reference>
        </references>
      </pivotArea>
    </chartFormat>
    <chartFormat chart="1" format="65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1"/>
          </reference>
        </references>
      </pivotArea>
    </chartFormat>
    <chartFormat chart="1" format="66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7"/>
          </reference>
        </references>
      </pivotArea>
    </chartFormat>
    <chartFormat chart="1" format="66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21"/>
          </reference>
        </references>
      </pivotArea>
    </chartFormat>
    <chartFormat chart="1" format="66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31"/>
          </reference>
        </references>
      </pivotArea>
    </chartFormat>
    <chartFormat chart="1" format="66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41"/>
          </reference>
        </references>
      </pivotArea>
    </chartFormat>
    <chartFormat chart="1" format="66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59"/>
          </reference>
        </references>
      </pivotArea>
    </chartFormat>
    <chartFormat chart="1" format="66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"/>
          </reference>
        </references>
      </pivotArea>
    </chartFormat>
    <chartFormat chart="1" format="66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</references>
      </pivotArea>
    </chartFormat>
    <chartFormat chart="1" format="66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"/>
          </reference>
        </references>
      </pivotArea>
    </chartFormat>
    <chartFormat chart="1" format="66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"/>
          </reference>
        </references>
      </pivotArea>
    </chartFormat>
    <chartFormat chart="1" format="66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7"/>
          </reference>
        </references>
      </pivotArea>
    </chartFormat>
    <chartFormat chart="1" format="67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0"/>
          </reference>
        </references>
      </pivotArea>
    </chartFormat>
    <chartFormat chart="1" format="67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1"/>
          </reference>
        </references>
      </pivotArea>
    </chartFormat>
    <chartFormat chart="1" format="67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3"/>
          </reference>
        </references>
      </pivotArea>
    </chartFormat>
    <chartFormat chart="1" format="67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4"/>
          </reference>
        </references>
      </pivotArea>
    </chartFormat>
    <chartFormat chart="1" format="67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5"/>
          </reference>
        </references>
      </pivotArea>
    </chartFormat>
    <chartFormat chart="1" format="67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6"/>
          </reference>
        </references>
      </pivotArea>
    </chartFormat>
    <chartFormat chart="1" format="67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7"/>
          </reference>
        </references>
      </pivotArea>
    </chartFormat>
    <chartFormat chart="1" format="67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8"/>
          </reference>
        </references>
      </pivotArea>
    </chartFormat>
    <chartFormat chart="1" format="67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9"/>
          </reference>
        </references>
      </pivotArea>
    </chartFormat>
    <chartFormat chart="1" format="67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0"/>
          </reference>
        </references>
      </pivotArea>
    </chartFormat>
    <chartFormat chart="1" format="68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1"/>
          </reference>
        </references>
      </pivotArea>
    </chartFormat>
    <chartFormat chart="1" format="68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2"/>
          </reference>
        </references>
      </pivotArea>
    </chartFormat>
    <chartFormat chart="1" format="68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3"/>
          </reference>
        </references>
      </pivotArea>
    </chartFormat>
    <chartFormat chart="1" format="68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5"/>
          </reference>
        </references>
      </pivotArea>
    </chartFormat>
    <chartFormat chart="1" format="68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7"/>
          </reference>
        </references>
      </pivotArea>
    </chartFormat>
    <chartFormat chart="1" format="68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8"/>
          </reference>
        </references>
      </pivotArea>
    </chartFormat>
    <chartFormat chart="1" format="68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9"/>
          </reference>
        </references>
      </pivotArea>
    </chartFormat>
    <chartFormat chart="1" format="68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0"/>
          </reference>
        </references>
      </pivotArea>
    </chartFormat>
    <chartFormat chart="1" format="68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1"/>
          </reference>
        </references>
      </pivotArea>
    </chartFormat>
    <chartFormat chart="1" format="68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2"/>
          </reference>
        </references>
      </pivotArea>
    </chartFormat>
    <chartFormat chart="1" format="69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6"/>
          </reference>
        </references>
      </pivotArea>
    </chartFormat>
    <chartFormat chart="1" format="69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7"/>
          </reference>
        </references>
      </pivotArea>
    </chartFormat>
    <chartFormat chart="1" format="69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8"/>
          </reference>
        </references>
      </pivotArea>
    </chartFormat>
    <chartFormat chart="1" format="69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9"/>
          </reference>
        </references>
      </pivotArea>
    </chartFormat>
    <chartFormat chart="1" format="69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0"/>
          </reference>
        </references>
      </pivotArea>
    </chartFormat>
    <chartFormat chart="1" format="69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1"/>
          </reference>
        </references>
      </pivotArea>
    </chartFormat>
    <chartFormat chart="1" format="69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3"/>
          </reference>
        </references>
      </pivotArea>
    </chartFormat>
    <chartFormat chart="1" format="69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4"/>
          </reference>
        </references>
      </pivotArea>
    </chartFormat>
    <chartFormat chart="1" format="69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5"/>
          </reference>
        </references>
      </pivotArea>
    </chartFormat>
    <chartFormat chart="1" format="69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6"/>
          </reference>
        </references>
      </pivotArea>
    </chartFormat>
    <chartFormat chart="1" format="70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7"/>
          </reference>
        </references>
      </pivotArea>
    </chartFormat>
    <chartFormat chart="1" format="70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8"/>
          </reference>
        </references>
      </pivotArea>
    </chartFormat>
    <chartFormat chart="1" format="70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9"/>
          </reference>
        </references>
      </pivotArea>
    </chartFormat>
    <chartFormat chart="1" format="70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1"/>
          </reference>
        </references>
      </pivotArea>
    </chartFormat>
    <chartFormat chart="1" format="70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2"/>
          </reference>
        </references>
      </pivotArea>
    </chartFormat>
    <chartFormat chart="1" format="70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3"/>
          </reference>
        </references>
      </pivotArea>
    </chartFormat>
    <chartFormat chart="1" format="70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4"/>
          </reference>
        </references>
      </pivotArea>
    </chartFormat>
    <chartFormat chart="1" format="70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5"/>
          </reference>
        </references>
      </pivotArea>
    </chartFormat>
    <chartFormat chart="1" format="70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6"/>
          </reference>
        </references>
      </pivotArea>
    </chartFormat>
    <chartFormat chart="1" format="70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7"/>
          </reference>
        </references>
      </pivotArea>
    </chartFormat>
    <chartFormat chart="1" format="71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8"/>
          </reference>
        </references>
      </pivotArea>
    </chartFormat>
    <chartFormat chart="1" format="71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9"/>
          </reference>
        </references>
      </pivotArea>
    </chartFormat>
    <chartFormat chart="1" format="71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0"/>
          </reference>
        </references>
      </pivotArea>
    </chartFormat>
    <chartFormat chart="1" format="71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2"/>
          </reference>
        </references>
      </pivotArea>
    </chartFormat>
    <chartFormat chart="1" format="71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3"/>
          </reference>
        </references>
      </pivotArea>
    </chartFormat>
    <chartFormat chart="1" format="71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4"/>
          </reference>
        </references>
      </pivotArea>
    </chartFormat>
    <chartFormat chart="1" format="71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5"/>
          </reference>
        </references>
      </pivotArea>
    </chartFormat>
    <chartFormat chart="1" format="71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6"/>
          </reference>
        </references>
      </pivotArea>
    </chartFormat>
    <chartFormat chart="1" format="71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7"/>
          </reference>
        </references>
      </pivotArea>
    </chartFormat>
    <chartFormat chart="1" format="71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  <reference field="17" count="1" selected="0">
            <x v="48"/>
          </reference>
        </references>
      </pivotArea>
    </chartFormat>
    <chartFormat chart="1" format="72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"/>
          </reference>
        </references>
      </pivotArea>
    </chartFormat>
    <chartFormat chart="1" format="72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"/>
          </reference>
        </references>
      </pivotArea>
    </chartFormat>
    <chartFormat chart="1" format="72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7"/>
          </reference>
        </references>
      </pivotArea>
    </chartFormat>
    <chartFormat chart="1" format="72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0"/>
          </reference>
        </references>
      </pivotArea>
    </chartFormat>
    <chartFormat chart="1" format="72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7"/>
          </reference>
        </references>
      </pivotArea>
    </chartFormat>
    <chartFormat chart="1" format="72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8"/>
          </reference>
        </references>
      </pivotArea>
    </chartFormat>
    <chartFormat chart="1" format="72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9"/>
          </reference>
        </references>
      </pivotArea>
    </chartFormat>
    <chartFormat chart="1" format="72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20"/>
          </reference>
        </references>
      </pivotArea>
    </chartFormat>
    <chartFormat chart="1" format="72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21"/>
          </reference>
        </references>
      </pivotArea>
    </chartFormat>
    <chartFormat chart="1" format="72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22"/>
          </reference>
        </references>
      </pivotArea>
    </chartFormat>
    <chartFormat chart="1" format="73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0"/>
          </reference>
        </references>
      </pivotArea>
    </chartFormat>
    <chartFormat chart="1" format="73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1"/>
          </reference>
        </references>
      </pivotArea>
    </chartFormat>
    <chartFormat chart="1" format="73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2"/>
          </reference>
        </references>
      </pivotArea>
    </chartFormat>
    <chartFormat chart="1" format="73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5"/>
          </reference>
        </references>
      </pivotArea>
    </chartFormat>
    <chartFormat chart="1" format="73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6"/>
          </reference>
        </references>
      </pivotArea>
    </chartFormat>
    <chartFormat chart="1" format="73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9"/>
          </reference>
        </references>
      </pivotArea>
    </chartFormat>
    <chartFormat chart="1" format="73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0"/>
          </reference>
        </references>
      </pivotArea>
    </chartFormat>
    <chartFormat chart="1" format="73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1"/>
          </reference>
        </references>
      </pivotArea>
    </chartFormat>
    <chartFormat chart="1" format="73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2"/>
          </reference>
        </references>
      </pivotArea>
    </chartFormat>
    <chartFormat chart="1" format="73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3"/>
          </reference>
        </references>
      </pivotArea>
    </chartFormat>
    <chartFormat chart="1" format="74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4"/>
          </reference>
        </references>
      </pivotArea>
    </chartFormat>
    <chartFormat chart="1" format="74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6"/>
          </reference>
        </references>
      </pivotArea>
    </chartFormat>
    <chartFormat chart="1" format="74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7"/>
          </reference>
        </references>
      </pivotArea>
    </chartFormat>
    <chartFormat chart="1" format="74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8"/>
          </reference>
        </references>
      </pivotArea>
    </chartFormat>
    <chartFormat chart="1" format="74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9"/>
          </reference>
        </references>
      </pivotArea>
    </chartFormat>
    <chartFormat chart="1" format="74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6"/>
          </reference>
        </references>
      </pivotArea>
    </chartFormat>
    <chartFormat chart="1" format="74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7"/>
          </reference>
        </references>
      </pivotArea>
    </chartFormat>
    <chartFormat chart="1" format="74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8"/>
          </reference>
        </references>
      </pivotArea>
    </chartFormat>
    <chartFormat chart="1" format="74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9"/>
          </reference>
        </references>
      </pivotArea>
    </chartFormat>
    <chartFormat chart="1" format="74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65"/>
          </reference>
        </references>
      </pivotArea>
    </chartFormat>
    <chartFormat chart="1" format="75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66"/>
          </reference>
        </references>
      </pivotArea>
    </chartFormat>
    <chartFormat chart="1" format="75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68"/>
          </reference>
        </references>
      </pivotArea>
    </chartFormat>
    <chartFormat chart="1" format="75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7"/>
          </reference>
        </references>
      </pivotArea>
    </chartFormat>
    <chartFormat chart="1" format="75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39"/>
          </reference>
        </references>
      </pivotArea>
    </chartFormat>
    <chartFormat chart="1" format="75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41"/>
          </reference>
        </references>
      </pivotArea>
    </chartFormat>
    <chartFormat chart="1" format="75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48"/>
          </reference>
        </references>
      </pivotArea>
    </chartFormat>
    <chartFormat chart="1" format="75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60"/>
          </reference>
        </references>
      </pivotArea>
    </chartFormat>
    <chartFormat chart="1" format="75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10"/>
          </reference>
        </references>
      </pivotArea>
    </chartFormat>
    <chartFormat chart="1" format="75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17"/>
          </reference>
        </references>
      </pivotArea>
    </chartFormat>
    <chartFormat chart="1" format="75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30"/>
          </reference>
        </references>
      </pivotArea>
    </chartFormat>
    <chartFormat chart="1" format="76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31"/>
          </reference>
        </references>
      </pivotArea>
    </chartFormat>
    <chartFormat chart="1" format="76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39"/>
          </reference>
        </references>
      </pivotArea>
    </chartFormat>
    <chartFormat chart="1" format="76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40"/>
          </reference>
        </references>
      </pivotArea>
    </chartFormat>
    <chartFormat chart="1" format="76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41"/>
          </reference>
        </references>
      </pivotArea>
    </chartFormat>
    <chartFormat chart="1" format="76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56"/>
          </reference>
        </references>
      </pivotArea>
    </chartFormat>
    <chartFormat chart="1" format="76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"/>
          </reference>
        </references>
      </pivotArea>
    </chartFormat>
    <chartFormat chart="1" format="76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"/>
          </reference>
        </references>
      </pivotArea>
    </chartFormat>
    <chartFormat chart="1" format="76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7"/>
          </reference>
        </references>
      </pivotArea>
    </chartFormat>
    <chartFormat chart="1" format="76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8"/>
          </reference>
        </references>
      </pivotArea>
    </chartFormat>
    <chartFormat chart="1" format="76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0"/>
          </reference>
        </references>
      </pivotArea>
    </chartFormat>
    <chartFormat chart="1" format="77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1"/>
          </reference>
        </references>
      </pivotArea>
    </chartFormat>
    <chartFormat chart="1" format="77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3"/>
          </reference>
        </references>
      </pivotArea>
    </chartFormat>
    <chartFormat chart="1" format="77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5"/>
          </reference>
        </references>
      </pivotArea>
    </chartFormat>
    <chartFormat chart="1" format="77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7"/>
          </reference>
        </references>
      </pivotArea>
    </chartFormat>
    <chartFormat chart="1" format="77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8"/>
          </reference>
        </references>
      </pivotArea>
    </chartFormat>
    <chartFormat chart="1" format="77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9"/>
          </reference>
        </references>
      </pivotArea>
    </chartFormat>
    <chartFormat chart="1" format="77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0"/>
          </reference>
        </references>
      </pivotArea>
    </chartFormat>
    <chartFormat chart="1" format="77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1"/>
          </reference>
        </references>
      </pivotArea>
    </chartFormat>
    <chartFormat chart="1" format="77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2"/>
          </reference>
        </references>
      </pivotArea>
    </chartFormat>
    <chartFormat chart="1" format="77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4"/>
          </reference>
        </references>
      </pivotArea>
    </chartFormat>
    <chartFormat chart="1" format="78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5"/>
          </reference>
        </references>
      </pivotArea>
    </chartFormat>
    <chartFormat chart="1" format="78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6"/>
          </reference>
        </references>
      </pivotArea>
    </chartFormat>
    <chartFormat chart="1" format="78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7"/>
          </reference>
        </references>
      </pivotArea>
    </chartFormat>
    <chartFormat chart="1" format="78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9"/>
          </reference>
        </references>
      </pivotArea>
    </chartFormat>
    <chartFormat chart="1" format="78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0"/>
          </reference>
        </references>
      </pivotArea>
    </chartFormat>
    <chartFormat chart="1" format="78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1"/>
          </reference>
        </references>
      </pivotArea>
    </chartFormat>
    <chartFormat chart="1" format="78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2"/>
          </reference>
        </references>
      </pivotArea>
    </chartFormat>
    <chartFormat chart="1" format="78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4"/>
          </reference>
        </references>
      </pivotArea>
    </chartFormat>
    <chartFormat chart="1" format="78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8"/>
          </reference>
        </references>
      </pivotArea>
    </chartFormat>
    <chartFormat chart="1" format="78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9"/>
          </reference>
        </references>
      </pivotArea>
    </chartFormat>
    <chartFormat chart="1" format="79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0"/>
          </reference>
        </references>
      </pivotArea>
    </chartFormat>
    <chartFormat chart="1" format="79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1"/>
          </reference>
        </references>
      </pivotArea>
    </chartFormat>
    <chartFormat chart="1" format="79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4"/>
          </reference>
        </references>
      </pivotArea>
    </chartFormat>
    <chartFormat chart="1" format="79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5"/>
          </reference>
        </references>
      </pivotArea>
    </chartFormat>
    <chartFormat chart="1" format="79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6"/>
          </reference>
        </references>
      </pivotArea>
    </chartFormat>
    <chartFormat chart="1" format="79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7"/>
          </reference>
        </references>
      </pivotArea>
    </chartFormat>
    <chartFormat chart="1" format="79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8"/>
          </reference>
        </references>
      </pivotArea>
    </chartFormat>
    <chartFormat chart="1" format="79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9"/>
          </reference>
        </references>
      </pivotArea>
    </chartFormat>
    <chartFormat chart="1" format="79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0"/>
          </reference>
        </references>
      </pivotArea>
    </chartFormat>
    <chartFormat chart="1" format="79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5"/>
          </reference>
        </references>
      </pivotArea>
    </chartFormat>
    <chartFormat chart="1" format="80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6"/>
          </reference>
        </references>
      </pivotArea>
    </chartFormat>
    <chartFormat chart="1" format="80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8"/>
          </reference>
        </references>
      </pivotArea>
    </chartFormat>
    <chartFormat chart="1" format="80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9"/>
          </reference>
        </references>
      </pivotArea>
    </chartFormat>
    <chartFormat chart="1" format="80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62"/>
          </reference>
        </references>
      </pivotArea>
    </chartFormat>
    <chartFormat chart="1" format="80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7"/>
          </reference>
        </references>
      </pivotArea>
    </chartFormat>
    <chartFormat chart="1" format="80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10"/>
          </reference>
        </references>
      </pivotArea>
    </chartFormat>
    <chartFormat chart="1" format="80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11"/>
          </reference>
        </references>
      </pivotArea>
    </chartFormat>
    <chartFormat chart="1" format="80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17"/>
          </reference>
        </references>
      </pivotArea>
    </chartFormat>
    <chartFormat chart="1" format="80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21"/>
          </reference>
        </references>
      </pivotArea>
    </chartFormat>
    <chartFormat chart="1" format="80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22"/>
          </reference>
        </references>
      </pivotArea>
    </chartFormat>
    <chartFormat chart="1" format="81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26"/>
          </reference>
        </references>
      </pivotArea>
    </chartFormat>
    <chartFormat chart="1" format="81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0"/>
          </reference>
        </references>
      </pivotArea>
    </chartFormat>
    <chartFormat chart="1" format="81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1"/>
          </reference>
        </references>
      </pivotArea>
    </chartFormat>
    <chartFormat chart="1" format="81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2"/>
          </reference>
        </references>
      </pivotArea>
    </chartFormat>
    <chartFormat chart="1" format="81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3"/>
          </reference>
        </references>
      </pivotArea>
    </chartFormat>
    <chartFormat chart="1" format="81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4"/>
          </reference>
        </references>
      </pivotArea>
    </chartFormat>
    <chartFormat chart="1" format="81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9"/>
          </reference>
        </references>
      </pivotArea>
    </chartFormat>
    <chartFormat chart="1" format="81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0"/>
          </reference>
        </references>
      </pivotArea>
    </chartFormat>
    <chartFormat chart="1" format="81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1"/>
          </reference>
        </references>
      </pivotArea>
    </chartFormat>
    <chartFormat chart="1" format="81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4"/>
          </reference>
        </references>
      </pivotArea>
    </chartFormat>
    <chartFormat chart="1" format="82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8"/>
          </reference>
        </references>
      </pivotArea>
    </chartFormat>
    <chartFormat chart="1" format="82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"/>
          </reference>
        </references>
      </pivotArea>
    </chartFormat>
    <chartFormat chart="1" format="82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"/>
          </reference>
        </references>
      </pivotArea>
    </chartFormat>
    <chartFormat chart="1" format="82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7"/>
          </reference>
        </references>
      </pivotArea>
    </chartFormat>
    <chartFormat chart="1" format="82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0"/>
          </reference>
        </references>
      </pivotArea>
    </chartFormat>
    <chartFormat chart="1" format="82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1"/>
          </reference>
        </references>
      </pivotArea>
    </chartFormat>
    <chartFormat chart="1" format="82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7"/>
          </reference>
        </references>
      </pivotArea>
    </chartFormat>
    <chartFormat chart="1" format="82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8"/>
          </reference>
        </references>
      </pivotArea>
    </chartFormat>
    <chartFormat chart="1" format="82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0"/>
          </reference>
        </references>
      </pivotArea>
    </chartFormat>
    <chartFormat chart="1" format="82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1"/>
          </reference>
        </references>
      </pivotArea>
    </chartFormat>
    <chartFormat chart="1" format="83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2"/>
          </reference>
        </references>
      </pivotArea>
    </chartFormat>
    <chartFormat chart="1" format="83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3"/>
          </reference>
        </references>
      </pivotArea>
    </chartFormat>
    <chartFormat chart="1" format="83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5"/>
          </reference>
        </references>
      </pivotArea>
    </chartFormat>
    <chartFormat chart="1" format="83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6"/>
          </reference>
        </references>
      </pivotArea>
    </chartFormat>
    <chartFormat chart="1" format="83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8"/>
          </reference>
        </references>
      </pivotArea>
    </chartFormat>
    <chartFormat chart="1" format="83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0"/>
          </reference>
        </references>
      </pivotArea>
    </chartFormat>
    <chartFormat chart="1" format="83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1"/>
          </reference>
        </references>
      </pivotArea>
    </chartFormat>
    <chartFormat chart="1" format="83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2"/>
          </reference>
        </references>
      </pivotArea>
    </chartFormat>
    <chartFormat chart="1" format="83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4"/>
          </reference>
        </references>
      </pivotArea>
    </chartFormat>
    <chartFormat chart="1" format="83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5"/>
          </reference>
        </references>
      </pivotArea>
    </chartFormat>
    <chartFormat chart="1" format="84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9"/>
          </reference>
        </references>
      </pivotArea>
    </chartFormat>
    <chartFormat chart="1" format="84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0"/>
          </reference>
        </references>
      </pivotArea>
    </chartFormat>
    <chartFormat chart="1" format="84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1"/>
          </reference>
        </references>
      </pivotArea>
    </chartFormat>
    <chartFormat chart="1" format="84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4"/>
          </reference>
        </references>
      </pivotArea>
    </chartFormat>
    <chartFormat chart="1" format="84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6"/>
          </reference>
        </references>
      </pivotArea>
    </chartFormat>
    <chartFormat chart="1" format="84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7"/>
          </reference>
        </references>
      </pivotArea>
    </chartFormat>
    <chartFormat chart="1" format="84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8"/>
          </reference>
        </references>
      </pivotArea>
    </chartFormat>
    <chartFormat chart="1" format="84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9"/>
          </reference>
        </references>
      </pivotArea>
    </chartFormat>
    <chartFormat chart="1" format="84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0"/>
          </reference>
        </references>
      </pivotArea>
    </chartFormat>
    <chartFormat chart="1" format="84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1"/>
          </reference>
        </references>
      </pivotArea>
    </chartFormat>
    <chartFormat chart="1" format="85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2"/>
          </reference>
        </references>
      </pivotArea>
    </chartFormat>
    <chartFormat chart="1" format="85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3"/>
          </reference>
        </references>
      </pivotArea>
    </chartFormat>
    <chartFormat chart="1" format="85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5"/>
          </reference>
        </references>
      </pivotArea>
    </chartFormat>
    <chartFormat chart="1" format="85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6"/>
          </reference>
        </references>
      </pivotArea>
    </chartFormat>
    <chartFormat chart="1" format="85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8"/>
          </reference>
        </references>
      </pivotArea>
    </chartFormat>
    <chartFormat chart="1" format="85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9"/>
          </reference>
        </references>
      </pivotArea>
    </chartFormat>
    <chartFormat chart="1" format="85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0"/>
          </reference>
        </references>
      </pivotArea>
    </chartFormat>
    <chartFormat chart="1" format="85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3"/>
          </reference>
        </references>
      </pivotArea>
    </chartFormat>
    <chartFormat chart="1" format="85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4"/>
          </reference>
        </references>
      </pivotArea>
    </chartFormat>
    <chartFormat chart="1" format="85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5"/>
          </reference>
        </references>
      </pivotArea>
    </chartFormat>
    <chartFormat chart="1" format="86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6"/>
          </reference>
        </references>
      </pivotArea>
    </chartFormat>
    <chartFormat chart="1" format="86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2"/>
          </reference>
        </references>
      </pivotArea>
    </chartFormat>
    <chartFormat chart="1" format="86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4"/>
          </reference>
        </references>
      </pivotArea>
    </chartFormat>
    <chartFormat chart="1" format="86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"/>
          </reference>
        </references>
      </pivotArea>
    </chartFormat>
    <chartFormat chart="1" format="86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7"/>
          </reference>
        </references>
      </pivotArea>
    </chartFormat>
    <chartFormat chart="1" format="86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10"/>
          </reference>
        </references>
      </pivotArea>
    </chartFormat>
    <chartFormat chart="1" format="86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17"/>
          </reference>
        </references>
      </pivotArea>
    </chartFormat>
    <chartFormat chart="1" format="86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41"/>
          </reference>
        </references>
      </pivotArea>
    </chartFormat>
    <chartFormat chart="1" format="86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48"/>
          </reference>
        </references>
      </pivotArea>
    </chartFormat>
    <chartFormat chart="1" format="86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2"/>
          </reference>
        </references>
      </pivotArea>
    </chartFormat>
    <chartFormat chart="1" format="87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6"/>
          </reference>
        </references>
      </pivotArea>
    </chartFormat>
    <chartFormat chart="1" format="87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9"/>
          </reference>
        </references>
      </pivotArea>
    </chartFormat>
    <chartFormat chart="1" format="87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61"/>
          </reference>
        </references>
      </pivotArea>
    </chartFormat>
    <chartFormat chart="1" format="87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63"/>
          </reference>
        </references>
      </pivotArea>
    </chartFormat>
    <chartFormat chart="1" format="87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2"/>
          </reference>
          <reference field="17" count="1" selected="0">
            <x v="11"/>
          </reference>
        </references>
      </pivotArea>
    </chartFormat>
    <chartFormat chart="1" format="87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"/>
          </reference>
        </references>
      </pivotArea>
    </chartFormat>
    <chartFormat chart="1" format="87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5"/>
          </reference>
        </references>
      </pivotArea>
    </chartFormat>
    <chartFormat chart="1" format="87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7"/>
          </reference>
        </references>
      </pivotArea>
    </chartFormat>
    <chartFormat chart="1" format="87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0"/>
          </reference>
        </references>
      </pivotArea>
    </chartFormat>
    <chartFormat chart="1" format="87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1"/>
          </reference>
        </references>
      </pivotArea>
    </chartFormat>
    <chartFormat chart="1" format="88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2"/>
          </reference>
        </references>
      </pivotArea>
    </chartFormat>
    <chartFormat chart="1" format="88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7"/>
          </reference>
        </references>
      </pivotArea>
    </chartFormat>
    <chartFormat chart="1" format="88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8"/>
          </reference>
        </references>
      </pivotArea>
    </chartFormat>
    <chartFormat chart="1" format="88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9"/>
          </reference>
        </references>
      </pivotArea>
    </chartFormat>
    <chartFormat chart="1" format="88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0"/>
          </reference>
        </references>
      </pivotArea>
    </chartFormat>
    <chartFormat chart="1" format="88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1"/>
          </reference>
        </references>
      </pivotArea>
    </chartFormat>
    <chartFormat chart="1" format="88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2"/>
          </reference>
        </references>
      </pivotArea>
    </chartFormat>
    <chartFormat chart="1" format="88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6"/>
          </reference>
        </references>
      </pivotArea>
    </chartFormat>
    <chartFormat chart="1" format="88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7"/>
          </reference>
        </references>
      </pivotArea>
    </chartFormat>
    <chartFormat chart="1" format="88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8"/>
          </reference>
        </references>
      </pivotArea>
    </chartFormat>
    <chartFormat chart="1" format="89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9"/>
          </reference>
        </references>
      </pivotArea>
    </chartFormat>
    <chartFormat chart="1" format="89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0"/>
          </reference>
        </references>
      </pivotArea>
    </chartFormat>
    <chartFormat chart="1" format="89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1"/>
          </reference>
        </references>
      </pivotArea>
    </chartFormat>
    <chartFormat chart="1" format="89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2"/>
          </reference>
        </references>
      </pivotArea>
    </chartFormat>
    <chartFormat chart="1" format="89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4"/>
          </reference>
        </references>
      </pivotArea>
    </chartFormat>
    <chartFormat chart="1" format="89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5"/>
          </reference>
        </references>
      </pivotArea>
    </chartFormat>
    <chartFormat chart="1" format="89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8"/>
          </reference>
        </references>
      </pivotArea>
    </chartFormat>
    <chartFormat chart="1" format="89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9"/>
          </reference>
        </references>
      </pivotArea>
    </chartFormat>
    <chartFormat chart="1" format="89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0"/>
          </reference>
        </references>
      </pivotArea>
    </chartFormat>
    <chartFormat chart="1" format="89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1"/>
          </reference>
        </references>
      </pivotArea>
    </chartFormat>
    <chartFormat chart="1" format="90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4"/>
          </reference>
        </references>
      </pivotArea>
    </chartFormat>
    <chartFormat chart="1" format="90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8"/>
          </reference>
        </references>
      </pivotArea>
    </chartFormat>
    <chartFormat chart="1" format="90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9"/>
          </reference>
        </references>
      </pivotArea>
    </chartFormat>
    <chartFormat chart="1" format="90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55"/>
          </reference>
        </references>
      </pivotArea>
    </chartFormat>
    <chartFormat chart="1" format="90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59"/>
          </reference>
        </references>
      </pivotArea>
    </chartFormat>
    <chartFormat chart="1" format="90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63"/>
          </reference>
        </references>
      </pivotArea>
    </chartFormat>
    <chartFormat chart="1" format="90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64"/>
          </reference>
        </references>
      </pivotArea>
    </chartFormat>
    <chartFormat chart="1" format="90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4"/>
          </reference>
          <reference field="17" count="1" selected="0">
            <x v="39"/>
          </reference>
        </references>
      </pivotArea>
    </chartFormat>
    <chartFormat chart="1" format="90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7"/>
          </reference>
        </references>
      </pivotArea>
    </chartFormat>
    <chartFormat chart="1" format="90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10"/>
          </reference>
        </references>
      </pivotArea>
    </chartFormat>
    <chartFormat chart="1" format="91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11"/>
          </reference>
        </references>
      </pivotArea>
    </chartFormat>
    <chartFormat chart="1" format="91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18"/>
          </reference>
        </references>
      </pivotArea>
    </chartFormat>
    <chartFormat chart="1" format="91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22"/>
          </reference>
        </references>
      </pivotArea>
    </chartFormat>
    <chartFormat chart="1" format="91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30"/>
          </reference>
        </references>
      </pivotArea>
    </chartFormat>
    <chartFormat chart="1" format="91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31"/>
          </reference>
        </references>
      </pivotArea>
    </chartFormat>
    <chartFormat chart="1" format="91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39"/>
          </reference>
        </references>
      </pivotArea>
    </chartFormat>
    <chartFormat chart="1" format="91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1"/>
          </reference>
        </references>
      </pivotArea>
    </chartFormat>
    <chartFormat chart="1" format="91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7"/>
          </reference>
        </references>
      </pivotArea>
    </chartFormat>
    <chartFormat chart="1" format="91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8"/>
          </reference>
        </references>
      </pivotArea>
    </chartFormat>
    <chartFormat chart="1" format="91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9"/>
          </reference>
        </references>
      </pivotArea>
    </chartFormat>
    <chartFormat chart="1" format="92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59"/>
          </reference>
        </references>
      </pivotArea>
    </chartFormat>
    <chartFormat chart="1" format="92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6"/>
          </reference>
          <reference field="17" count="1" selected="0">
            <x v="58"/>
          </reference>
        </references>
      </pivotArea>
    </chartFormat>
    <chartFormat chart="1" format="92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6"/>
          </reference>
          <reference field="17" count="1" selected="0">
            <x v="59"/>
          </reference>
        </references>
      </pivotArea>
    </chartFormat>
    <chartFormat chart="1" format="92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6"/>
          </reference>
          <reference field="17" count="1" selected="0">
            <x v="60"/>
          </reference>
        </references>
      </pivotArea>
    </chartFormat>
    <chartFormat chart="1" format="92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7"/>
          </reference>
          <reference field="17" count="1" selected="0">
            <x v="40"/>
          </reference>
        </references>
      </pivotArea>
    </chartFormat>
    <chartFormat chart="1" format="92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8"/>
          </reference>
          <reference field="17" count="1" selected="0">
            <x v="47"/>
          </reference>
        </references>
      </pivotArea>
    </chartFormat>
    <chartFormat chart="1" format="92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8"/>
          </reference>
          <reference field="17" count="1" selected="0">
            <x v="49"/>
          </reference>
        </references>
      </pivotArea>
    </chartFormat>
    <chartFormat chart="2" format="9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92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0"/>
          </reference>
        </references>
      </pivotArea>
    </chartFormat>
    <chartFormat chart="2" format="9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"/>
          </reference>
        </references>
      </pivotArea>
    </chartFormat>
    <chartFormat chart="2" format="9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7"/>
          </reference>
        </references>
      </pivotArea>
    </chartFormat>
    <chartFormat chart="2" format="93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0"/>
          </reference>
        </references>
      </pivotArea>
    </chartFormat>
    <chartFormat chart="2" format="93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7"/>
          </reference>
        </references>
      </pivotArea>
    </chartFormat>
    <chartFormat chart="2" format="93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8"/>
          </reference>
        </references>
      </pivotArea>
    </chartFormat>
    <chartFormat chart="2" format="93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19"/>
          </reference>
        </references>
      </pivotArea>
    </chartFormat>
    <chartFormat chart="2" format="93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0"/>
          </reference>
        </references>
      </pivotArea>
    </chartFormat>
    <chartFormat chart="2" format="93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1"/>
          </reference>
        </references>
      </pivotArea>
    </chartFormat>
    <chartFormat chart="2" format="93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2"/>
          </reference>
        </references>
      </pivotArea>
    </chartFormat>
    <chartFormat chart="2" format="93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29"/>
          </reference>
        </references>
      </pivotArea>
    </chartFormat>
    <chartFormat chart="2" format="93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0"/>
          </reference>
        </references>
      </pivotArea>
    </chartFormat>
    <chartFormat chart="2" format="94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1"/>
          </reference>
        </references>
      </pivotArea>
    </chartFormat>
    <chartFormat chart="2" format="94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2"/>
          </reference>
        </references>
      </pivotArea>
    </chartFormat>
    <chartFormat chart="2" format="94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4"/>
          </reference>
        </references>
      </pivotArea>
    </chartFormat>
    <chartFormat chart="2" format="94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5"/>
          </reference>
        </references>
      </pivotArea>
    </chartFormat>
    <chartFormat chart="2" format="94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6"/>
          </reference>
        </references>
      </pivotArea>
    </chartFormat>
    <chartFormat chart="2" format="94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39"/>
          </reference>
        </references>
      </pivotArea>
    </chartFormat>
    <chartFormat chart="2" format="94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0"/>
          </reference>
        </references>
      </pivotArea>
    </chartFormat>
    <chartFormat chart="2" format="94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1"/>
          </reference>
        </references>
      </pivotArea>
    </chartFormat>
    <chartFormat chart="2" format="94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6"/>
          </reference>
        </references>
      </pivotArea>
    </chartFormat>
    <chartFormat chart="2" format="94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7"/>
          </reference>
        </references>
      </pivotArea>
    </chartFormat>
    <chartFormat chart="2" format="95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8"/>
          </reference>
        </references>
      </pivotArea>
    </chartFormat>
    <chartFormat chart="2" format="95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49"/>
          </reference>
        </references>
      </pivotArea>
    </chartFormat>
    <chartFormat chart="2" format="95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0"/>
          </reference>
        </references>
      </pivotArea>
    </chartFormat>
    <chartFormat chart="2" format="95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6"/>
          </reference>
        </references>
      </pivotArea>
    </chartFormat>
    <chartFormat chart="2" format="95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8"/>
          </reference>
        </references>
      </pivotArea>
    </chartFormat>
    <chartFormat chart="2" format="95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"/>
          </reference>
          <reference field="17" count="1" selected="0">
            <x v="59"/>
          </reference>
        </references>
      </pivotArea>
    </chartFormat>
    <chartFormat chart="2" format="95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0"/>
          </reference>
        </references>
      </pivotArea>
    </chartFormat>
    <chartFormat chart="2" format="95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"/>
          </reference>
        </references>
      </pivotArea>
    </chartFormat>
    <chartFormat chart="2" format="95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3"/>
          </reference>
        </references>
      </pivotArea>
    </chartFormat>
    <chartFormat chart="2" format="95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4"/>
          </reference>
        </references>
      </pivotArea>
    </chartFormat>
    <chartFormat chart="2" format="96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5"/>
          </reference>
        </references>
      </pivotArea>
    </chartFormat>
    <chartFormat chart="2" format="96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6"/>
          </reference>
        </references>
      </pivotArea>
    </chartFormat>
    <chartFormat chart="2" format="96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7"/>
          </reference>
        </references>
      </pivotArea>
    </chartFormat>
    <chartFormat chart="2" format="96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9"/>
          </reference>
        </references>
      </pivotArea>
    </chartFormat>
    <chartFormat chart="2" format="96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0"/>
          </reference>
        </references>
      </pivotArea>
    </chartFormat>
    <chartFormat chart="2" format="96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1"/>
          </reference>
        </references>
      </pivotArea>
    </chartFormat>
    <chartFormat chart="2" format="96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17"/>
          </reference>
        </references>
      </pivotArea>
    </chartFormat>
    <chartFormat chart="2" format="96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21"/>
          </reference>
        </references>
      </pivotArea>
    </chartFormat>
    <chartFormat chart="2" format="96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31"/>
          </reference>
        </references>
      </pivotArea>
    </chartFormat>
    <chartFormat chart="2" format="96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41"/>
          </reference>
        </references>
      </pivotArea>
    </chartFormat>
    <chartFormat chart="2" format="97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2"/>
          </reference>
          <reference field="17" count="1" selected="0">
            <x v="59"/>
          </reference>
        </references>
      </pivotArea>
    </chartFormat>
    <chartFormat chart="2" format="97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"/>
          </reference>
        </references>
      </pivotArea>
    </chartFormat>
    <chartFormat chart="2" format="97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"/>
          </reference>
        </references>
      </pivotArea>
    </chartFormat>
    <chartFormat chart="2" format="97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"/>
          </reference>
        </references>
      </pivotArea>
    </chartFormat>
    <chartFormat chart="2" format="97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"/>
          </reference>
        </references>
      </pivotArea>
    </chartFormat>
    <chartFormat chart="2" format="97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7"/>
          </reference>
        </references>
      </pivotArea>
    </chartFormat>
    <chartFormat chart="2" format="97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0"/>
          </reference>
        </references>
      </pivotArea>
    </chartFormat>
    <chartFormat chart="2" format="97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1"/>
          </reference>
        </references>
      </pivotArea>
    </chartFormat>
    <chartFormat chart="2" format="97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3"/>
          </reference>
        </references>
      </pivotArea>
    </chartFormat>
    <chartFormat chart="2" format="97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4"/>
          </reference>
        </references>
      </pivotArea>
    </chartFormat>
    <chartFormat chart="2" format="98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5"/>
          </reference>
        </references>
      </pivotArea>
    </chartFormat>
    <chartFormat chart="2" format="98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6"/>
          </reference>
        </references>
      </pivotArea>
    </chartFormat>
    <chartFormat chart="2" format="98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7"/>
          </reference>
        </references>
      </pivotArea>
    </chartFormat>
    <chartFormat chart="2" format="98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8"/>
          </reference>
        </references>
      </pivotArea>
    </chartFormat>
    <chartFormat chart="2" format="98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19"/>
          </reference>
        </references>
      </pivotArea>
    </chartFormat>
    <chartFormat chart="2" format="98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0"/>
          </reference>
        </references>
      </pivotArea>
    </chartFormat>
    <chartFormat chart="2" format="98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1"/>
          </reference>
        </references>
      </pivotArea>
    </chartFormat>
    <chartFormat chart="2" format="98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2"/>
          </reference>
        </references>
      </pivotArea>
    </chartFormat>
    <chartFormat chart="2" format="98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3"/>
          </reference>
        </references>
      </pivotArea>
    </chartFormat>
    <chartFormat chart="2" format="98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5"/>
          </reference>
        </references>
      </pivotArea>
    </chartFormat>
    <chartFormat chart="2" format="99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7"/>
          </reference>
        </references>
      </pivotArea>
    </chartFormat>
    <chartFormat chart="2" format="99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8"/>
          </reference>
        </references>
      </pivotArea>
    </chartFormat>
    <chartFormat chart="2" format="99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29"/>
          </reference>
        </references>
      </pivotArea>
    </chartFormat>
    <chartFormat chart="2" format="99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0"/>
          </reference>
        </references>
      </pivotArea>
    </chartFormat>
    <chartFormat chart="2" format="99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1"/>
          </reference>
        </references>
      </pivotArea>
    </chartFormat>
    <chartFormat chart="2" format="99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2"/>
          </reference>
        </references>
      </pivotArea>
    </chartFormat>
    <chartFormat chart="2" format="99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6"/>
          </reference>
        </references>
      </pivotArea>
    </chartFormat>
    <chartFormat chart="2" format="99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7"/>
          </reference>
        </references>
      </pivotArea>
    </chartFormat>
    <chartFormat chart="2" format="99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8"/>
          </reference>
        </references>
      </pivotArea>
    </chartFormat>
    <chartFormat chart="2" format="99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39"/>
          </reference>
        </references>
      </pivotArea>
    </chartFormat>
    <chartFormat chart="2" format="100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0"/>
          </reference>
        </references>
      </pivotArea>
    </chartFormat>
    <chartFormat chart="2" format="100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1"/>
          </reference>
        </references>
      </pivotArea>
    </chartFormat>
    <chartFormat chart="2" format="100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3"/>
          </reference>
        </references>
      </pivotArea>
    </chartFormat>
    <chartFormat chart="2" format="100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4"/>
          </reference>
        </references>
      </pivotArea>
    </chartFormat>
    <chartFormat chart="2" format="100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5"/>
          </reference>
        </references>
      </pivotArea>
    </chartFormat>
    <chartFormat chart="2" format="100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6"/>
          </reference>
        </references>
      </pivotArea>
    </chartFormat>
    <chartFormat chart="2" format="100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7"/>
          </reference>
        </references>
      </pivotArea>
    </chartFormat>
    <chartFormat chart="2" format="100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8"/>
          </reference>
        </references>
      </pivotArea>
    </chartFormat>
    <chartFormat chart="2" format="100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49"/>
          </reference>
        </references>
      </pivotArea>
    </chartFormat>
    <chartFormat chart="2" format="100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1"/>
          </reference>
        </references>
      </pivotArea>
    </chartFormat>
    <chartFormat chart="2" format="10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2"/>
          </reference>
        </references>
      </pivotArea>
    </chartFormat>
    <chartFormat chart="2" format="101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3"/>
          </reference>
        </references>
      </pivotArea>
    </chartFormat>
    <chartFormat chart="2" format="101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4"/>
          </reference>
        </references>
      </pivotArea>
    </chartFormat>
    <chartFormat chart="2" format="101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5"/>
          </reference>
        </references>
      </pivotArea>
    </chartFormat>
    <chartFormat chart="2" format="101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6"/>
          </reference>
        </references>
      </pivotArea>
    </chartFormat>
    <chartFormat chart="2" format="101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7"/>
          </reference>
        </references>
      </pivotArea>
    </chartFormat>
    <chartFormat chart="2" format="101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8"/>
          </reference>
        </references>
      </pivotArea>
    </chartFormat>
    <chartFormat chart="2" format="101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59"/>
          </reference>
        </references>
      </pivotArea>
    </chartFormat>
    <chartFormat chart="2" format="101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0"/>
          </reference>
        </references>
      </pivotArea>
    </chartFormat>
    <chartFormat chart="2" format="101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2"/>
          </reference>
        </references>
      </pivotArea>
    </chartFormat>
    <chartFormat chart="2" format="102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3"/>
          </reference>
        </references>
      </pivotArea>
    </chartFormat>
    <chartFormat chart="2" format="102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4"/>
          </reference>
        </references>
      </pivotArea>
    </chartFormat>
    <chartFormat chart="2" format="102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5"/>
          </reference>
        </references>
      </pivotArea>
    </chartFormat>
    <chartFormat chart="2" format="102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6"/>
          </reference>
        </references>
      </pivotArea>
    </chartFormat>
    <chartFormat chart="2" format="102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3"/>
          </reference>
          <reference field="17" count="1" selected="0">
            <x v="67"/>
          </reference>
        </references>
      </pivotArea>
    </chartFormat>
    <chartFormat chart="2" format="102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4"/>
          </reference>
          <reference field="17" count="1" selected="0">
            <x v="48"/>
          </reference>
        </references>
      </pivotArea>
    </chartFormat>
    <chartFormat chart="2" format="102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"/>
          </reference>
        </references>
      </pivotArea>
    </chartFormat>
    <chartFormat chart="2" format="102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"/>
          </reference>
        </references>
      </pivotArea>
    </chartFormat>
    <chartFormat chart="2" format="102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7"/>
          </reference>
        </references>
      </pivotArea>
    </chartFormat>
    <chartFormat chart="2" format="10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0"/>
          </reference>
        </references>
      </pivotArea>
    </chartFormat>
    <chartFormat chart="2" format="10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7"/>
          </reference>
        </references>
      </pivotArea>
    </chartFormat>
    <chartFormat chart="2" format="103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8"/>
          </reference>
        </references>
      </pivotArea>
    </chartFormat>
    <chartFormat chart="2" format="103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19"/>
          </reference>
        </references>
      </pivotArea>
    </chartFormat>
    <chartFormat chart="2" format="103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20"/>
          </reference>
        </references>
      </pivotArea>
    </chartFormat>
    <chartFormat chart="2" format="103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21"/>
          </reference>
        </references>
      </pivotArea>
    </chartFormat>
    <chartFormat chart="2" format="103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22"/>
          </reference>
        </references>
      </pivotArea>
    </chartFormat>
    <chartFormat chart="2" format="103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0"/>
          </reference>
        </references>
      </pivotArea>
    </chartFormat>
    <chartFormat chart="2" format="103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1"/>
          </reference>
        </references>
      </pivotArea>
    </chartFormat>
    <chartFormat chart="2" format="103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2"/>
          </reference>
        </references>
      </pivotArea>
    </chartFormat>
    <chartFormat chart="2" format="103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5"/>
          </reference>
        </references>
      </pivotArea>
    </chartFormat>
    <chartFormat chart="2" format="104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6"/>
          </reference>
        </references>
      </pivotArea>
    </chartFormat>
    <chartFormat chart="2" format="104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39"/>
          </reference>
        </references>
      </pivotArea>
    </chartFormat>
    <chartFormat chart="2" format="104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0"/>
          </reference>
        </references>
      </pivotArea>
    </chartFormat>
    <chartFormat chart="2" format="104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1"/>
          </reference>
        </references>
      </pivotArea>
    </chartFormat>
    <chartFormat chart="2" format="104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2"/>
          </reference>
        </references>
      </pivotArea>
    </chartFormat>
    <chartFormat chart="2" format="104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3"/>
          </reference>
        </references>
      </pivotArea>
    </chartFormat>
    <chartFormat chart="2" format="104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4"/>
          </reference>
        </references>
      </pivotArea>
    </chartFormat>
    <chartFormat chart="2" format="104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6"/>
          </reference>
        </references>
      </pivotArea>
    </chartFormat>
    <chartFormat chart="2" format="104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7"/>
          </reference>
        </references>
      </pivotArea>
    </chartFormat>
    <chartFormat chart="2" format="104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8"/>
          </reference>
        </references>
      </pivotArea>
    </chartFormat>
    <chartFormat chart="2" format="105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49"/>
          </reference>
        </references>
      </pivotArea>
    </chartFormat>
    <chartFormat chart="2" format="105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6"/>
          </reference>
        </references>
      </pivotArea>
    </chartFormat>
    <chartFormat chart="2" format="105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7"/>
          </reference>
        </references>
      </pivotArea>
    </chartFormat>
    <chartFormat chart="2" format="105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8"/>
          </reference>
        </references>
      </pivotArea>
    </chartFormat>
    <chartFormat chart="2" format="105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59"/>
          </reference>
        </references>
      </pivotArea>
    </chartFormat>
    <chartFormat chart="2" format="105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65"/>
          </reference>
        </references>
      </pivotArea>
    </chartFormat>
    <chartFormat chart="2" format="105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66"/>
          </reference>
        </references>
      </pivotArea>
    </chartFormat>
    <chartFormat chart="2" format="105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5"/>
          </reference>
          <reference field="17" count="1" selected="0">
            <x v="68"/>
          </reference>
        </references>
      </pivotArea>
    </chartFormat>
    <chartFormat chart="2" format="105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7"/>
          </reference>
        </references>
      </pivotArea>
    </chartFormat>
    <chartFormat chart="2" format="105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39"/>
          </reference>
        </references>
      </pivotArea>
    </chartFormat>
    <chartFormat chart="2" format="106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41"/>
          </reference>
        </references>
      </pivotArea>
    </chartFormat>
    <chartFormat chart="2" format="106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48"/>
          </reference>
        </references>
      </pivotArea>
    </chartFormat>
    <chartFormat chart="2" format="106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6"/>
          </reference>
          <reference field="17" count="1" selected="0">
            <x v="60"/>
          </reference>
        </references>
      </pivotArea>
    </chartFormat>
    <chartFormat chart="2" format="106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10"/>
          </reference>
        </references>
      </pivotArea>
    </chartFormat>
    <chartFormat chart="2" format="106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17"/>
          </reference>
        </references>
      </pivotArea>
    </chartFormat>
    <chartFormat chart="2" format="106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30"/>
          </reference>
        </references>
      </pivotArea>
    </chartFormat>
    <chartFormat chart="2" format="106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31"/>
          </reference>
        </references>
      </pivotArea>
    </chartFormat>
    <chartFormat chart="2" format="106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39"/>
          </reference>
        </references>
      </pivotArea>
    </chartFormat>
    <chartFormat chart="2" format="106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40"/>
          </reference>
        </references>
      </pivotArea>
    </chartFormat>
    <chartFormat chart="2" format="106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41"/>
          </reference>
        </references>
      </pivotArea>
    </chartFormat>
    <chartFormat chart="2" format="107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7"/>
          </reference>
          <reference field="17" count="1" selected="0">
            <x v="56"/>
          </reference>
        </references>
      </pivotArea>
    </chartFormat>
    <chartFormat chart="2" format="107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"/>
          </reference>
        </references>
      </pivotArea>
    </chartFormat>
    <chartFormat chart="2" format="107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"/>
          </reference>
        </references>
      </pivotArea>
    </chartFormat>
    <chartFormat chart="2" format="107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7"/>
          </reference>
        </references>
      </pivotArea>
    </chartFormat>
    <chartFormat chart="2" format="107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8"/>
          </reference>
        </references>
      </pivotArea>
    </chartFormat>
    <chartFormat chart="2" format="107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0"/>
          </reference>
        </references>
      </pivotArea>
    </chartFormat>
    <chartFormat chart="2" format="107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1"/>
          </reference>
        </references>
      </pivotArea>
    </chartFormat>
    <chartFormat chart="2" format="107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3"/>
          </reference>
        </references>
      </pivotArea>
    </chartFormat>
    <chartFormat chart="2" format="107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5"/>
          </reference>
        </references>
      </pivotArea>
    </chartFormat>
    <chartFormat chart="2" format="107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7"/>
          </reference>
        </references>
      </pivotArea>
    </chartFormat>
    <chartFormat chart="2" format="108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8"/>
          </reference>
        </references>
      </pivotArea>
    </chartFormat>
    <chartFormat chart="2" format="108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19"/>
          </reference>
        </references>
      </pivotArea>
    </chartFormat>
    <chartFormat chart="2" format="108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0"/>
          </reference>
        </references>
      </pivotArea>
    </chartFormat>
    <chartFormat chart="2" format="108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1"/>
          </reference>
        </references>
      </pivotArea>
    </chartFormat>
    <chartFormat chart="2" format="108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2"/>
          </reference>
        </references>
      </pivotArea>
    </chartFormat>
    <chartFormat chart="2" format="108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4"/>
          </reference>
        </references>
      </pivotArea>
    </chartFormat>
    <chartFormat chart="2" format="108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5"/>
          </reference>
        </references>
      </pivotArea>
    </chartFormat>
    <chartFormat chart="2" format="108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6"/>
          </reference>
        </references>
      </pivotArea>
    </chartFormat>
    <chartFormat chart="2" format="108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7"/>
          </reference>
        </references>
      </pivotArea>
    </chartFormat>
    <chartFormat chart="2" format="108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29"/>
          </reference>
        </references>
      </pivotArea>
    </chartFormat>
    <chartFormat chart="2" format="109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0"/>
          </reference>
        </references>
      </pivotArea>
    </chartFormat>
    <chartFormat chart="2" format="109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1"/>
          </reference>
        </references>
      </pivotArea>
    </chartFormat>
    <chartFormat chart="2" format="109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2"/>
          </reference>
        </references>
      </pivotArea>
    </chartFormat>
    <chartFormat chart="2" format="109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4"/>
          </reference>
        </references>
      </pivotArea>
    </chartFormat>
    <chartFormat chart="2" format="109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8"/>
          </reference>
        </references>
      </pivotArea>
    </chartFormat>
    <chartFormat chart="2" format="109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39"/>
          </reference>
        </references>
      </pivotArea>
    </chartFormat>
    <chartFormat chart="2" format="109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0"/>
          </reference>
        </references>
      </pivotArea>
    </chartFormat>
    <chartFormat chart="2" format="109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1"/>
          </reference>
        </references>
      </pivotArea>
    </chartFormat>
    <chartFormat chart="2" format="109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4"/>
          </reference>
        </references>
      </pivotArea>
    </chartFormat>
    <chartFormat chart="2" format="109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5"/>
          </reference>
        </references>
      </pivotArea>
    </chartFormat>
    <chartFormat chart="2" format="110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6"/>
          </reference>
        </references>
      </pivotArea>
    </chartFormat>
    <chartFormat chart="2" format="110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7"/>
          </reference>
        </references>
      </pivotArea>
    </chartFormat>
    <chartFormat chart="2" format="110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8"/>
          </reference>
        </references>
      </pivotArea>
    </chartFormat>
    <chartFormat chart="2" format="110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49"/>
          </reference>
        </references>
      </pivotArea>
    </chartFormat>
    <chartFormat chart="2" format="110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0"/>
          </reference>
        </references>
      </pivotArea>
    </chartFormat>
    <chartFormat chart="2" format="110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5"/>
          </reference>
        </references>
      </pivotArea>
    </chartFormat>
    <chartFormat chart="2" format="110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6"/>
          </reference>
        </references>
      </pivotArea>
    </chartFormat>
    <chartFormat chart="2" format="110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8"/>
          </reference>
        </references>
      </pivotArea>
    </chartFormat>
    <chartFormat chart="2" format="110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59"/>
          </reference>
        </references>
      </pivotArea>
    </chartFormat>
    <chartFormat chart="2" format="110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8"/>
          </reference>
          <reference field="17" count="1" selected="0">
            <x v="62"/>
          </reference>
        </references>
      </pivotArea>
    </chartFormat>
    <chartFormat chart="2" format="11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7"/>
          </reference>
        </references>
      </pivotArea>
    </chartFormat>
    <chartFormat chart="2" format="111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10"/>
          </reference>
        </references>
      </pivotArea>
    </chartFormat>
    <chartFormat chart="2" format="111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11"/>
          </reference>
        </references>
      </pivotArea>
    </chartFormat>
    <chartFormat chart="2" format="111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17"/>
          </reference>
        </references>
      </pivotArea>
    </chartFormat>
    <chartFormat chart="2" format="111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21"/>
          </reference>
        </references>
      </pivotArea>
    </chartFormat>
    <chartFormat chart="2" format="111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22"/>
          </reference>
        </references>
      </pivotArea>
    </chartFormat>
    <chartFormat chart="2" format="111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26"/>
          </reference>
        </references>
      </pivotArea>
    </chartFormat>
    <chartFormat chart="2" format="111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0"/>
          </reference>
        </references>
      </pivotArea>
    </chartFormat>
    <chartFormat chart="2" format="111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1"/>
          </reference>
        </references>
      </pivotArea>
    </chartFormat>
    <chartFormat chart="2" format="111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2"/>
          </reference>
        </references>
      </pivotArea>
    </chartFormat>
    <chartFormat chart="2" format="112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3"/>
          </reference>
        </references>
      </pivotArea>
    </chartFormat>
    <chartFormat chart="2" format="112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4"/>
          </reference>
        </references>
      </pivotArea>
    </chartFormat>
    <chartFormat chart="2" format="112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39"/>
          </reference>
        </references>
      </pivotArea>
    </chartFormat>
    <chartFormat chart="2" format="112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0"/>
          </reference>
        </references>
      </pivotArea>
    </chartFormat>
    <chartFormat chart="2" format="112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1"/>
          </reference>
        </references>
      </pivotArea>
    </chartFormat>
    <chartFormat chart="2" format="112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4"/>
          </reference>
        </references>
      </pivotArea>
    </chartFormat>
    <chartFormat chart="2" format="112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9"/>
          </reference>
          <reference field="17" count="1" selected="0">
            <x v="48"/>
          </reference>
        </references>
      </pivotArea>
    </chartFormat>
    <chartFormat chart="2" format="112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"/>
          </reference>
        </references>
      </pivotArea>
    </chartFormat>
    <chartFormat chart="2" format="112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"/>
          </reference>
        </references>
      </pivotArea>
    </chartFormat>
    <chartFormat chart="2" format="11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7"/>
          </reference>
        </references>
      </pivotArea>
    </chartFormat>
    <chartFormat chart="2" format="11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0"/>
          </reference>
        </references>
      </pivotArea>
    </chartFormat>
    <chartFormat chart="2" format="113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1"/>
          </reference>
        </references>
      </pivotArea>
    </chartFormat>
    <chartFormat chart="2" format="113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7"/>
          </reference>
        </references>
      </pivotArea>
    </chartFormat>
    <chartFormat chart="2" format="113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18"/>
          </reference>
        </references>
      </pivotArea>
    </chartFormat>
    <chartFormat chart="2" format="113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0"/>
          </reference>
        </references>
      </pivotArea>
    </chartFormat>
    <chartFormat chart="2" format="113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1"/>
          </reference>
        </references>
      </pivotArea>
    </chartFormat>
    <chartFormat chart="2" format="113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2"/>
          </reference>
        </references>
      </pivotArea>
    </chartFormat>
    <chartFormat chart="2" format="113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3"/>
          </reference>
        </references>
      </pivotArea>
    </chartFormat>
    <chartFormat chart="2" format="113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5"/>
          </reference>
        </references>
      </pivotArea>
    </chartFormat>
    <chartFormat chart="2" format="113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6"/>
          </reference>
        </references>
      </pivotArea>
    </chartFormat>
    <chartFormat chart="2" format="114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28"/>
          </reference>
        </references>
      </pivotArea>
    </chartFormat>
    <chartFormat chart="2" format="114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0"/>
          </reference>
        </references>
      </pivotArea>
    </chartFormat>
    <chartFormat chart="2" format="114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1"/>
          </reference>
        </references>
      </pivotArea>
    </chartFormat>
    <chartFormat chart="2" format="114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2"/>
          </reference>
        </references>
      </pivotArea>
    </chartFormat>
    <chartFormat chart="2" format="114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4"/>
          </reference>
        </references>
      </pivotArea>
    </chartFormat>
    <chartFormat chart="2" format="114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5"/>
          </reference>
        </references>
      </pivotArea>
    </chartFormat>
    <chartFormat chart="2" format="114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39"/>
          </reference>
        </references>
      </pivotArea>
    </chartFormat>
    <chartFormat chart="2" format="114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0"/>
          </reference>
        </references>
      </pivotArea>
    </chartFormat>
    <chartFormat chart="2" format="114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1"/>
          </reference>
        </references>
      </pivotArea>
    </chartFormat>
    <chartFormat chart="2" format="114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4"/>
          </reference>
        </references>
      </pivotArea>
    </chartFormat>
    <chartFormat chart="2" format="115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6"/>
          </reference>
        </references>
      </pivotArea>
    </chartFormat>
    <chartFormat chart="2" format="115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7"/>
          </reference>
        </references>
      </pivotArea>
    </chartFormat>
    <chartFormat chart="2" format="115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8"/>
          </reference>
        </references>
      </pivotArea>
    </chartFormat>
    <chartFormat chart="2" format="115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49"/>
          </reference>
        </references>
      </pivotArea>
    </chartFormat>
    <chartFormat chart="2" format="115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0"/>
          </reference>
        </references>
      </pivotArea>
    </chartFormat>
    <chartFormat chart="2" format="115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1"/>
          </reference>
        </references>
      </pivotArea>
    </chartFormat>
    <chartFormat chart="2" format="115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2"/>
          </reference>
        </references>
      </pivotArea>
    </chartFormat>
    <chartFormat chart="2" format="115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3"/>
          </reference>
        </references>
      </pivotArea>
    </chartFormat>
    <chartFormat chart="2" format="115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5"/>
          </reference>
        </references>
      </pivotArea>
    </chartFormat>
    <chartFormat chart="2" format="115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6"/>
          </reference>
        </references>
      </pivotArea>
    </chartFormat>
    <chartFormat chart="2" format="116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8"/>
          </reference>
        </references>
      </pivotArea>
    </chartFormat>
    <chartFormat chart="2" format="116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59"/>
          </reference>
        </references>
      </pivotArea>
    </chartFormat>
    <chartFormat chart="2" format="116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0"/>
          </reference>
        </references>
      </pivotArea>
    </chartFormat>
    <chartFormat chart="2" format="116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3"/>
          </reference>
        </references>
      </pivotArea>
    </chartFormat>
    <chartFormat chart="2" format="116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4"/>
          </reference>
        </references>
      </pivotArea>
    </chartFormat>
    <chartFormat chart="2" format="116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5"/>
          </reference>
        </references>
      </pivotArea>
    </chartFormat>
    <chartFormat chart="2" format="116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0"/>
          </reference>
          <reference field="17" count="1" selected="0">
            <x v="66"/>
          </reference>
        </references>
      </pivotArea>
    </chartFormat>
    <chartFormat chart="2" format="116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2"/>
          </reference>
        </references>
      </pivotArea>
    </chartFormat>
    <chartFormat chart="2" format="116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4"/>
          </reference>
        </references>
      </pivotArea>
    </chartFormat>
    <chartFormat chart="2" format="116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"/>
          </reference>
        </references>
      </pivotArea>
    </chartFormat>
    <chartFormat chart="2" format="117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7"/>
          </reference>
        </references>
      </pivotArea>
    </chartFormat>
    <chartFormat chart="2" format="117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10"/>
          </reference>
        </references>
      </pivotArea>
    </chartFormat>
    <chartFormat chart="2" format="117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17"/>
          </reference>
        </references>
      </pivotArea>
    </chartFormat>
    <chartFormat chart="2" format="117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41"/>
          </reference>
        </references>
      </pivotArea>
    </chartFormat>
    <chartFormat chart="2" format="117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48"/>
          </reference>
        </references>
      </pivotArea>
    </chartFormat>
    <chartFormat chart="2" format="117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2"/>
          </reference>
        </references>
      </pivotArea>
    </chartFormat>
    <chartFormat chart="2" format="117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6"/>
          </reference>
        </references>
      </pivotArea>
    </chartFormat>
    <chartFormat chart="2" format="117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59"/>
          </reference>
        </references>
      </pivotArea>
    </chartFormat>
    <chartFormat chart="2" format="117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61"/>
          </reference>
        </references>
      </pivotArea>
    </chartFormat>
    <chartFormat chart="2" format="117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1"/>
          </reference>
          <reference field="17" count="1" selected="0">
            <x v="63"/>
          </reference>
        </references>
      </pivotArea>
    </chartFormat>
    <chartFormat chart="2" format="118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2"/>
          </reference>
          <reference field="17" count="1" selected="0">
            <x v="11"/>
          </reference>
        </references>
      </pivotArea>
    </chartFormat>
    <chartFormat chart="2" format="118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"/>
          </reference>
        </references>
      </pivotArea>
    </chartFormat>
    <chartFormat chart="2" format="118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5"/>
          </reference>
        </references>
      </pivotArea>
    </chartFormat>
    <chartFormat chart="2" format="118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7"/>
          </reference>
        </references>
      </pivotArea>
    </chartFormat>
    <chartFormat chart="2" format="118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0"/>
          </reference>
        </references>
      </pivotArea>
    </chartFormat>
    <chartFormat chart="2" format="118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1"/>
          </reference>
        </references>
      </pivotArea>
    </chartFormat>
    <chartFormat chart="2" format="118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2"/>
          </reference>
        </references>
      </pivotArea>
    </chartFormat>
    <chartFormat chart="2" format="118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7"/>
          </reference>
        </references>
      </pivotArea>
    </chartFormat>
    <chartFormat chart="2" format="118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8"/>
          </reference>
        </references>
      </pivotArea>
    </chartFormat>
    <chartFormat chart="2" format="118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19"/>
          </reference>
        </references>
      </pivotArea>
    </chartFormat>
    <chartFormat chart="2" format="119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0"/>
          </reference>
        </references>
      </pivotArea>
    </chartFormat>
    <chartFormat chart="2" format="119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1"/>
          </reference>
        </references>
      </pivotArea>
    </chartFormat>
    <chartFormat chart="2" format="119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2"/>
          </reference>
        </references>
      </pivotArea>
    </chartFormat>
    <chartFormat chart="2" format="119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6"/>
          </reference>
        </references>
      </pivotArea>
    </chartFormat>
    <chartFormat chart="2" format="119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7"/>
          </reference>
        </references>
      </pivotArea>
    </chartFormat>
    <chartFormat chart="2" format="119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8"/>
          </reference>
        </references>
      </pivotArea>
    </chartFormat>
    <chartFormat chart="2" format="119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29"/>
          </reference>
        </references>
      </pivotArea>
    </chartFormat>
    <chartFormat chart="2" format="119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0"/>
          </reference>
        </references>
      </pivotArea>
    </chartFormat>
    <chartFormat chart="2" format="119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1"/>
          </reference>
        </references>
      </pivotArea>
    </chartFormat>
    <chartFormat chart="2" format="119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2"/>
          </reference>
        </references>
      </pivotArea>
    </chartFormat>
    <chartFormat chart="2" format="120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4"/>
          </reference>
        </references>
      </pivotArea>
    </chartFormat>
    <chartFormat chart="2" format="120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5"/>
          </reference>
        </references>
      </pivotArea>
    </chartFormat>
    <chartFormat chart="2" format="120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8"/>
          </reference>
        </references>
      </pivotArea>
    </chartFormat>
    <chartFormat chart="2" format="120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39"/>
          </reference>
        </references>
      </pivotArea>
    </chartFormat>
    <chartFormat chart="2" format="120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0"/>
          </reference>
        </references>
      </pivotArea>
    </chartFormat>
    <chartFormat chart="2" format="120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1"/>
          </reference>
        </references>
      </pivotArea>
    </chartFormat>
    <chartFormat chart="2" format="120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4"/>
          </reference>
        </references>
      </pivotArea>
    </chartFormat>
    <chartFormat chart="2" format="120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8"/>
          </reference>
        </references>
      </pivotArea>
    </chartFormat>
    <chartFormat chart="2" format="120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49"/>
          </reference>
        </references>
      </pivotArea>
    </chartFormat>
    <chartFormat chart="2" format="120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55"/>
          </reference>
        </references>
      </pivotArea>
    </chartFormat>
    <chartFormat chart="2" format="121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59"/>
          </reference>
        </references>
      </pivotArea>
    </chartFormat>
    <chartFormat chart="2" format="121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63"/>
          </reference>
        </references>
      </pivotArea>
    </chartFormat>
    <chartFormat chart="2" format="121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3"/>
          </reference>
          <reference field="17" count="1" selected="0">
            <x v="64"/>
          </reference>
        </references>
      </pivotArea>
    </chartFormat>
    <chartFormat chart="2" format="121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4"/>
          </reference>
          <reference field="17" count="1" selected="0">
            <x v="39"/>
          </reference>
        </references>
      </pivotArea>
    </chartFormat>
    <chartFormat chart="2" format="121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7"/>
          </reference>
        </references>
      </pivotArea>
    </chartFormat>
    <chartFormat chart="2" format="121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10"/>
          </reference>
        </references>
      </pivotArea>
    </chartFormat>
    <chartFormat chart="2" format="121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11"/>
          </reference>
        </references>
      </pivotArea>
    </chartFormat>
    <chartFormat chart="2" format="121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18"/>
          </reference>
        </references>
      </pivotArea>
    </chartFormat>
    <chartFormat chart="2" format="121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22"/>
          </reference>
        </references>
      </pivotArea>
    </chartFormat>
    <chartFormat chart="2" format="121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30"/>
          </reference>
        </references>
      </pivotArea>
    </chartFormat>
    <chartFormat chart="2" format="122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31"/>
          </reference>
        </references>
      </pivotArea>
    </chartFormat>
    <chartFormat chart="2" format="122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39"/>
          </reference>
        </references>
      </pivotArea>
    </chartFormat>
    <chartFormat chart="2" format="122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1"/>
          </reference>
        </references>
      </pivotArea>
    </chartFormat>
    <chartFormat chart="2" format="1223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7"/>
          </reference>
        </references>
      </pivotArea>
    </chartFormat>
    <chartFormat chart="2" format="1224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8"/>
          </reference>
        </references>
      </pivotArea>
    </chartFormat>
    <chartFormat chart="2" format="1225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49"/>
          </reference>
        </references>
      </pivotArea>
    </chartFormat>
    <chartFormat chart="2" format="1226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5"/>
          </reference>
          <reference field="17" count="1" selected="0">
            <x v="59"/>
          </reference>
        </references>
      </pivotArea>
    </chartFormat>
    <chartFormat chart="2" format="1227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6"/>
          </reference>
          <reference field="17" count="1" selected="0">
            <x v="58"/>
          </reference>
        </references>
      </pivotArea>
    </chartFormat>
    <chartFormat chart="2" format="1228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6"/>
          </reference>
          <reference field="17" count="1" selected="0">
            <x v="59"/>
          </reference>
        </references>
      </pivotArea>
    </chartFormat>
    <chartFormat chart="2" format="1229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6"/>
          </reference>
          <reference field="17" count="1" selected="0">
            <x v="60"/>
          </reference>
        </references>
      </pivotArea>
    </chartFormat>
    <chartFormat chart="2" format="1230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7"/>
          </reference>
          <reference field="17" count="1" selected="0">
            <x v="40"/>
          </reference>
        </references>
      </pivotArea>
    </chartFormat>
    <chartFormat chart="2" format="1231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8"/>
          </reference>
          <reference field="17" count="1" selected="0">
            <x v="47"/>
          </reference>
        </references>
      </pivotArea>
    </chartFormat>
    <chartFormat chart="2" format="1232">
      <pivotArea type="data" outline="0" fieldPosition="0">
        <references count="4">
          <reference field="4294967294" count="1" selected="0">
            <x v="0"/>
          </reference>
          <reference field="5" count="1" selected="0">
            <x v="0"/>
          </reference>
          <reference field="16" count="1" selected="0">
            <x v="18"/>
          </reference>
          <reference field="17" count="1" selected="0">
            <x v="49"/>
          </reference>
        </references>
      </pivotArea>
    </chartFormat>
    <chartFormat chart="2" format="12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23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0"/>
          </reference>
        </references>
      </pivotArea>
    </chartFormat>
    <chartFormat chart="2" format="123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"/>
          </reference>
        </references>
      </pivotArea>
    </chartFormat>
    <chartFormat chart="2" format="123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7"/>
          </reference>
        </references>
      </pivotArea>
    </chartFormat>
    <chartFormat chart="2" format="123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0"/>
          </reference>
        </references>
      </pivotArea>
    </chartFormat>
    <chartFormat chart="2" format="123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7"/>
          </reference>
        </references>
      </pivotArea>
    </chartFormat>
    <chartFormat chart="2" format="123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8"/>
          </reference>
        </references>
      </pivotArea>
    </chartFormat>
    <chartFormat chart="2" format="124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19"/>
          </reference>
        </references>
      </pivotArea>
    </chartFormat>
    <chartFormat chart="2" format="124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0"/>
          </reference>
        </references>
      </pivotArea>
    </chartFormat>
    <chartFormat chart="2" format="124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1"/>
          </reference>
        </references>
      </pivotArea>
    </chartFormat>
    <chartFormat chart="2" format="124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2"/>
          </reference>
        </references>
      </pivotArea>
    </chartFormat>
    <chartFormat chart="2" format="124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29"/>
          </reference>
        </references>
      </pivotArea>
    </chartFormat>
    <chartFormat chart="2" format="124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0"/>
          </reference>
        </references>
      </pivotArea>
    </chartFormat>
    <chartFormat chart="2" format="124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1"/>
          </reference>
        </references>
      </pivotArea>
    </chartFormat>
    <chartFormat chart="2" format="124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2"/>
          </reference>
        </references>
      </pivotArea>
    </chartFormat>
    <chartFormat chart="2" format="124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4"/>
          </reference>
        </references>
      </pivotArea>
    </chartFormat>
    <chartFormat chart="2" format="124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5"/>
          </reference>
        </references>
      </pivotArea>
    </chartFormat>
    <chartFormat chart="2" format="125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6"/>
          </reference>
        </references>
      </pivotArea>
    </chartFormat>
    <chartFormat chart="2" format="125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39"/>
          </reference>
        </references>
      </pivotArea>
    </chartFormat>
    <chartFormat chart="2" format="125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0"/>
          </reference>
        </references>
      </pivotArea>
    </chartFormat>
    <chartFormat chart="2" format="125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1"/>
          </reference>
        </references>
      </pivotArea>
    </chartFormat>
    <chartFormat chart="2" format="125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6"/>
          </reference>
        </references>
      </pivotArea>
    </chartFormat>
    <chartFormat chart="2" format="125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7"/>
          </reference>
        </references>
      </pivotArea>
    </chartFormat>
    <chartFormat chart="2" format="125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8"/>
          </reference>
        </references>
      </pivotArea>
    </chartFormat>
    <chartFormat chart="2" format="125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49"/>
          </reference>
        </references>
      </pivotArea>
    </chartFormat>
    <chartFormat chart="2" format="125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0"/>
          </reference>
        </references>
      </pivotArea>
    </chartFormat>
    <chartFormat chart="2" format="125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6"/>
          </reference>
        </references>
      </pivotArea>
    </chartFormat>
    <chartFormat chart="2" format="126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8"/>
          </reference>
        </references>
      </pivotArea>
    </chartFormat>
    <chartFormat chart="2" format="126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"/>
          </reference>
          <reference field="17" count="1" selected="0">
            <x v="59"/>
          </reference>
        </references>
      </pivotArea>
    </chartFormat>
    <chartFormat chart="2" format="126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0"/>
          </reference>
        </references>
      </pivotArea>
    </chartFormat>
    <chartFormat chart="2" format="126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"/>
          </reference>
        </references>
      </pivotArea>
    </chartFormat>
    <chartFormat chart="2" format="126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3"/>
          </reference>
        </references>
      </pivotArea>
    </chartFormat>
    <chartFormat chart="2" format="126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4"/>
          </reference>
        </references>
      </pivotArea>
    </chartFormat>
    <chartFormat chart="2" format="126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5"/>
          </reference>
        </references>
      </pivotArea>
    </chartFormat>
    <chartFormat chart="2" format="126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6"/>
          </reference>
        </references>
      </pivotArea>
    </chartFormat>
    <chartFormat chart="2" format="126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7"/>
          </reference>
        </references>
      </pivotArea>
    </chartFormat>
    <chartFormat chart="2" format="126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9"/>
          </reference>
        </references>
      </pivotArea>
    </chartFormat>
    <chartFormat chart="2" format="127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0"/>
          </reference>
        </references>
      </pivotArea>
    </chartFormat>
    <chartFormat chart="2" format="127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1"/>
          </reference>
        </references>
      </pivotArea>
    </chartFormat>
    <chartFormat chart="2" format="127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17"/>
          </reference>
        </references>
      </pivotArea>
    </chartFormat>
    <chartFormat chart="2" format="127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21"/>
          </reference>
        </references>
      </pivotArea>
    </chartFormat>
    <chartFormat chart="2" format="127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31"/>
          </reference>
        </references>
      </pivotArea>
    </chartFormat>
    <chartFormat chart="2" format="127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41"/>
          </reference>
        </references>
      </pivotArea>
    </chartFormat>
    <chartFormat chart="2" format="127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2"/>
          </reference>
          <reference field="17" count="1" selected="0">
            <x v="59"/>
          </reference>
        </references>
      </pivotArea>
    </chartFormat>
    <chartFormat chart="2" format="127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"/>
          </reference>
        </references>
      </pivotArea>
    </chartFormat>
    <chartFormat chart="2" format="127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"/>
          </reference>
        </references>
      </pivotArea>
    </chartFormat>
    <chartFormat chart="2" format="127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"/>
          </reference>
        </references>
      </pivotArea>
    </chartFormat>
    <chartFormat chart="2" format="128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"/>
          </reference>
        </references>
      </pivotArea>
    </chartFormat>
    <chartFormat chart="2" format="128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7"/>
          </reference>
        </references>
      </pivotArea>
    </chartFormat>
    <chartFormat chart="2" format="128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0"/>
          </reference>
        </references>
      </pivotArea>
    </chartFormat>
    <chartFormat chart="2" format="128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1"/>
          </reference>
        </references>
      </pivotArea>
    </chartFormat>
    <chartFormat chart="2" format="128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3"/>
          </reference>
        </references>
      </pivotArea>
    </chartFormat>
    <chartFormat chart="2" format="128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4"/>
          </reference>
        </references>
      </pivotArea>
    </chartFormat>
    <chartFormat chart="2" format="128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5"/>
          </reference>
        </references>
      </pivotArea>
    </chartFormat>
    <chartFormat chart="2" format="128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6"/>
          </reference>
        </references>
      </pivotArea>
    </chartFormat>
    <chartFormat chart="2" format="128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7"/>
          </reference>
        </references>
      </pivotArea>
    </chartFormat>
    <chartFormat chart="2" format="128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8"/>
          </reference>
        </references>
      </pivotArea>
    </chartFormat>
    <chartFormat chart="2" format="129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19"/>
          </reference>
        </references>
      </pivotArea>
    </chartFormat>
    <chartFormat chart="2" format="129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0"/>
          </reference>
        </references>
      </pivotArea>
    </chartFormat>
    <chartFormat chart="2" format="129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1"/>
          </reference>
        </references>
      </pivotArea>
    </chartFormat>
    <chartFormat chart="2" format="129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2"/>
          </reference>
        </references>
      </pivotArea>
    </chartFormat>
    <chartFormat chart="2" format="129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3"/>
          </reference>
        </references>
      </pivotArea>
    </chartFormat>
    <chartFormat chart="2" format="129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5"/>
          </reference>
        </references>
      </pivotArea>
    </chartFormat>
    <chartFormat chart="2" format="129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7"/>
          </reference>
        </references>
      </pivotArea>
    </chartFormat>
    <chartFormat chart="2" format="129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8"/>
          </reference>
        </references>
      </pivotArea>
    </chartFormat>
    <chartFormat chart="2" format="129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29"/>
          </reference>
        </references>
      </pivotArea>
    </chartFormat>
    <chartFormat chart="2" format="129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0"/>
          </reference>
        </references>
      </pivotArea>
    </chartFormat>
    <chartFormat chart="2" format="130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1"/>
          </reference>
        </references>
      </pivotArea>
    </chartFormat>
    <chartFormat chart="2" format="130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2"/>
          </reference>
        </references>
      </pivotArea>
    </chartFormat>
    <chartFormat chart="2" format="130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6"/>
          </reference>
        </references>
      </pivotArea>
    </chartFormat>
    <chartFormat chart="2" format="130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7"/>
          </reference>
        </references>
      </pivotArea>
    </chartFormat>
    <chartFormat chart="2" format="130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8"/>
          </reference>
        </references>
      </pivotArea>
    </chartFormat>
    <chartFormat chart="2" format="130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39"/>
          </reference>
        </references>
      </pivotArea>
    </chartFormat>
    <chartFormat chart="2" format="130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0"/>
          </reference>
        </references>
      </pivotArea>
    </chartFormat>
    <chartFormat chart="2" format="130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1"/>
          </reference>
        </references>
      </pivotArea>
    </chartFormat>
    <chartFormat chart="2" format="130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3"/>
          </reference>
        </references>
      </pivotArea>
    </chartFormat>
    <chartFormat chart="2" format="130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4"/>
          </reference>
        </references>
      </pivotArea>
    </chartFormat>
    <chartFormat chart="2" format="131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5"/>
          </reference>
        </references>
      </pivotArea>
    </chartFormat>
    <chartFormat chart="2" format="131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6"/>
          </reference>
        </references>
      </pivotArea>
    </chartFormat>
    <chartFormat chart="2" format="131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7"/>
          </reference>
        </references>
      </pivotArea>
    </chartFormat>
    <chartFormat chart="2" format="131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8"/>
          </reference>
        </references>
      </pivotArea>
    </chartFormat>
    <chartFormat chart="2" format="131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49"/>
          </reference>
        </references>
      </pivotArea>
    </chartFormat>
    <chartFormat chart="2" format="131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1"/>
          </reference>
        </references>
      </pivotArea>
    </chartFormat>
    <chartFormat chart="2" format="131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2"/>
          </reference>
        </references>
      </pivotArea>
    </chartFormat>
    <chartFormat chart="2" format="131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3"/>
          </reference>
        </references>
      </pivotArea>
    </chartFormat>
    <chartFormat chart="2" format="131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4"/>
          </reference>
        </references>
      </pivotArea>
    </chartFormat>
    <chartFormat chart="2" format="131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5"/>
          </reference>
        </references>
      </pivotArea>
    </chartFormat>
    <chartFormat chart="2" format="132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6"/>
          </reference>
        </references>
      </pivotArea>
    </chartFormat>
    <chartFormat chart="2" format="132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7"/>
          </reference>
        </references>
      </pivotArea>
    </chartFormat>
    <chartFormat chart="2" format="132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8"/>
          </reference>
        </references>
      </pivotArea>
    </chartFormat>
    <chartFormat chart="2" format="132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59"/>
          </reference>
        </references>
      </pivotArea>
    </chartFormat>
    <chartFormat chart="2" format="132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0"/>
          </reference>
        </references>
      </pivotArea>
    </chartFormat>
    <chartFormat chart="2" format="132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2"/>
          </reference>
        </references>
      </pivotArea>
    </chartFormat>
    <chartFormat chart="2" format="132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3"/>
          </reference>
        </references>
      </pivotArea>
    </chartFormat>
    <chartFormat chart="2" format="132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4"/>
          </reference>
        </references>
      </pivotArea>
    </chartFormat>
    <chartFormat chart="2" format="132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5"/>
          </reference>
        </references>
      </pivotArea>
    </chartFormat>
    <chartFormat chart="2" format="132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6"/>
          </reference>
        </references>
      </pivotArea>
    </chartFormat>
    <chartFormat chart="2" format="133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3"/>
          </reference>
          <reference field="17" count="1" selected="0">
            <x v="67"/>
          </reference>
        </references>
      </pivotArea>
    </chartFormat>
    <chartFormat chart="2" format="133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4"/>
          </reference>
          <reference field="17" count="1" selected="0">
            <x v="48"/>
          </reference>
        </references>
      </pivotArea>
    </chartFormat>
    <chartFormat chart="2" format="133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"/>
          </reference>
        </references>
      </pivotArea>
    </chartFormat>
    <chartFormat chart="2" format="133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"/>
          </reference>
        </references>
      </pivotArea>
    </chartFormat>
    <chartFormat chart="2" format="133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7"/>
          </reference>
        </references>
      </pivotArea>
    </chartFormat>
    <chartFormat chart="2" format="133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0"/>
          </reference>
        </references>
      </pivotArea>
    </chartFormat>
    <chartFormat chart="2" format="133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7"/>
          </reference>
        </references>
      </pivotArea>
    </chartFormat>
    <chartFormat chart="2" format="133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8"/>
          </reference>
        </references>
      </pivotArea>
    </chartFormat>
    <chartFormat chart="2" format="133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19"/>
          </reference>
        </references>
      </pivotArea>
    </chartFormat>
    <chartFormat chart="2" format="133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20"/>
          </reference>
        </references>
      </pivotArea>
    </chartFormat>
    <chartFormat chart="2" format="134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21"/>
          </reference>
        </references>
      </pivotArea>
    </chartFormat>
    <chartFormat chart="2" format="134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22"/>
          </reference>
        </references>
      </pivotArea>
    </chartFormat>
    <chartFormat chart="2" format="134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0"/>
          </reference>
        </references>
      </pivotArea>
    </chartFormat>
    <chartFormat chart="2" format="134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1"/>
          </reference>
        </references>
      </pivotArea>
    </chartFormat>
    <chartFormat chart="2" format="134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2"/>
          </reference>
        </references>
      </pivotArea>
    </chartFormat>
    <chartFormat chart="2" format="134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5"/>
          </reference>
        </references>
      </pivotArea>
    </chartFormat>
    <chartFormat chart="2" format="134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6"/>
          </reference>
        </references>
      </pivotArea>
    </chartFormat>
    <chartFormat chart="2" format="134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39"/>
          </reference>
        </references>
      </pivotArea>
    </chartFormat>
    <chartFormat chart="2" format="134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0"/>
          </reference>
        </references>
      </pivotArea>
    </chartFormat>
    <chartFormat chart="2" format="134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1"/>
          </reference>
        </references>
      </pivotArea>
    </chartFormat>
    <chartFormat chart="2" format="135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2"/>
          </reference>
        </references>
      </pivotArea>
    </chartFormat>
    <chartFormat chart="2" format="135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3"/>
          </reference>
        </references>
      </pivotArea>
    </chartFormat>
    <chartFormat chart="2" format="135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4"/>
          </reference>
        </references>
      </pivotArea>
    </chartFormat>
    <chartFormat chart="2" format="135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6"/>
          </reference>
        </references>
      </pivotArea>
    </chartFormat>
    <chartFormat chart="2" format="135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7"/>
          </reference>
        </references>
      </pivotArea>
    </chartFormat>
    <chartFormat chart="2" format="135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8"/>
          </reference>
        </references>
      </pivotArea>
    </chartFormat>
    <chartFormat chart="2" format="135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49"/>
          </reference>
        </references>
      </pivotArea>
    </chartFormat>
    <chartFormat chart="2" format="135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6"/>
          </reference>
        </references>
      </pivotArea>
    </chartFormat>
    <chartFormat chart="2" format="135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7"/>
          </reference>
        </references>
      </pivotArea>
    </chartFormat>
    <chartFormat chart="2" format="135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8"/>
          </reference>
        </references>
      </pivotArea>
    </chartFormat>
    <chartFormat chart="2" format="136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59"/>
          </reference>
        </references>
      </pivotArea>
    </chartFormat>
    <chartFormat chart="2" format="136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65"/>
          </reference>
        </references>
      </pivotArea>
    </chartFormat>
    <chartFormat chart="2" format="136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66"/>
          </reference>
        </references>
      </pivotArea>
    </chartFormat>
    <chartFormat chart="2" format="136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5"/>
          </reference>
          <reference field="17" count="1" selected="0">
            <x v="68"/>
          </reference>
        </references>
      </pivotArea>
    </chartFormat>
    <chartFormat chart="2" format="136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7"/>
          </reference>
        </references>
      </pivotArea>
    </chartFormat>
    <chartFormat chart="2" format="136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39"/>
          </reference>
        </references>
      </pivotArea>
    </chartFormat>
    <chartFormat chart="2" format="136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41"/>
          </reference>
        </references>
      </pivotArea>
    </chartFormat>
    <chartFormat chart="2" format="136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48"/>
          </reference>
        </references>
      </pivotArea>
    </chartFormat>
    <chartFormat chart="2" format="136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6"/>
          </reference>
          <reference field="17" count="1" selected="0">
            <x v="60"/>
          </reference>
        </references>
      </pivotArea>
    </chartFormat>
    <chartFormat chart="2" format="136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10"/>
          </reference>
        </references>
      </pivotArea>
    </chartFormat>
    <chartFormat chart="2" format="137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17"/>
          </reference>
        </references>
      </pivotArea>
    </chartFormat>
    <chartFormat chart="2" format="137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30"/>
          </reference>
        </references>
      </pivotArea>
    </chartFormat>
    <chartFormat chart="2" format="137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31"/>
          </reference>
        </references>
      </pivotArea>
    </chartFormat>
    <chartFormat chart="2" format="137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39"/>
          </reference>
        </references>
      </pivotArea>
    </chartFormat>
    <chartFormat chart="2" format="137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40"/>
          </reference>
        </references>
      </pivotArea>
    </chartFormat>
    <chartFormat chart="2" format="137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41"/>
          </reference>
        </references>
      </pivotArea>
    </chartFormat>
    <chartFormat chart="2" format="137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7"/>
          </reference>
          <reference field="17" count="1" selected="0">
            <x v="56"/>
          </reference>
        </references>
      </pivotArea>
    </chartFormat>
    <chartFormat chart="2" format="137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"/>
          </reference>
        </references>
      </pivotArea>
    </chartFormat>
    <chartFormat chart="2" format="137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"/>
          </reference>
        </references>
      </pivotArea>
    </chartFormat>
    <chartFormat chart="2" format="137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7"/>
          </reference>
        </references>
      </pivotArea>
    </chartFormat>
    <chartFormat chart="2" format="138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8"/>
          </reference>
        </references>
      </pivotArea>
    </chartFormat>
    <chartFormat chart="2" format="138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0"/>
          </reference>
        </references>
      </pivotArea>
    </chartFormat>
    <chartFormat chart="2" format="138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1"/>
          </reference>
        </references>
      </pivotArea>
    </chartFormat>
    <chartFormat chart="2" format="138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3"/>
          </reference>
        </references>
      </pivotArea>
    </chartFormat>
    <chartFormat chart="2" format="138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5"/>
          </reference>
        </references>
      </pivotArea>
    </chartFormat>
    <chartFormat chart="2" format="138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7"/>
          </reference>
        </references>
      </pivotArea>
    </chartFormat>
    <chartFormat chart="2" format="138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8"/>
          </reference>
        </references>
      </pivotArea>
    </chartFormat>
    <chartFormat chart="2" format="138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19"/>
          </reference>
        </references>
      </pivotArea>
    </chartFormat>
    <chartFormat chart="2" format="138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0"/>
          </reference>
        </references>
      </pivotArea>
    </chartFormat>
    <chartFormat chart="2" format="138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1"/>
          </reference>
        </references>
      </pivotArea>
    </chartFormat>
    <chartFormat chart="2" format="139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2"/>
          </reference>
        </references>
      </pivotArea>
    </chartFormat>
    <chartFormat chart="2" format="139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4"/>
          </reference>
        </references>
      </pivotArea>
    </chartFormat>
    <chartFormat chart="2" format="139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5"/>
          </reference>
        </references>
      </pivotArea>
    </chartFormat>
    <chartFormat chart="2" format="139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6"/>
          </reference>
        </references>
      </pivotArea>
    </chartFormat>
    <chartFormat chart="2" format="139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7"/>
          </reference>
        </references>
      </pivotArea>
    </chartFormat>
    <chartFormat chart="2" format="139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29"/>
          </reference>
        </references>
      </pivotArea>
    </chartFormat>
    <chartFormat chart="2" format="139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0"/>
          </reference>
        </references>
      </pivotArea>
    </chartFormat>
    <chartFormat chart="2" format="139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1"/>
          </reference>
        </references>
      </pivotArea>
    </chartFormat>
    <chartFormat chart="2" format="139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2"/>
          </reference>
        </references>
      </pivotArea>
    </chartFormat>
    <chartFormat chart="2" format="139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4"/>
          </reference>
        </references>
      </pivotArea>
    </chartFormat>
    <chartFormat chart="2" format="140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8"/>
          </reference>
        </references>
      </pivotArea>
    </chartFormat>
    <chartFormat chart="2" format="140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39"/>
          </reference>
        </references>
      </pivotArea>
    </chartFormat>
    <chartFormat chart="2" format="140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0"/>
          </reference>
        </references>
      </pivotArea>
    </chartFormat>
    <chartFormat chart="2" format="140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1"/>
          </reference>
        </references>
      </pivotArea>
    </chartFormat>
    <chartFormat chart="2" format="140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4"/>
          </reference>
        </references>
      </pivotArea>
    </chartFormat>
    <chartFormat chart="2" format="140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5"/>
          </reference>
        </references>
      </pivotArea>
    </chartFormat>
    <chartFormat chart="2" format="140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6"/>
          </reference>
        </references>
      </pivotArea>
    </chartFormat>
    <chartFormat chart="2" format="140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7"/>
          </reference>
        </references>
      </pivotArea>
    </chartFormat>
    <chartFormat chart="2" format="140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8"/>
          </reference>
        </references>
      </pivotArea>
    </chartFormat>
    <chartFormat chart="2" format="140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49"/>
          </reference>
        </references>
      </pivotArea>
    </chartFormat>
    <chartFormat chart="2" format="141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0"/>
          </reference>
        </references>
      </pivotArea>
    </chartFormat>
    <chartFormat chart="2" format="141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5"/>
          </reference>
        </references>
      </pivotArea>
    </chartFormat>
    <chartFormat chart="2" format="141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6"/>
          </reference>
        </references>
      </pivotArea>
    </chartFormat>
    <chartFormat chart="2" format="141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8"/>
          </reference>
        </references>
      </pivotArea>
    </chartFormat>
    <chartFormat chart="2" format="141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59"/>
          </reference>
        </references>
      </pivotArea>
    </chartFormat>
    <chartFormat chart="2" format="141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8"/>
          </reference>
          <reference field="17" count="1" selected="0">
            <x v="62"/>
          </reference>
        </references>
      </pivotArea>
    </chartFormat>
    <chartFormat chart="2" format="141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7"/>
          </reference>
        </references>
      </pivotArea>
    </chartFormat>
    <chartFormat chart="2" format="141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10"/>
          </reference>
        </references>
      </pivotArea>
    </chartFormat>
    <chartFormat chart="2" format="141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11"/>
          </reference>
        </references>
      </pivotArea>
    </chartFormat>
    <chartFormat chart="2" format="141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17"/>
          </reference>
        </references>
      </pivotArea>
    </chartFormat>
    <chartFormat chart="2" format="142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21"/>
          </reference>
        </references>
      </pivotArea>
    </chartFormat>
    <chartFormat chart="2" format="142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22"/>
          </reference>
        </references>
      </pivotArea>
    </chartFormat>
    <chartFormat chart="2" format="142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26"/>
          </reference>
        </references>
      </pivotArea>
    </chartFormat>
    <chartFormat chart="2" format="142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0"/>
          </reference>
        </references>
      </pivotArea>
    </chartFormat>
    <chartFormat chart="2" format="142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1"/>
          </reference>
        </references>
      </pivotArea>
    </chartFormat>
    <chartFormat chart="2" format="142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2"/>
          </reference>
        </references>
      </pivotArea>
    </chartFormat>
    <chartFormat chart="2" format="142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3"/>
          </reference>
        </references>
      </pivotArea>
    </chartFormat>
    <chartFormat chart="2" format="142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4"/>
          </reference>
        </references>
      </pivotArea>
    </chartFormat>
    <chartFormat chart="2" format="142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39"/>
          </reference>
        </references>
      </pivotArea>
    </chartFormat>
    <chartFormat chart="2" format="142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0"/>
          </reference>
        </references>
      </pivotArea>
    </chartFormat>
    <chartFormat chart="2" format="143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1"/>
          </reference>
        </references>
      </pivotArea>
    </chartFormat>
    <chartFormat chart="2" format="143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4"/>
          </reference>
        </references>
      </pivotArea>
    </chartFormat>
    <chartFormat chart="2" format="143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9"/>
          </reference>
          <reference field="17" count="1" selected="0">
            <x v="48"/>
          </reference>
        </references>
      </pivotArea>
    </chartFormat>
    <chartFormat chart="2" format="143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"/>
          </reference>
        </references>
      </pivotArea>
    </chartFormat>
    <chartFormat chart="2" format="143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"/>
          </reference>
        </references>
      </pivotArea>
    </chartFormat>
    <chartFormat chart="2" format="143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7"/>
          </reference>
        </references>
      </pivotArea>
    </chartFormat>
    <chartFormat chart="2" format="143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0"/>
          </reference>
        </references>
      </pivotArea>
    </chartFormat>
    <chartFormat chart="2" format="143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1"/>
          </reference>
        </references>
      </pivotArea>
    </chartFormat>
    <chartFormat chart="2" format="143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7"/>
          </reference>
        </references>
      </pivotArea>
    </chartFormat>
    <chartFormat chart="2" format="143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18"/>
          </reference>
        </references>
      </pivotArea>
    </chartFormat>
    <chartFormat chart="2" format="144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0"/>
          </reference>
        </references>
      </pivotArea>
    </chartFormat>
    <chartFormat chart="2" format="144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1"/>
          </reference>
        </references>
      </pivotArea>
    </chartFormat>
    <chartFormat chart="2" format="144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2"/>
          </reference>
        </references>
      </pivotArea>
    </chartFormat>
    <chartFormat chart="2" format="144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3"/>
          </reference>
        </references>
      </pivotArea>
    </chartFormat>
    <chartFormat chart="2" format="144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5"/>
          </reference>
        </references>
      </pivotArea>
    </chartFormat>
    <chartFormat chart="2" format="144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6"/>
          </reference>
        </references>
      </pivotArea>
    </chartFormat>
    <chartFormat chart="2" format="144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28"/>
          </reference>
        </references>
      </pivotArea>
    </chartFormat>
    <chartFormat chart="2" format="144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0"/>
          </reference>
        </references>
      </pivotArea>
    </chartFormat>
    <chartFormat chart="2" format="144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1"/>
          </reference>
        </references>
      </pivotArea>
    </chartFormat>
    <chartFormat chart="2" format="144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2"/>
          </reference>
        </references>
      </pivotArea>
    </chartFormat>
    <chartFormat chart="2" format="145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4"/>
          </reference>
        </references>
      </pivotArea>
    </chartFormat>
    <chartFormat chart="2" format="145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5"/>
          </reference>
        </references>
      </pivotArea>
    </chartFormat>
    <chartFormat chart="2" format="145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39"/>
          </reference>
        </references>
      </pivotArea>
    </chartFormat>
    <chartFormat chart="2" format="145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0"/>
          </reference>
        </references>
      </pivotArea>
    </chartFormat>
    <chartFormat chart="2" format="145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1"/>
          </reference>
        </references>
      </pivotArea>
    </chartFormat>
    <chartFormat chart="2" format="145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4"/>
          </reference>
        </references>
      </pivotArea>
    </chartFormat>
    <chartFormat chart="2" format="145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6"/>
          </reference>
        </references>
      </pivotArea>
    </chartFormat>
    <chartFormat chart="2" format="145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7"/>
          </reference>
        </references>
      </pivotArea>
    </chartFormat>
    <chartFormat chart="2" format="145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8"/>
          </reference>
        </references>
      </pivotArea>
    </chartFormat>
    <chartFormat chart="2" format="145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49"/>
          </reference>
        </references>
      </pivotArea>
    </chartFormat>
    <chartFormat chart="2" format="146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0"/>
          </reference>
        </references>
      </pivotArea>
    </chartFormat>
    <chartFormat chart="2" format="146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1"/>
          </reference>
        </references>
      </pivotArea>
    </chartFormat>
    <chartFormat chart="2" format="146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2"/>
          </reference>
        </references>
      </pivotArea>
    </chartFormat>
    <chartFormat chart="2" format="146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3"/>
          </reference>
        </references>
      </pivotArea>
    </chartFormat>
    <chartFormat chart="2" format="146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5"/>
          </reference>
        </references>
      </pivotArea>
    </chartFormat>
    <chartFormat chart="2" format="146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6"/>
          </reference>
        </references>
      </pivotArea>
    </chartFormat>
    <chartFormat chart="2" format="146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8"/>
          </reference>
        </references>
      </pivotArea>
    </chartFormat>
    <chartFormat chart="2" format="146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59"/>
          </reference>
        </references>
      </pivotArea>
    </chartFormat>
    <chartFormat chart="2" format="146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0"/>
          </reference>
        </references>
      </pivotArea>
    </chartFormat>
    <chartFormat chart="2" format="146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3"/>
          </reference>
        </references>
      </pivotArea>
    </chartFormat>
    <chartFormat chart="2" format="147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4"/>
          </reference>
        </references>
      </pivotArea>
    </chartFormat>
    <chartFormat chart="2" format="147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5"/>
          </reference>
        </references>
      </pivotArea>
    </chartFormat>
    <chartFormat chart="2" format="147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0"/>
          </reference>
          <reference field="17" count="1" selected="0">
            <x v="66"/>
          </reference>
        </references>
      </pivotArea>
    </chartFormat>
    <chartFormat chart="2" format="147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2"/>
          </reference>
        </references>
      </pivotArea>
    </chartFormat>
    <chartFormat chart="2" format="147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4"/>
          </reference>
        </references>
      </pivotArea>
    </chartFormat>
    <chartFormat chart="2" format="147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"/>
          </reference>
        </references>
      </pivotArea>
    </chartFormat>
    <chartFormat chart="2" format="147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7"/>
          </reference>
        </references>
      </pivotArea>
    </chartFormat>
    <chartFormat chart="2" format="147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10"/>
          </reference>
        </references>
      </pivotArea>
    </chartFormat>
    <chartFormat chart="2" format="147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17"/>
          </reference>
        </references>
      </pivotArea>
    </chartFormat>
    <chartFormat chart="2" format="147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41"/>
          </reference>
        </references>
      </pivotArea>
    </chartFormat>
    <chartFormat chart="2" format="148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48"/>
          </reference>
        </references>
      </pivotArea>
    </chartFormat>
    <chartFormat chart="2" format="148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2"/>
          </reference>
        </references>
      </pivotArea>
    </chartFormat>
    <chartFormat chart="2" format="148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6"/>
          </reference>
        </references>
      </pivotArea>
    </chartFormat>
    <chartFormat chart="2" format="148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59"/>
          </reference>
        </references>
      </pivotArea>
    </chartFormat>
    <chartFormat chart="2" format="148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61"/>
          </reference>
        </references>
      </pivotArea>
    </chartFormat>
    <chartFormat chart="2" format="148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1"/>
          </reference>
          <reference field="17" count="1" selected="0">
            <x v="63"/>
          </reference>
        </references>
      </pivotArea>
    </chartFormat>
    <chartFormat chart="2" format="148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2"/>
          </reference>
          <reference field="17" count="1" selected="0">
            <x v="11"/>
          </reference>
        </references>
      </pivotArea>
    </chartFormat>
    <chartFormat chart="2" format="148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"/>
          </reference>
        </references>
      </pivotArea>
    </chartFormat>
    <chartFormat chart="2" format="148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5"/>
          </reference>
        </references>
      </pivotArea>
    </chartFormat>
    <chartFormat chart="2" format="148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7"/>
          </reference>
        </references>
      </pivotArea>
    </chartFormat>
    <chartFormat chart="2" format="149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0"/>
          </reference>
        </references>
      </pivotArea>
    </chartFormat>
    <chartFormat chart="2" format="149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1"/>
          </reference>
        </references>
      </pivotArea>
    </chartFormat>
    <chartFormat chart="2" format="149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2"/>
          </reference>
        </references>
      </pivotArea>
    </chartFormat>
    <chartFormat chart="2" format="149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7"/>
          </reference>
        </references>
      </pivotArea>
    </chartFormat>
    <chartFormat chart="2" format="149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8"/>
          </reference>
        </references>
      </pivotArea>
    </chartFormat>
    <chartFormat chart="2" format="149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19"/>
          </reference>
        </references>
      </pivotArea>
    </chartFormat>
    <chartFormat chart="2" format="149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0"/>
          </reference>
        </references>
      </pivotArea>
    </chartFormat>
    <chartFormat chart="2" format="149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1"/>
          </reference>
        </references>
      </pivotArea>
    </chartFormat>
    <chartFormat chart="2" format="149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2"/>
          </reference>
        </references>
      </pivotArea>
    </chartFormat>
    <chartFormat chart="2" format="149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6"/>
          </reference>
        </references>
      </pivotArea>
    </chartFormat>
    <chartFormat chart="2" format="150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7"/>
          </reference>
        </references>
      </pivotArea>
    </chartFormat>
    <chartFormat chart="2" format="150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8"/>
          </reference>
        </references>
      </pivotArea>
    </chartFormat>
    <chartFormat chart="2" format="150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29"/>
          </reference>
        </references>
      </pivotArea>
    </chartFormat>
    <chartFormat chart="2" format="150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0"/>
          </reference>
        </references>
      </pivotArea>
    </chartFormat>
    <chartFormat chart="2" format="150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1"/>
          </reference>
        </references>
      </pivotArea>
    </chartFormat>
    <chartFormat chart="2" format="150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2"/>
          </reference>
        </references>
      </pivotArea>
    </chartFormat>
    <chartFormat chart="2" format="150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4"/>
          </reference>
        </references>
      </pivotArea>
    </chartFormat>
    <chartFormat chart="2" format="150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5"/>
          </reference>
        </references>
      </pivotArea>
    </chartFormat>
    <chartFormat chart="2" format="150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8"/>
          </reference>
        </references>
      </pivotArea>
    </chartFormat>
    <chartFormat chart="2" format="150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39"/>
          </reference>
        </references>
      </pivotArea>
    </chartFormat>
    <chartFormat chart="2" format="151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0"/>
          </reference>
        </references>
      </pivotArea>
    </chartFormat>
    <chartFormat chart="2" format="151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1"/>
          </reference>
        </references>
      </pivotArea>
    </chartFormat>
    <chartFormat chart="2" format="151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4"/>
          </reference>
        </references>
      </pivotArea>
    </chartFormat>
    <chartFormat chart="2" format="151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8"/>
          </reference>
        </references>
      </pivotArea>
    </chartFormat>
    <chartFormat chart="2" format="151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49"/>
          </reference>
        </references>
      </pivotArea>
    </chartFormat>
    <chartFormat chart="2" format="151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55"/>
          </reference>
        </references>
      </pivotArea>
    </chartFormat>
    <chartFormat chart="2" format="151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59"/>
          </reference>
        </references>
      </pivotArea>
    </chartFormat>
    <chartFormat chart="2" format="151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63"/>
          </reference>
        </references>
      </pivotArea>
    </chartFormat>
    <chartFormat chart="2" format="151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3"/>
          </reference>
          <reference field="17" count="1" selected="0">
            <x v="64"/>
          </reference>
        </references>
      </pivotArea>
    </chartFormat>
    <chartFormat chart="2" format="151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4"/>
          </reference>
          <reference field="17" count="1" selected="0">
            <x v="39"/>
          </reference>
        </references>
      </pivotArea>
    </chartFormat>
    <chartFormat chart="2" format="152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7"/>
          </reference>
        </references>
      </pivotArea>
    </chartFormat>
    <chartFormat chart="2" format="152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10"/>
          </reference>
        </references>
      </pivotArea>
    </chartFormat>
    <chartFormat chart="2" format="152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11"/>
          </reference>
        </references>
      </pivotArea>
    </chartFormat>
    <chartFormat chart="2" format="152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18"/>
          </reference>
        </references>
      </pivotArea>
    </chartFormat>
    <chartFormat chart="2" format="152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22"/>
          </reference>
        </references>
      </pivotArea>
    </chartFormat>
    <chartFormat chart="2" format="152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30"/>
          </reference>
        </references>
      </pivotArea>
    </chartFormat>
    <chartFormat chart="2" format="152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31"/>
          </reference>
        </references>
      </pivotArea>
    </chartFormat>
    <chartFormat chart="2" format="152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39"/>
          </reference>
        </references>
      </pivotArea>
    </chartFormat>
    <chartFormat chart="2" format="152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1"/>
          </reference>
        </references>
      </pivotArea>
    </chartFormat>
    <chartFormat chart="2" format="1529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7"/>
          </reference>
        </references>
      </pivotArea>
    </chartFormat>
    <chartFormat chart="2" format="1530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8"/>
          </reference>
        </references>
      </pivotArea>
    </chartFormat>
    <chartFormat chart="2" format="1531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49"/>
          </reference>
        </references>
      </pivotArea>
    </chartFormat>
    <chartFormat chart="2" format="1532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5"/>
          </reference>
          <reference field="17" count="1" selected="0">
            <x v="59"/>
          </reference>
        </references>
      </pivotArea>
    </chartFormat>
    <chartFormat chart="2" format="1533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6"/>
          </reference>
          <reference field="17" count="1" selected="0">
            <x v="58"/>
          </reference>
        </references>
      </pivotArea>
    </chartFormat>
    <chartFormat chart="2" format="1534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6"/>
          </reference>
          <reference field="17" count="1" selected="0">
            <x v="59"/>
          </reference>
        </references>
      </pivotArea>
    </chartFormat>
    <chartFormat chart="2" format="1535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6"/>
          </reference>
          <reference field="17" count="1" selected="0">
            <x v="60"/>
          </reference>
        </references>
      </pivotArea>
    </chartFormat>
    <chartFormat chart="2" format="1536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7"/>
          </reference>
          <reference field="17" count="1" selected="0">
            <x v="40"/>
          </reference>
        </references>
      </pivotArea>
    </chartFormat>
    <chartFormat chart="2" format="1537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8"/>
          </reference>
          <reference field="17" count="1" selected="0">
            <x v="47"/>
          </reference>
        </references>
      </pivotArea>
    </chartFormat>
    <chartFormat chart="2" format="1538">
      <pivotArea type="data" outline="0" fieldPosition="0">
        <references count="4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18"/>
          </reference>
          <reference field="17" count="1" selected="0">
            <x v="49"/>
          </reference>
        </references>
      </pivotArea>
    </chartFormat>
    <chartFormat chart="2" format="15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54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0"/>
          </reference>
        </references>
      </pivotArea>
    </chartFormat>
    <chartFormat chart="2" format="154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"/>
          </reference>
        </references>
      </pivotArea>
    </chartFormat>
    <chartFormat chart="2" format="154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7"/>
          </reference>
        </references>
      </pivotArea>
    </chartFormat>
    <chartFormat chart="2" format="154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0"/>
          </reference>
        </references>
      </pivotArea>
    </chartFormat>
    <chartFormat chart="2" format="154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7"/>
          </reference>
        </references>
      </pivotArea>
    </chartFormat>
    <chartFormat chart="2" format="154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8"/>
          </reference>
        </references>
      </pivotArea>
    </chartFormat>
    <chartFormat chart="2" format="154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19"/>
          </reference>
        </references>
      </pivotArea>
    </chartFormat>
    <chartFormat chart="2" format="154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0"/>
          </reference>
        </references>
      </pivotArea>
    </chartFormat>
    <chartFormat chart="2" format="154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1"/>
          </reference>
        </references>
      </pivotArea>
    </chartFormat>
    <chartFormat chart="2" format="154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2"/>
          </reference>
        </references>
      </pivotArea>
    </chartFormat>
    <chartFormat chart="2" format="155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29"/>
          </reference>
        </references>
      </pivotArea>
    </chartFormat>
    <chartFormat chart="2" format="155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0"/>
          </reference>
        </references>
      </pivotArea>
    </chartFormat>
    <chartFormat chart="2" format="155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1"/>
          </reference>
        </references>
      </pivotArea>
    </chartFormat>
    <chartFormat chart="2" format="155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2"/>
          </reference>
        </references>
      </pivotArea>
    </chartFormat>
    <chartFormat chart="2" format="155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4"/>
          </reference>
        </references>
      </pivotArea>
    </chartFormat>
    <chartFormat chart="2" format="155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5"/>
          </reference>
        </references>
      </pivotArea>
    </chartFormat>
    <chartFormat chart="2" format="155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6"/>
          </reference>
        </references>
      </pivotArea>
    </chartFormat>
    <chartFormat chart="2" format="155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39"/>
          </reference>
        </references>
      </pivotArea>
    </chartFormat>
    <chartFormat chart="2" format="155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0"/>
          </reference>
        </references>
      </pivotArea>
    </chartFormat>
    <chartFormat chart="2" format="155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1"/>
          </reference>
        </references>
      </pivotArea>
    </chartFormat>
    <chartFormat chart="2" format="156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6"/>
          </reference>
        </references>
      </pivotArea>
    </chartFormat>
    <chartFormat chart="2" format="156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7"/>
          </reference>
        </references>
      </pivotArea>
    </chartFormat>
    <chartFormat chart="2" format="156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8"/>
          </reference>
        </references>
      </pivotArea>
    </chartFormat>
    <chartFormat chart="2" format="156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49"/>
          </reference>
        </references>
      </pivotArea>
    </chartFormat>
    <chartFormat chart="2" format="156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0"/>
          </reference>
        </references>
      </pivotArea>
    </chartFormat>
    <chartFormat chart="2" format="156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6"/>
          </reference>
        </references>
      </pivotArea>
    </chartFormat>
    <chartFormat chart="2" format="156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8"/>
          </reference>
        </references>
      </pivotArea>
    </chartFormat>
    <chartFormat chart="2" format="156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  <reference field="17" count="1" selected="0">
            <x v="59"/>
          </reference>
        </references>
      </pivotArea>
    </chartFormat>
    <chartFormat chart="2" format="156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0"/>
          </reference>
        </references>
      </pivotArea>
    </chartFormat>
    <chartFormat chart="2" format="156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"/>
          </reference>
        </references>
      </pivotArea>
    </chartFormat>
    <chartFormat chart="2" format="157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3"/>
          </reference>
        </references>
      </pivotArea>
    </chartFormat>
    <chartFormat chart="2" format="157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4"/>
          </reference>
        </references>
      </pivotArea>
    </chartFormat>
    <chartFormat chart="2" format="157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5"/>
          </reference>
        </references>
      </pivotArea>
    </chartFormat>
    <chartFormat chart="2" format="157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6"/>
          </reference>
        </references>
      </pivotArea>
    </chartFormat>
    <chartFormat chart="2" format="157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7"/>
          </reference>
        </references>
      </pivotArea>
    </chartFormat>
    <chartFormat chart="2" format="157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9"/>
          </reference>
        </references>
      </pivotArea>
    </chartFormat>
    <chartFormat chart="2" format="157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0"/>
          </reference>
        </references>
      </pivotArea>
    </chartFormat>
    <chartFormat chart="2" format="157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1"/>
          </reference>
        </references>
      </pivotArea>
    </chartFormat>
    <chartFormat chart="2" format="157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17"/>
          </reference>
        </references>
      </pivotArea>
    </chartFormat>
    <chartFormat chart="2" format="157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21"/>
          </reference>
        </references>
      </pivotArea>
    </chartFormat>
    <chartFormat chart="2" format="158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31"/>
          </reference>
        </references>
      </pivotArea>
    </chartFormat>
    <chartFormat chart="2" format="158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41"/>
          </reference>
        </references>
      </pivotArea>
    </chartFormat>
    <chartFormat chart="2" format="158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2"/>
          </reference>
          <reference field="17" count="1" selected="0">
            <x v="59"/>
          </reference>
        </references>
      </pivotArea>
    </chartFormat>
    <chartFormat chart="2" format="158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"/>
          </reference>
        </references>
      </pivotArea>
    </chartFormat>
    <chartFormat chart="2" format="158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</references>
      </pivotArea>
    </chartFormat>
    <chartFormat chart="2" format="158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"/>
          </reference>
        </references>
      </pivotArea>
    </chartFormat>
    <chartFormat chart="2" format="158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"/>
          </reference>
        </references>
      </pivotArea>
    </chartFormat>
    <chartFormat chart="2" format="158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7"/>
          </reference>
        </references>
      </pivotArea>
    </chartFormat>
    <chartFormat chart="2" format="158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0"/>
          </reference>
        </references>
      </pivotArea>
    </chartFormat>
    <chartFormat chart="2" format="158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1"/>
          </reference>
        </references>
      </pivotArea>
    </chartFormat>
    <chartFormat chart="2" format="159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3"/>
          </reference>
        </references>
      </pivotArea>
    </chartFormat>
    <chartFormat chart="2" format="159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4"/>
          </reference>
        </references>
      </pivotArea>
    </chartFormat>
    <chartFormat chart="2" format="159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5"/>
          </reference>
        </references>
      </pivotArea>
    </chartFormat>
    <chartFormat chart="2" format="159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6"/>
          </reference>
        </references>
      </pivotArea>
    </chartFormat>
    <chartFormat chart="2" format="159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7"/>
          </reference>
        </references>
      </pivotArea>
    </chartFormat>
    <chartFormat chart="2" format="159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8"/>
          </reference>
        </references>
      </pivotArea>
    </chartFormat>
    <chartFormat chart="2" format="159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19"/>
          </reference>
        </references>
      </pivotArea>
    </chartFormat>
    <chartFormat chart="2" format="159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0"/>
          </reference>
        </references>
      </pivotArea>
    </chartFormat>
    <chartFormat chart="2" format="159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1"/>
          </reference>
        </references>
      </pivotArea>
    </chartFormat>
    <chartFormat chart="2" format="159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2"/>
          </reference>
        </references>
      </pivotArea>
    </chartFormat>
    <chartFormat chart="2" format="160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3"/>
          </reference>
        </references>
      </pivotArea>
    </chartFormat>
    <chartFormat chart="2" format="160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5"/>
          </reference>
        </references>
      </pivotArea>
    </chartFormat>
    <chartFormat chart="2" format="160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7"/>
          </reference>
        </references>
      </pivotArea>
    </chartFormat>
    <chartFormat chart="2" format="160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8"/>
          </reference>
        </references>
      </pivotArea>
    </chartFormat>
    <chartFormat chart="2" format="160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29"/>
          </reference>
        </references>
      </pivotArea>
    </chartFormat>
    <chartFormat chart="2" format="160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0"/>
          </reference>
        </references>
      </pivotArea>
    </chartFormat>
    <chartFormat chart="2" format="160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1"/>
          </reference>
        </references>
      </pivotArea>
    </chartFormat>
    <chartFormat chart="2" format="160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2"/>
          </reference>
        </references>
      </pivotArea>
    </chartFormat>
    <chartFormat chart="2" format="160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6"/>
          </reference>
        </references>
      </pivotArea>
    </chartFormat>
    <chartFormat chart="2" format="160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7"/>
          </reference>
        </references>
      </pivotArea>
    </chartFormat>
    <chartFormat chart="2" format="161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8"/>
          </reference>
        </references>
      </pivotArea>
    </chartFormat>
    <chartFormat chart="2" format="161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39"/>
          </reference>
        </references>
      </pivotArea>
    </chartFormat>
    <chartFormat chart="2" format="161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0"/>
          </reference>
        </references>
      </pivotArea>
    </chartFormat>
    <chartFormat chart="2" format="161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1"/>
          </reference>
        </references>
      </pivotArea>
    </chartFormat>
    <chartFormat chart="2" format="161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3"/>
          </reference>
        </references>
      </pivotArea>
    </chartFormat>
    <chartFormat chart="2" format="161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4"/>
          </reference>
        </references>
      </pivotArea>
    </chartFormat>
    <chartFormat chart="2" format="161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5"/>
          </reference>
        </references>
      </pivotArea>
    </chartFormat>
    <chartFormat chart="2" format="161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6"/>
          </reference>
        </references>
      </pivotArea>
    </chartFormat>
    <chartFormat chart="2" format="161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7"/>
          </reference>
        </references>
      </pivotArea>
    </chartFormat>
    <chartFormat chart="2" format="161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8"/>
          </reference>
        </references>
      </pivotArea>
    </chartFormat>
    <chartFormat chart="2" format="162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49"/>
          </reference>
        </references>
      </pivotArea>
    </chartFormat>
    <chartFormat chart="2" format="162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1"/>
          </reference>
        </references>
      </pivotArea>
    </chartFormat>
    <chartFormat chart="2" format="162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2"/>
          </reference>
        </references>
      </pivotArea>
    </chartFormat>
    <chartFormat chart="2" format="162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3"/>
          </reference>
        </references>
      </pivotArea>
    </chartFormat>
    <chartFormat chart="2" format="162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4"/>
          </reference>
        </references>
      </pivotArea>
    </chartFormat>
    <chartFormat chart="2" format="162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5"/>
          </reference>
        </references>
      </pivotArea>
    </chartFormat>
    <chartFormat chart="2" format="162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6"/>
          </reference>
        </references>
      </pivotArea>
    </chartFormat>
    <chartFormat chart="2" format="162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7"/>
          </reference>
        </references>
      </pivotArea>
    </chartFormat>
    <chartFormat chart="2" format="162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8"/>
          </reference>
        </references>
      </pivotArea>
    </chartFormat>
    <chartFormat chart="2" format="162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59"/>
          </reference>
        </references>
      </pivotArea>
    </chartFormat>
    <chartFormat chart="2" format="163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0"/>
          </reference>
        </references>
      </pivotArea>
    </chartFormat>
    <chartFormat chart="2" format="163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2"/>
          </reference>
        </references>
      </pivotArea>
    </chartFormat>
    <chartFormat chart="2" format="163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3"/>
          </reference>
        </references>
      </pivotArea>
    </chartFormat>
    <chartFormat chart="2" format="163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4"/>
          </reference>
        </references>
      </pivotArea>
    </chartFormat>
    <chartFormat chart="2" format="163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5"/>
          </reference>
        </references>
      </pivotArea>
    </chartFormat>
    <chartFormat chart="2" format="163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6"/>
          </reference>
        </references>
      </pivotArea>
    </chartFormat>
    <chartFormat chart="2" format="163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3"/>
          </reference>
          <reference field="17" count="1" selected="0">
            <x v="67"/>
          </reference>
        </references>
      </pivotArea>
    </chartFormat>
    <chartFormat chart="2" format="163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4"/>
          </reference>
          <reference field="17" count="1" selected="0">
            <x v="48"/>
          </reference>
        </references>
      </pivotArea>
    </chartFormat>
    <chartFormat chart="2" format="163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"/>
          </reference>
        </references>
      </pivotArea>
    </chartFormat>
    <chartFormat chart="2" format="163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"/>
          </reference>
        </references>
      </pivotArea>
    </chartFormat>
    <chartFormat chart="2" format="164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7"/>
          </reference>
        </references>
      </pivotArea>
    </chartFormat>
    <chartFormat chart="2" format="164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0"/>
          </reference>
        </references>
      </pivotArea>
    </chartFormat>
    <chartFormat chart="2" format="164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7"/>
          </reference>
        </references>
      </pivotArea>
    </chartFormat>
    <chartFormat chart="2" format="164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8"/>
          </reference>
        </references>
      </pivotArea>
    </chartFormat>
    <chartFormat chart="2" format="164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19"/>
          </reference>
        </references>
      </pivotArea>
    </chartFormat>
    <chartFormat chart="2" format="164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20"/>
          </reference>
        </references>
      </pivotArea>
    </chartFormat>
    <chartFormat chart="2" format="164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21"/>
          </reference>
        </references>
      </pivotArea>
    </chartFormat>
    <chartFormat chart="2" format="164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22"/>
          </reference>
        </references>
      </pivotArea>
    </chartFormat>
    <chartFormat chart="2" format="164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0"/>
          </reference>
        </references>
      </pivotArea>
    </chartFormat>
    <chartFormat chart="2" format="164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1"/>
          </reference>
        </references>
      </pivotArea>
    </chartFormat>
    <chartFormat chart="2" format="165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2"/>
          </reference>
        </references>
      </pivotArea>
    </chartFormat>
    <chartFormat chart="2" format="165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5"/>
          </reference>
        </references>
      </pivotArea>
    </chartFormat>
    <chartFormat chart="2" format="165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6"/>
          </reference>
        </references>
      </pivotArea>
    </chartFormat>
    <chartFormat chart="2" format="165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39"/>
          </reference>
        </references>
      </pivotArea>
    </chartFormat>
    <chartFormat chart="2" format="165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0"/>
          </reference>
        </references>
      </pivotArea>
    </chartFormat>
    <chartFormat chart="2" format="165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1"/>
          </reference>
        </references>
      </pivotArea>
    </chartFormat>
    <chartFormat chart="2" format="165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2"/>
          </reference>
        </references>
      </pivotArea>
    </chartFormat>
    <chartFormat chart="2" format="165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3"/>
          </reference>
        </references>
      </pivotArea>
    </chartFormat>
    <chartFormat chart="2" format="165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4"/>
          </reference>
        </references>
      </pivotArea>
    </chartFormat>
    <chartFormat chart="2" format="165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6"/>
          </reference>
        </references>
      </pivotArea>
    </chartFormat>
    <chartFormat chart="2" format="166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7"/>
          </reference>
        </references>
      </pivotArea>
    </chartFormat>
    <chartFormat chart="2" format="166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8"/>
          </reference>
        </references>
      </pivotArea>
    </chartFormat>
    <chartFormat chart="2" format="166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49"/>
          </reference>
        </references>
      </pivotArea>
    </chartFormat>
    <chartFormat chart="2" format="166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6"/>
          </reference>
        </references>
      </pivotArea>
    </chartFormat>
    <chartFormat chart="2" format="166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7"/>
          </reference>
        </references>
      </pivotArea>
    </chartFormat>
    <chartFormat chart="2" format="166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8"/>
          </reference>
        </references>
      </pivotArea>
    </chartFormat>
    <chartFormat chart="2" format="166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59"/>
          </reference>
        </references>
      </pivotArea>
    </chartFormat>
    <chartFormat chart="2" format="166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65"/>
          </reference>
        </references>
      </pivotArea>
    </chartFormat>
    <chartFormat chart="2" format="166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66"/>
          </reference>
        </references>
      </pivotArea>
    </chartFormat>
    <chartFormat chart="2" format="166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5"/>
          </reference>
          <reference field="17" count="1" selected="0">
            <x v="68"/>
          </reference>
        </references>
      </pivotArea>
    </chartFormat>
    <chartFormat chart="2" format="167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7"/>
          </reference>
        </references>
      </pivotArea>
    </chartFormat>
    <chartFormat chart="2" format="167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39"/>
          </reference>
        </references>
      </pivotArea>
    </chartFormat>
    <chartFormat chart="2" format="167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41"/>
          </reference>
        </references>
      </pivotArea>
    </chartFormat>
    <chartFormat chart="2" format="167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48"/>
          </reference>
        </references>
      </pivotArea>
    </chartFormat>
    <chartFormat chart="2" format="167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6"/>
          </reference>
          <reference field="17" count="1" selected="0">
            <x v="60"/>
          </reference>
        </references>
      </pivotArea>
    </chartFormat>
    <chartFormat chart="2" format="167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10"/>
          </reference>
        </references>
      </pivotArea>
    </chartFormat>
    <chartFormat chart="2" format="167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17"/>
          </reference>
        </references>
      </pivotArea>
    </chartFormat>
    <chartFormat chart="2" format="167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30"/>
          </reference>
        </references>
      </pivotArea>
    </chartFormat>
    <chartFormat chart="2" format="167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31"/>
          </reference>
        </references>
      </pivotArea>
    </chartFormat>
    <chartFormat chart="2" format="167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39"/>
          </reference>
        </references>
      </pivotArea>
    </chartFormat>
    <chartFormat chart="2" format="168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40"/>
          </reference>
        </references>
      </pivotArea>
    </chartFormat>
    <chartFormat chart="2" format="168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41"/>
          </reference>
        </references>
      </pivotArea>
    </chartFormat>
    <chartFormat chart="2" format="168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7"/>
          </reference>
          <reference field="17" count="1" selected="0">
            <x v="56"/>
          </reference>
        </references>
      </pivotArea>
    </chartFormat>
    <chartFormat chart="2" format="168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"/>
          </reference>
        </references>
      </pivotArea>
    </chartFormat>
    <chartFormat chart="2" format="168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"/>
          </reference>
        </references>
      </pivotArea>
    </chartFormat>
    <chartFormat chart="2" format="168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7"/>
          </reference>
        </references>
      </pivotArea>
    </chartFormat>
    <chartFormat chart="2" format="168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8"/>
          </reference>
        </references>
      </pivotArea>
    </chartFormat>
    <chartFormat chart="2" format="168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0"/>
          </reference>
        </references>
      </pivotArea>
    </chartFormat>
    <chartFormat chart="2" format="168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1"/>
          </reference>
        </references>
      </pivotArea>
    </chartFormat>
    <chartFormat chart="2" format="168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3"/>
          </reference>
        </references>
      </pivotArea>
    </chartFormat>
    <chartFormat chart="2" format="169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5"/>
          </reference>
        </references>
      </pivotArea>
    </chartFormat>
    <chartFormat chart="2" format="169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7"/>
          </reference>
        </references>
      </pivotArea>
    </chartFormat>
    <chartFormat chart="2" format="169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8"/>
          </reference>
        </references>
      </pivotArea>
    </chartFormat>
    <chartFormat chart="2" format="169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19"/>
          </reference>
        </references>
      </pivotArea>
    </chartFormat>
    <chartFormat chart="2" format="169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0"/>
          </reference>
        </references>
      </pivotArea>
    </chartFormat>
    <chartFormat chart="2" format="169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1"/>
          </reference>
        </references>
      </pivotArea>
    </chartFormat>
    <chartFormat chart="2" format="169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2"/>
          </reference>
        </references>
      </pivotArea>
    </chartFormat>
    <chartFormat chart="2" format="169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4"/>
          </reference>
        </references>
      </pivotArea>
    </chartFormat>
    <chartFormat chart="2" format="169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5"/>
          </reference>
        </references>
      </pivotArea>
    </chartFormat>
    <chartFormat chart="2" format="169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6"/>
          </reference>
        </references>
      </pivotArea>
    </chartFormat>
    <chartFormat chart="2" format="170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7"/>
          </reference>
        </references>
      </pivotArea>
    </chartFormat>
    <chartFormat chart="2" format="170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29"/>
          </reference>
        </references>
      </pivotArea>
    </chartFormat>
    <chartFormat chart="2" format="170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0"/>
          </reference>
        </references>
      </pivotArea>
    </chartFormat>
    <chartFormat chart="2" format="170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1"/>
          </reference>
        </references>
      </pivotArea>
    </chartFormat>
    <chartFormat chart="2" format="170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2"/>
          </reference>
        </references>
      </pivotArea>
    </chartFormat>
    <chartFormat chart="2" format="170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4"/>
          </reference>
        </references>
      </pivotArea>
    </chartFormat>
    <chartFormat chart="2" format="170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8"/>
          </reference>
        </references>
      </pivotArea>
    </chartFormat>
    <chartFormat chart="2" format="170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39"/>
          </reference>
        </references>
      </pivotArea>
    </chartFormat>
    <chartFormat chart="2" format="170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0"/>
          </reference>
        </references>
      </pivotArea>
    </chartFormat>
    <chartFormat chart="2" format="170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1"/>
          </reference>
        </references>
      </pivotArea>
    </chartFormat>
    <chartFormat chart="2" format="171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4"/>
          </reference>
        </references>
      </pivotArea>
    </chartFormat>
    <chartFormat chart="2" format="171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5"/>
          </reference>
        </references>
      </pivotArea>
    </chartFormat>
    <chartFormat chart="2" format="171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6"/>
          </reference>
        </references>
      </pivotArea>
    </chartFormat>
    <chartFormat chart="2" format="171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7"/>
          </reference>
        </references>
      </pivotArea>
    </chartFormat>
    <chartFormat chart="2" format="171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8"/>
          </reference>
        </references>
      </pivotArea>
    </chartFormat>
    <chartFormat chart="2" format="171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49"/>
          </reference>
        </references>
      </pivotArea>
    </chartFormat>
    <chartFormat chart="2" format="171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0"/>
          </reference>
        </references>
      </pivotArea>
    </chartFormat>
    <chartFormat chart="2" format="171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5"/>
          </reference>
        </references>
      </pivotArea>
    </chartFormat>
    <chartFormat chart="2" format="171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6"/>
          </reference>
        </references>
      </pivotArea>
    </chartFormat>
    <chartFormat chart="2" format="171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8"/>
          </reference>
        </references>
      </pivotArea>
    </chartFormat>
    <chartFormat chart="2" format="172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59"/>
          </reference>
        </references>
      </pivotArea>
    </chartFormat>
    <chartFormat chart="2" format="172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8"/>
          </reference>
          <reference field="17" count="1" selected="0">
            <x v="62"/>
          </reference>
        </references>
      </pivotArea>
    </chartFormat>
    <chartFormat chart="2" format="172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7"/>
          </reference>
        </references>
      </pivotArea>
    </chartFormat>
    <chartFormat chart="2" format="172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10"/>
          </reference>
        </references>
      </pivotArea>
    </chartFormat>
    <chartFormat chart="2" format="172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11"/>
          </reference>
        </references>
      </pivotArea>
    </chartFormat>
    <chartFormat chart="2" format="172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17"/>
          </reference>
        </references>
      </pivotArea>
    </chartFormat>
    <chartFormat chart="2" format="172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21"/>
          </reference>
        </references>
      </pivotArea>
    </chartFormat>
    <chartFormat chart="2" format="172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22"/>
          </reference>
        </references>
      </pivotArea>
    </chartFormat>
    <chartFormat chart="2" format="172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26"/>
          </reference>
        </references>
      </pivotArea>
    </chartFormat>
    <chartFormat chart="2" format="172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0"/>
          </reference>
        </references>
      </pivotArea>
    </chartFormat>
    <chartFormat chart="2" format="173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1"/>
          </reference>
        </references>
      </pivotArea>
    </chartFormat>
    <chartFormat chart="2" format="173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2"/>
          </reference>
        </references>
      </pivotArea>
    </chartFormat>
    <chartFormat chart="2" format="173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3"/>
          </reference>
        </references>
      </pivotArea>
    </chartFormat>
    <chartFormat chart="2" format="173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4"/>
          </reference>
        </references>
      </pivotArea>
    </chartFormat>
    <chartFormat chart="2" format="173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39"/>
          </reference>
        </references>
      </pivotArea>
    </chartFormat>
    <chartFormat chart="2" format="173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0"/>
          </reference>
        </references>
      </pivotArea>
    </chartFormat>
    <chartFormat chart="2" format="173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1"/>
          </reference>
        </references>
      </pivotArea>
    </chartFormat>
    <chartFormat chart="2" format="173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4"/>
          </reference>
        </references>
      </pivotArea>
    </chartFormat>
    <chartFormat chart="2" format="173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9"/>
          </reference>
          <reference field="17" count="1" selected="0">
            <x v="48"/>
          </reference>
        </references>
      </pivotArea>
    </chartFormat>
    <chartFormat chart="2" format="173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"/>
          </reference>
        </references>
      </pivotArea>
    </chartFormat>
    <chartFormat chart="2" format="174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"/>
          </reference>
        </references>
      </pivotArea>
    </chartFormat>
    <chartFormat chart="2" format="174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7"/>
          </reference>
        </references>
      </pivotArea>
    </chartFormat>
    <chartFormat chart="2" format="174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0"/>
          </reference>
        </references>
      </pivotArea>
    </chartFormat>
    <chartFormat chart="2" format="174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1"/>
          </reference>
        </references>
      </pivotArea>
    </chartFormat>
    <chartFormat chart="2" format="174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7"/>
          </reference>
        </references>
      </pivotArea>
    </chartFormat>
    <chartFormat chart="2" format="174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18"/>
          </reference>
        </references>
      </pivotArea>
    </chartFormat>
    <chartFormat chart="2" format="174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0"/>
          </reference>
        </references>
      </pivotArea>
    </chartFormat>
    <chartFormat chart="2" format="174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1"/>
          </reference>
        </references>
      </pivotArea>
    </chartFormat>
    <chartFormat chart="2" format="174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2"/>
          </reference>
        </references>
      </pivotArea>
    </chartFormat>
    <chartFormat chart="2" format="174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3"/>
          </reference>
        </references>
      </pivotArea>
    </chartFormat>
    <chartFormat chart="2" format="175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5"/>
          </reference>
        </references>
      </pivotArea>
    </chartFormat>
    <chartFormat chart="2" format="175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6"/>
          </reference>
        </references>
      </pivotArea>
    </chartFormat>
    <chartFormat chart="2" format="175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28"/>
          </reference>
        </references>
      </pivotArea>
    </chartFormat>
    <chartFormat chart="2" format="175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0"/>
          </reference>
        </references>
      </pivotArea>
    </chartFormat>
    <chartFormat chart="2" format="175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1"/>
          </reference>
        </references>
      </pivotArea>
    </chartFormat>
    <chartFormat chart="2" format="175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2"/>
          </reference>
        </references>
      </pivotArea>
    </chartFormat>
    <chartFormat chart="2" format="175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4"/>
          </reference>
        </references>
      </pivotArea>
    </chartFormat>
    <chartFormat chart="2" format="175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5"/>
          </reference>
        </references>
      </pivotArea>
    </chartFormat>
    <chartFormat chart="2" format="175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39"/>
          </reference>
        </references>
      </pivotArea>
    </chartFormat>
    <chartFormat chart="2" format="175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0"/>
          </reference>
        </references>
      </pivotArea>
    </chartFormat>
    <chartFormat chart="2" format="176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1"/>
          </reference>
        </references>
      </pivotArea>
    </chartFormat>
    <chartFormat chart="2" format="176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4"/>
          </reference>
        </references>
      </pivotArea>
    </chartFormat>
    <chartFormat chart="2" format="176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6"/>
          </reference>
        </references>
      </pivotArea>
    </chartFormat>
    <chartFormat chart="2" format="176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7"/>
          </reference>
        </references>
      </pivotArea>
    </chartFormat>
    <chartFormat chart="2" format="176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8"/>
          </reference>
        </references>
      </pivotArea>
    </chartFormat>
    <chartFormat chart="2" format="176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49"/>
          </reference>
        </references>
      </pivotArea>
    </chartFormat>
    <chartFormat chart="2" format="176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0"/>
          </reference>
        </references>
      </pivotArea>
    </chartFormat>
    <chartFormat chart="2" format="176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1"/>
          </reference>
        </references>
      </pivotArea>
    </chartFormat>
    <chartFormat chart="2" format="176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2"/>
          </reference>
        </references>
      </pivotArea>
    </chartFormat>
    <chartFormat chart="2" format="176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3"/>
          </reference>
        </references>
      </pivotArea>
    </chartFormat>
    <chartFormat chart="2" format="177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5"/>
          </reference>
        </references>
      </pivotArea>
    </chartFormat>
    <chartFormat chart="2" format="177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6"/>
          </reference>
        </references>
      </pivotArea>
    </chartFormat>
    <chartFormat chart="2" format="177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8"/>
          </reference>
        </references>
      </pivotArea>
    </chartFormat>
    <chartFormat chart="2" format="177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59"/>
          </reference>
        </references>
      </pivotArea>
    </chartFormat>
    <chartFormat chart="2" format="177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0"/>
          </reference>
        </references>
      </pivotArea>
    </chartFormat>
    <chartFormat chart="2" format="177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3"/>
          </reference>
        </references>
      </pivotArea>
    </chartFormat>
    <chartFormat chart="2" format="177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4"/>
          </reference>
        </references>
      </pivotArea>
    </chartFormat>
    <chartFormat chart="2" format="177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5"/>
          </reference>
        </references>
      </pivotArea>
    </chartFormat>
    <chartFormat chart="2" format="177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0"/>
          </reference>
          <reference field="17" count="1" selected="0">
            <x v="66"/>
          </reference>
        </references>
      </pivotArea>
    </chartFormat>
    <chartFormat chart="2" format="177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2"/>
          </reference>
        </references>
      </pivotArea>
    </chartFormat>
    <chartFormat chart="2" format="178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4"/>
          </reference>
        </references>
      </pivotArea>
    </chartFormat>
    <chartFormat chart="2" format="178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"/>
          </reference>
        </references>
      </pivotArea>
    </chartFormat>
    <chartFormat chart="2" format="178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7"/>
          </reference>
        </references>
      </pivotArea>
    </chartFormat>
    <chartFormat chart="2" format="178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10"/>
          </reference>
        </references>
      </pivotArea>
    </chartFormat>
    <chartFormat chart="2" format="178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17"/>
          </reference>
        </references>
      </pivotArea>
    </chartFormat>
    <chartFormat chart="2" format="178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41"/>
          </reference>
        </references>
      </pivotArea>
    </chartFormat>
    <chartFormat chart="2" format="178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48"/>
          </reference>
        </references>
      </pivotArea>
    </chartFormat>
    <chartFormat chart="2" format="178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2"/>
          </reference>
        </references>
      </pivotArea>
    </chartFormat>
    <chartFormat chart="2" format="178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6"/>
          </reference>
        </references>
      </pivotArea>
    </chartFormat>
    <chartFormat chart="2" format="178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59"/>
          </reference>
        </references>
      </pivotArea>
    </chartFormat>
    <chartFormat chart="2" format="179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61"/>
          </reference>
        </references>
      </pivotArea>
    </chartFormat>
    <chartFormat chart="2" format="179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1"/>
          </reference>
          <reference field="17" count="1" selected="0">
            <x v="63"/>
          </reference>
        </references>
      </pivotArea>
    </chartFormat>
    <chartFormat chart="2" format="179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2"/>
          </reference>
          <reference field="17" count="1" selected="0">
            <x v="11"/>
          </reference>
        </references>
      </pivotArea>
    </chartFormat>
    <chartFormat chart="2" format="179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"/>
          </reference>
        </references>
      </pivotArea>
    </chartFormat>
    <chartFormat chart="2" format="179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5"/>
          </reference>
        </references>
      </pivotArea>
    </chartFormat>
    <chartFormat chart="2" format="179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7"/>
          </reference>
        </references>
      </pivotArea>
    </chartFormat>
    <chartFormat chart="2" format="179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0"/>
          </reference>
        </references>
      </pivotArea>
    </chartFormat>
    <chartFormat chart="2" format="179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1"/>
          </reference>
        </references>
      </pivotArea>
    </chartFormat>
    <chartFormat chart="2" format="179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2"/>
          </reference>
        </references>
      </pivotArea>
    </chartFormat>
    <chartFormat chart="2" format="179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7"/>
          </reference>
        </references>
      </pivotArea>
    </chartFormat>
    <chartFormat chart="2" format="180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8"/>
          </reference>
        </references>
      </pivotArea>
    </chartFormat>
    <chartFormat chart="2" format="180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19"/>
          </reference>
        </references>
      </pivotArea>
    </chartFormat>
    <chartFormat chart="2" format="180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0"/>
          </reference>
        </references>
      </pivotArea>
    </chartFormat>
    <chartFormat chart="2" format="180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1"/>
          </reference>
        </references>
      </pivotArea>
    </chartFormat>
    <chartFormat chart="2" format="180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2"/>
          </reference>
        </references>
      </pivotArea>
    </chartFormat>
    <chartFormat chart="2" format="180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6"/>
          </reference>
        </references>
      </pivotArea>
    </chartFormat>
    <chartFormat chart="2" format="180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7"/>
          </reference>
        </references>
      </pivotArea>
    </chartFormat>
    <chartFormat chart="2" format="180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8"/>
          </reference>
        </references>
      </pivotArea>
    </chartFormat>
    <chartFormat chart="2" format="180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29"/>
          </reference>
        </references>
      </pivotArea>
    </chartFormat>
    <chartFormat chart="2" format="180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0"/>
          </reference>
        </references>
      </pivotArea>
    </chartFormat>
    <chartFormat chart="2" format="181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1"/>
          </reference>
        </references>
      </pivotArea>
    </chartFormat>
    <chartFormat chart="2" format="181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2"/>
          </reference>
        </references>
      </pivotArea>
    </chartFormat>
    <chartFormat chart="2" format="181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4"/>
          </reference>
        </references>
      </pivotArea>
    </chartFormat>
    <chartFormat chart="2" format="181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5"/>
          </reference>
        </references>
      </pivotArea>
    </chartFormat>
    <chartFormat chart="2" format="181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8"/>
          </reference>
        </references>
      </pivotArea>
    </chartFormat>
    <chartFormat chart="2" format="181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39"/>
          </reference>
        </references>
      </pivotArea>
    </chartFormat>
    <chartFormat chart="2" format="181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0"/>
          </reference>
        </references>
      </pivotArea>
    </chartFormat>
    <chartFormat chart="2" format="181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1"/>
          </reference>
        </references>
      </pivotArea>
    </chartFormat>
    <chartFormat chart="2" format="181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4"/>
          </reference>
        </references>
      </pivotArea>
    </chartFormat>
    <chartFormat chart="2" format="181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8"/>
          </reference>
        </references>
      </pivotArea>
    </chartFormat>
    <chartFormat chart="2" format="182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49"/>
          </reference>
        </references>
      </pivotArea>
    </chartFormat>
    <chartFormat chart="2" format="182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55"/>
          </reference>
        </references>
      </pivotArea>
    </chartFormat>
    <chartFormat chart="2" format="182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59"/>
          </reference>
        </references>
      </pivotArea>
    </chartFormat>
    <chartFormat chart="2" format="182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63"/>
          </reference>
        </references>
      </pivotArea>
    </chartFormat>
    <chartFormat chart="2" format="182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3"/>
          </reference>
          <reference field="17" count="1" selected="0">
            <x v="64"/>
          </reference>
        </references>
      </pivotArea>
    </chartFormat>
    <chartFormat chart="2" format="182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4"/>
          </reference>
          <reference field="17" count="1" selected="0">
            <x v="39"/>
          </reference>
        </references>
      </pivotArea>
    </chartFormat>
    <chartFormat chart="2" format="182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7"/>
          </reference>
        </references>
      </pivotArea>
    </chartFormat>
    <chartFormat chart="2" format="182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10"/>
          </reference>
        </references>
      </pivotArea>
    </chartFormat>
    <chartFormat chart="2" format="182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11"/>
          </reference>
        </references>
      </pivotArea>
    </chartFormat>
    <chartFormat chart="2" format="182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18"/>
          </reference>
        </references>
      </pivotArea>
    </chartFormat>
    <chartFormat chart="2" format="183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22"/>
          </reference>
        </references>
      </pivotArea>
    </chartFormat>
    <chartFormat chart="2" format="183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30"/>
          </reference>
        </references>
      </pivotArea>
    </chartFormat>
    <chartFormat chart="2" format="183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31"/>
          </reference>
        </references>
      </pivotArea>
    </chartFormat>
    <chartFormat chart="2" format="183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39"/>
          </reference>
        </references>
      </pivotArea>
    </chartFormat>
    <chartFormat chart="2" format="183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1"/>
          </reference>
        </references>
      </pivotArea>
    </chartFormat>
    <chartFormat chart="2" format="1835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7"/>
          </reference>
        </references>
      </pivotArea>
    </chartFormat>
    <chartFormat chart="2" format="1836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8"/>
          </reference>
        </references>
      </pivotArea>
    </chartFormat>
    <chartFormat chart="2" format="1837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49"/>
          </reference>
        </references>
      </pivotArea>
    </chartFormat>
    <chartFormat chart="2" format="1838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5"/>
          </reference>
          <reference field="17" count="1" selected="0">
            <x v="59"/>
          </reference>
        </references>
      </pivotArea>
    </chartFormat>
    <chartFormat chart="2" format="1839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6"/>
          </reference>
          <reference field="17" count="1" selected="0">
            <x v="58"/>
          </reference>
        </references>
      </pivotArea>
    </chartFormat>
    <chartFormat chart="2" format="1840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6"/>
          </reference>
          <reference field="17" count="1" selected="0">
            <x v="59"/>
          </reference>
        </references>
      </pivotArea>
    </chartFormat>
    <chartFormat chart="2" format="1841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6"/>
          </reference>
          <reference field="17" count="1" selected="0">
            <x v="60"/>
          </reference>
        </references>
      </pivotArea>
    </chartFormat>
    <chartFormat chart="2" format="1842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7"/>
          </reference>
          <reference field="17" count="1" selected="0">
            <x v="40"/>
          </reference>
        </references>
      </pivotArea>
    </chartFormat>
    <chartFormat chart="2" format="1843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8"/>
          </reference>
          <reference field="17" count="1" selected="0">
            <x v="47"/>
          </reference>
        </references>
      </pivotArea>
    </chartFormat>
    <chartFormat chart="2" format="1844">
      <pivotArea type="data" outline="0" fieldPosition="0">
        <references count="4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8"/>
          </reference>
          <reference field="17" count="1" selected="0">
            <x v="4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0B4F-4891-4BE4-BB2C-9F9BCB341DC2}">
  <dimension ref="A1:Y1681"/>
  <sheetViews>
    <sheetView tabSelected="1" topLeftCell="B1" workbookViewId="0">
      <selection activeCell="F1" sqref="F1:F1048576"/>
    </sheetView>
  </sheetViews>
  <sheetFormatPr defaultRowHeight="15"/>
  <cols>
    <col min="1" max="1" width="100" customWidth="1"/>
    <col min="2" max="2" width="110.28515625" customWidth="1"/>
    <col min="3" max="3" width="10.85546875" style="1" bestFit="1" customWidth="1"/>
    <col min="4" max="4" width="18.140625" style="1" customWidth="1"/>
    <col min="5" max="6" width="12.28515625" style="2" customWidth="1"/>
    <col min="7" max="7" width="18.140625" style="3" customWidth="1"/>
    <col min="8" max="8" width="50" hidden="1" customWidth="1"/>
    <col min="9" max="9" width="15.5703125" customWidth="1"/>
    <col min="10" max="10" width="39.28515625" customWidth="1"/>
    <col min="11" max="11" width="54.85546875" customWidth="1"/>
    <col min="12" max="12" width="15.5703125" customWidth="1"/>
    <col min="13" max="13" width="16.42578125" customWidth="1"/>
    <col min="14" max="14" width="14.85546875" customWidth="1"/>
    <col min="16" max="16" width="11.140625" style="3" customWidth="1"/>
    <col min="17" max="17" width="16.140625" customWidth="1"/>
    <col min="18" max="18" width="37" customWidth="1"/>
  </cols>
  <sheetData>
    <row r="1" spans="1:25" ht="15.75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5" t="s">
        <v>16</v>
      </c>
      <c r="R1" s="5" t="s">
        <v>17</v>
      </c>
      <c r="S1" t="s">
        <v>18</v>
      </c>
    </row>
    <row r="2" spans="1:25">
      <c r="A2" t="str">
        <f>LEFT(B2, LEN(B2)-15)</f>
        <v>Apple MacBook Air M3 MC9D4HN/A Ultrabook (Apple M3/16 GB/256 GB SSD/macOS Sequoia)</v>
      </c>
      <c r="B2" t="s">
        <v>19</v>
      </c>
      <c r="C2" s="1">
        <v>118990</v>
      </c>
      <c r="D2" s="1">
        <v>6</v>
      </c>
      <c r="E2" s="2">
        <v>100</v>
      </c>
      <c r="F2" s="2" t="str" cm="1">
        <f t="array" ref="F2">_xlfn.IFS(AND(101&gt;E2, E2&gt;69), "Top-Tier", AND(70&gt;E2, E2&gt;39), "Mid-Tier", 40&gt;E2, "Low-Tier")</f>
        <v>Top-Tier</v>
      </c>
      <c r="G2" s="4">
        <v>45597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P2" s="3">
        <v>84</v>
      </c>
      <c r="Q2" t="str">
        <f>LEFT(B2, 5)</f>
        <v>Apple</v>
      </c>
      <c r="R2" t="str">
        <f>LEFT(H2, 21)</f>
        <v>AMD Deca-Core Ryzen 9</v>
      </c>
      <c r="S2" t="str">
        <f>LEFT(J2, 5)</f>
        <v>16 GB</v>
      </c>
    </row>
    <row r="3" spans="1:25">
      <c r="A3" t="str">
        <f>LEFT(B3, LEN(B3)-15)</f>
        <v>Apple MacBook Pro M4 MX2H3HN/A Ultrabook (Apple M4 Pro/24 GB/512 GB SSD/macOS Sequoia)</v>
      </c>
      <c r="B3" t="s">
        <v>26</v>
      </c>
      <c r="C3" s="1">
        <v>191990</v>
      </c>
      <c r="D3" s="1">
        <v>20</v>
      </c>
      <c r="E3" s="2">
        <v>100</v>
      </c>
      <c r="F3" s="2" t="str" cm="1">
        <f t="array" ref="F3">_xlfn.IFS(AND(101&gt;E3, E3&gt;69), "Top-Tier", AND(70&gt;E3, E3&gt;39), "Mid-Tier", 40&gt;E3, "Low-Tier")</f>
        <v>Top-Tier</v>
      </c>
      <c r="G3" s="4">
        <v>45597</v>
      </c>
      <c r="H3" t="s">
        <v>27</v>
      </c>
      <c r="I3" t="s">
        <v>21</v>
      </c>
      <c r="J3" t="s">
        <v>28</v>
      </c>
      <c r="K3" t="s">
        <v>29</v>
      </c>
      <c r="L3" t="s">
        <v>24</v>
      </c>
      <c r="M3" t="s">
        <v>30</v>
      </c>
      <c r="N3" t="s">
        <v>31</v>
      </c>
      <c r="P3" s="3">
        <v>87</v>
      </c>
      <c r="Q3" t="str">
        <f>LEFT(B3, 5)</f>
        <v>Apple</v>
      </c>
      <c r="R3" t="str">
        <f>LEFT(H3, 21)</f>
        <v>AMD Deca-Core Ryzen 9</v>
      </c>
      <c r="S3" t="str">
        <f t="shared" ref="S3:S66" si="0">LEFT(J3, 5)</f>
        <v>24 GB</v>
      </c>
    </row>
    <row r="4" spans="1:25">
      <c r="A4" t="str">
        <f>LEFT(B4, LEN(B4)-15)</f>
        <v>Acer TravelLite TL15-53M (UN.352SI.002) Laptop (Core i5 13th Gen/16 GB/512 GB SSD/Windows 11)</v>
      </c>
      <c r="B4" t="s">
        <v>32</v>
      </c>
      <c r="C4" s="1">
        <v>58890</v>
      </c>
      <c r="D4" s="1">
        <v>4</v>
      </c>
      <c r="E4" s="2">
        <v>100</v>
      </c>
      <c r="F4" s="2" t="str" cm="1">
        <f t="array" ref="F4">_xlfn.IFS(AND(101&gt;E4, E4&gt;69), "Top-Tier", AND(70&gt;E4, E4&gt;39), "Mid-Tier", 40&gt;E4, "Low-Tier")</f>
        <v>Top-Tier</v>
      </c>
      <c r="G4" s="4">
        <v>45717</v>
      </c>
      <c r="H4" t="s">
        <v>27</v>
      </c>
      <c r="I4" t="s">
        <v>33</v>
      </c>
      <c r="J4" t="s">
        <v>34</v>
      </c>
      <c r="K4" t="s">
        <v>35</v>
      </c>
      <c r="L4" t="s">
        <v>24</v>
      </c>
      <c r="M4" t="s">
        <v>36</v>
      </c>
      <c r="N4" t="s">
        <v>31</v>
      </c>
      <c r="P4" s="3">
        <v>75</v>
      </c>
      <c r="Q4" t="str">
        <f>LEFT(B4, 4)</f>
        <v>Acer</v>
      </c>
      <c r="R4" t="str">
        <f>LEFT(H4, 21)</f>
        <v>AMD Deca-Core Ryzen 9</v>
      </c>
      <c r="S4" t="str">
        <f t="shared" si="0"/>
        <v>16 GB</v>
      </c>
    </row>
    <row r="5" spans="1:25">
      <c r="A5" t="str">
        <f>LEFT(B5, LEN(B5)-15)</f>
        <v>Apple MacBook Air M2 MC7V4HN/A Ultrabook (Apple M2/16 GB/256 GB SSD/macOS Sequoia)</v>
      </c>
      <c r="B5" t="s">
        <v>37</v>
      </c>
      <c r="C5" s="1">
        <v>88990</v>
      </c>
      <c r="D5" s="1">
        <v>4</v>
      </c>
      <c r="E5" s="2">
        <v>100</v>
      </c>
      <c r="F5" s="2" t="str" cm="1">
        <f t="array" ref="F5">_xlfn.IFS(AND(101&gt;E5, E5&gt;69), "Top-Tier", AND(70&gt;E5, E5&gt;39), "Mid-Tier", 40&gt;E5, "Low-Tier")</f>
        <v>Top-Tier</v>
      </c>
      <c r="G5" s="4">
        <v>45597</v>
      </c>
      <c r="H5" t="s">
        <v>38</v>
      </c>
      <c r="I5" t="s">
        <v>21</v>
      </c>
      <c r="J5" t="s">
        <v>22</v>
      </c>
      <c r="K5" t="s">
        <v>39</v>
      </c>
      <c r="L5" t="s">
        <v>24</v>
      </c>
      <c r="M5" t="s">
        <v>40</v>
      </c>
      <c r="P5" s="3">
        <v>81</v>
      </c>
      <c r="Q5" t="str">
        <f>LEFT(B5, 5)</f>
        <v>Apple</v>
      </c>
      <c r="R5" t="str">
        <f>LEFT(H5, 15)</f>
        <v>AMD Dodeca-Core</v>
      </c>
      <c r="S5" t="str">
        <f t="shared" si="0"/>
        <v>16 GB</v>
      </c>
    </row>
    <row r="6" spans="1:25">
      <c r="A6" t="str">
        <f>LEFT(B6, LEN(B6)-15)</f>
        <v>Asus VivoBook S15 OLED S5506MA-MA952WS Laptop (Core Ultra 9/16 GB/1 TB SSD/Windows 11)</v>
      </c>
      <c r="B6" t="s">
        <v>41</v>
      </c>
      <c r="C6" s="1">
        <v>119990</v>
      </c>
      <c r="D6" s="1">
        <v>4</v>
      </c>
      <c r="E6" s="2">
        <v>100</v>
      </c>
      <c r="F6" s="2" t="str" cm="1">
        <f t="array" ref="F6">_xlfn.IFS(AND(101&gt;E6, E6&gt;69), "Top-Tier", AND(70&gt;E6, E6&gt;39), "Mid-Tier", 40&gt;E6, "Low-Tier")</f>
        <v>Top-Tier</v>
      </c>
      <c r="G6" s="4">
        <v>45536</v>
      </c>
      <c r="H6" t="s">
        <v>38</v>
      </c>
      <c r="I6" t="s">
        <v>33</v>
      </c>
      <c r="J6" t="s">
        <v>42</v>
      </c>
      <c r="K6" t="s">
        <v>43</v>
      </c>
      <c r="L6" t="s">
        <v>24</v>
      </c>
      <c r="M6" t="s">
        <v>44</v>
      </c>
      <c r="N6" t="s">
        <v>31</v>
      </c>
      <c r="P6" s="3">
        <v>85</v>
      </c>
      <c r="Q6" t="str">
        <f>LEFT(B6, 4)</f>
        <v>Asus</v>
      </c>
      <c r="R6" t="str">
        <f>LEFT(H6, 15)</f>
        <v>AMD Dodeca-Core</v>
      </c>
      <c r="S6" t="str">
        <f t="shared" si="0"/>
        <v>16 GB</v>
      </c>
    </row>
    <row r="7" spans="1:25">
      <c r="A7" t="str">
        <f>LEFT(B7, LEN(B7)-15)</f>
        <v>Apple MacBook Pro M4 MX2F3HN/A Ultrabook (Apple M4 Pro/24 GB/1 TB SSD/macOS Sequoia)</v>
      </c>
      <c r="B7" t="s">
        <v>45</v>
      </c>
      <c r="C7" s="1">
        <v>229990</v>
      </c>
      <c r="D7" s="1">
        <v>1</v>
      </c>
      <c r="E7" s="2">
        <v>100</v>
      </c>
      <c r="F7" s="2" t="str" cm="1">
        <f t="array" ref="F7">_xlfn.IFS(AND(101&gt;E7, E7&gt;69), "Top-Tier", AND(70&gt;E7, E7&gt;39), "Mid-Tier", 40&gt;E7, "Low-Tier")</f>
        <v>Top-Tier</v>
      </c>
      <c r="G7" s="4">
        <v>45597</v>
      </c>
      <c r="H7" t="s">
        <v>46</v>
      </c>
      <c r="I7" t="s">
        <v>21</v>
      </c>
      <c r="J7" t="s">
        <v>47</v>
      </c>
      <c r="K7" t="s">
        <v>29</v>
      </c>
      <c r="L7" t="s">
        <v>24</v>
      </c>
      <c r="M7" t="s">
        <v>30</v>
      </c>
      <c r="N7" t="s">
        <v>31</v>
      </c>
      <c r="Q7" t="str">
        <f>LEFT(B7, 5)</f>
        <v>Apple</v>
      </c>
      <c r="R7" t="str">
        <f>LEFT(H7, 15)</f>
        <v>AMD Dodeca-Core</v>
      </c>
      <c r="S7" t="str">
        <f t="shared" si="0"/>
        <v>24 GB</v>
      </c>
    </row>
    <row r="8" spans="1:25">
      <c r="A8" t="str">
        <f>LEFT(B8, LEN(B8)-15)</f>
        <v>MSI Modern 15 B7M-428IN Laptop (AMD Hexa Core Ryzen 5/8 GB/512 GB SSD/Windows 11)</v>
      </c>
      <c r="B8" t="s">
        <v>48</v>
      </c>
      <c r="C8" s="1">
        <v>38990</v>
      </c>
      <c r="D8" s="1">
        <v>3</v>
      </c>
      <c r="E8" s="2">
        <v>100</v>
      </c>
      <c r="F8" s="2" t="str" cm="1">
        <f t="array" ref="F8">_xlfn.IFS(AND(101&gt;P2, P2&gt;69), "Top-Tier", AND(70&gt;P2, P2&gt;39), "Mid-Tier", 40&gt;P2, "Low-Tier")</f>
        <v>Top-Tier</v>
      </c>
      <c r="G8" s="4">
        <v>45566</v>
      </c>
      <c r="H8" t="s">
        <v>49</v>
      </c>
      <c r="I8" t="s">
        <v>33</v>
      </c>
      <c r="J8" t="s">
        <v>50</v>
      </c>
      <c r="K8" t="s">
        <v>51</v>
      </c>
      <c r="L8" t="s">
        <v>24</v>
      </c>
      <c r="M8" t="s">
        <v>52</v>
      </c>
      <c r="N8" t="s">
        <v>31</v>
      </c>
      <c r="P8" s="3">
        <v>74</v>
      </c>
      <c r="Q8" t="str">
        <f>LEFT(B8, 3)</f>
        <v>MSI</v>
      </c>
      <c r="R8" t="str">
        <f>LEFT(H8, 23)</f>
        <v>AMD Dodeca-Core Ryzen 9</v>
      </c>
      <c r="S8" t="str">
        <f t="shared" si="0"/>
        <v xml:space="preserve">8 GB </v>
      </c>
      <c r="X8" s="1"/>
      <c r="Y8" s="1"/>
    </row>
    <row r="9" spans="1:25">
      <c r="A9" t="str">
        <f>LEFT(B9, LEN(B9)-15)</f>
        <v>Microsoft Surface 7 (ZGP-00059) Laptop (Snapdragon X Elite/16 GB/512 GB SSD/Windows 11)</v>
      </c>
      <c r="B9" t="s">
        <v>53</v>
      </c>
      <c r="C9" s="1">
        <v>150990</v>
      </c>
      <c r="D9" s="1">
        <v>3</v>
      </c>
      <c r="E9" s="2">
        <v>100</v>
      </c>
      <c r="F9" s="2" t="str" cm="1">
        <f t="array" ref="F9">_xlfn.IFS(AND(101&gt;E9, E9&gt;69), "Top-Tier", AND(70&gt;E9, E9&gt;39), "Mid-Tier", 40&gt;E9, "Low-Tier")</f>
        <v>Top-Tier</v>
      </c>
      <c r="G9" s="4">
        <v>45474</v>
      </c>
      <c r="H9" t="s">
        <v>49</v>
      </c>
      <c r="I9" t="s">
        <v>33</v>
      </c>
      <c r="J9" t="s">
        <v>54</v>
      </c>
      <c r="K9" t="s">
        <v>55</v>
      </c>
      <c r="L9" t="s">
        <v>24</v>
      </c>
      <c r="P9" s="3">
        <v>81</v>
      </c>
      <c r="Q9" t="str">
        <f>LEFT(B9, 9)</f>
        <v>Microsoft</v>
      </c>
      <c r="R9" t="str">
        <f>LEFT(H9, 23)</f>
        <v>AMD Dodeca-Core Ryzen 9</v>
      </c>
      <c r="S9" t="str">
        <f t="shared" si="0"/>
        <v>16 GB</v>
      </c>
      <c r="X9" s="1"/>
      <c r="Y9" s="1"/>
    </row>
    <row r="10" spans="1:25">
      <c r="A10" t="str">
        <f>LEFT(B10, LEN(B10)-15)</f>
        <v>Lenovo Yoga Slim 7 14AKP10 (83JY000UIN) Laptop (AMD Octa Core Ryzen AI 7/32 GB/1 TB SSD/Windows 11)</v>
      </c>
      <c r="B10" t="s">
        <v>56</v>
      </c>
      <c r="C10" s="1">
        <v>110990</v>
      </c>
      <c r="D10" s="1">
        <v>2</v>
      </c>
      <c r="E10" s="2">
        <v>100</v>
      </c>
      <c r="F10" s="2" t="str" cm="1">
        <f t="array" ref="F10">_xlfn.IFS(AND(101&gt;E10, E10&gt;69), "Top-Tier", AND(70&gt;E10, E10&gt;39), "Mid-Tier", 40&gt;E10, "Low-Tier")</f>
        <v>Top-Tier</v>
      </c>
      <c r="G10" s="4">
        <v>45717</v>
      </c>
      <c r="H10" t="s">
        <v>57</v>
      </c>
      <c r="I10" t="s">
        <v>33</v>
      </c>
      <c r="J10" t="s">
        <v>58</v>
      </c>
      <c r="K10" t="s">
        <v>59</v>
      </c>
      <c r="L10" t="s">
        <v>24</v>
      </c>
      <c r="M10" t="s">
        <v>60</v>
      </c>
      <c r="N10" t="s">
        <v>31</v>
      </c>
      <c r="P10" s="3">
        <v>79</v>
      </c>
      <c r="Q10" t="str">
        <f>LEFT(B10, 6)</f>
        <v>Lenovo</v>
      </c>
      <c r="R10" t="str">
        <f>LEFT(H10, 23)</f>
        <v>AMD Dodeca-Core Ryzen 9</v>
      </c>
      <c r="S10" t="str">
        <f t="shared" si="0"/>
        <v>32 GB</v>
      </c>
    </row>
    <row r="11" spans="1:25">
      <c r="A11" t="str">
        <f>LEFT(B11, LEN(B11)-15)</f>
        <v>Asus VivoBook S14 OLED S5406SA-QD098WS Laptop (Core Ultra 5/16 GB/512 GB SSD/Windows 11)</v>
      </c>
      <c r="B11" t="s">
        <v>61</v>
      </c>
      <c r="C11" s="1">
        <v>99990</v>
      </c>
      <c r="D11" s="1">
        <v>5</v>
      </c>
      <c r="E11" s="2">
        <v>100</v>
      </c>
      <c r="F11" s="2" t="str" cm="1">
        <f t="array" ref="F11">_xlfn.IFS(AND(101&gt;E11, E11&gt;69), "Top-Tier", AND(70&gt;E11, E11&gt;39), "Mid-Tier", 40&gt;E11, "Low-Tier")</f>
        <v>Top-Tier</v>
      </c>
      <c r="G11" s="4">
        <v>45689</v>
      </c>
      <c r="H11" t="s">
        <v>62</v>
      </c>
      <c r="I11" t="s">
        <v>33</v>
      </c>
      <c r="J11" t="s">
        <v>63</v>
      </c>
      <c r="K11" t="s">
        <v>59</v>
      </c>
      <c r="L11" t="s">
        <v>24</v>
      </c>
      <c r="M11" t="s">
        <v>44</v>
      </c>
      <c r="N11" t="s">
        <v>31</v>
      </c>
      <c r="Q11" t="str">
        <f>LEFT(B11, 4)</f>
        <v>Asus</v>
      </c>
      <c r="R11" t="str">
        <f>LEFT(H11, 21)</f>
        <v xml:space="preserve">AMD Dual-Core A6 APU </v>
      </c>
      <c r="S11" t="str">
        <f t="shared" si="0"/>
        <v>16 GB</v>
      </c>
    </row>
    <row r="12" spans="1:25">
      <c r="A12" t="str">
        <f>LEFT(B12, LEN(B12)-15)</f>
        <v>Apple MacBook Air M3 MC9E4HN/A Ultrabook (Apple M3/16 GB/256 GB SSD/macOS Sequoia)</v>
      </c>
      <c r="B12" t="s">
        <v>64</v>
      </c>
      <c r="C12" s="1">
        <v>118990</v>
      </c>
      <c r="D12" s="1">
        <v>2</v>
      </c>
      <c r="E12" s="2">
        <v>100</v>
      </c>
      <c r="F12" s="2" t="str" cm="1">
        <f t="array" ref="F12">_xlfn.IFS(AND(101&gt;E12, E12&gt;69), "Top-Tier", AND(70&gt;E12, E12&gt;39), "Mid-Tier", 40&gt;E12, "Low-Tier")</f>
        <v>Top-Tier</v>
      </c>
      <c r="G12" s="4">
        <v>45627</v>
      </c>
      <c r="H12" t="s">
        <v>62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P12" s="3">
        <v>84</v>
      </c>
      <c r="Q12" t="str">
        <f>LEFT(B12, 5)</f>
        <v>Apple</v>
      </c>
      <c r="R12" t="str">
        <f>LEFT(H12, 21)</f>
        <v xml:space="preserve">AMD Dual-Core A6 APU </v>
      </c>
      <c r="S12" t="str">
        <f t="shared" si="0"/>
        <v>16 GB</v>
      </c>
    </row>
    <row r="13" spans="1:25">
      <c r="A13" t="str">
        <f>LEFT(B13, LEN(B13)-15)</f>
        <v>Apple MacBook Pro M4 MX2U3HN/A Ultrabook (Apple M4 Pro/48 GB/512 GB SSD/macOS Sequoia)</v>
      </c>
      <c r="B13" t="s">
        <v>65</v>
      </c>
      <c r="C13" s="1">
        <v>279990</v>
      </c>
      <c r="D13" s="1">
        <v>1</v>
      </c>
      <c r="E13" s="2">
        <v>100</v>
      </c>
      <c r="F13" s="2" t="str" cm="1">
        <f t="array" ref="F13">_xlfn.IFS(AND(101&gt;E13, E13&gt;69), "Top-Tier", AND(70&gt;E13, E13&gt;39), "Mid-Tier", 40&gt;E13, "Low-Tier")</f>
        <v>Top-Tier</v>
      </c>
      <c r="G13" s="4">
        <v>45597</v>
      </c>
      <c r="H13" t="s">
        <v>66</v>
      </c>
      <c r="I13" t="s">
        <v>21</v>
      </c>
      <c r="J13" t="s">
        <v>67</v>
      </c>
      <c r="K13" t="s">
        <v>68</v>
      </c>
      <c r="L13" t="s">
        <v>24</v>
      </c>
      <c r="M13" t="s">
        <v>69</v>
      </c>
      <c r="N13" t="s">
        <v>31</v>
      </c>
      <c r="Q13" t="str">
        <f>LEFT(B13, 5)</f>
        <v>Apple</v>
      </c>
      <c r="R13" t="str">
        <f>LEFT(H13, 21)</f>
        <v xml:space="preserve">AMD Dual-Core Athlon </v>
      </c>
      <c r="S13" t="str">
        <f t="shared" si="0"/>
        <v>48 GB</v>
      </c>
    </row>
    <row r="14" spans="1:25">
      <c r="A14" t="str">
        <f>LEFT(B14, LEN(B14)-15)</f>
        <v>Dell XPS 15 9530 (XN95300UCFGM03CRS1) Laptop (Core i7 13th Gen/16 GB/1 TB SSD/Windows 11/6 GB)</v>
      </c>
      <c r="B14" t="s">
        <v>70</v>
      </c>
      <c r="C14" s="1">
        <v>257454</v>
      </c>
      <c r="D14" s="1">
        <v>3</v>
      </c>
      <c r="E14" s="2">
        <v>100</v>
      </c>
      <c r="F14" s="2" t="str" cm="1">
        <f t="array" ref="F14">_xlfn.IFS(AND(101&gt;E14, E14&gt;69), "Top-Tier", AND(70&gt;E14, E14&gt;39), "Mid-Tier", 40&gt;E14, "Low-Tier")</f>
        <v>Top-Tier</v>
      </c>
      <c r="G14" s="4">
        <v>45474</v>
      </c>
      <c r="H14" t="s">
        <v>71</v>
      </c>
      <c r="I14" t="s">
        <v>33</v>
      </c>
      <c r="J14" t="s">
        <v>72</v>
      </c>
      <c r="K14" t="s">
        <v>73</v>
      </c>
      <c r="L14" t="s">
        <v>24</v>
      </c>
      <c r="M14" t="s">
        <v>74</v>
      </c>
      <c r="Q14" t="str">
        <f>LEFT(B14, 4)</f>
        <v>Dell</v>
      </c>
      <c r="R14" t="str">
        <f t="shared" ref="R14:R17" si="1">LEFT(H14, 21)</f>
        <v xml:space="preserve">AMD Dual-Core Athlon </v>
      </c>
      <c r="S14" t="str">
        <f t="shared" si="0"/>
        <v>16 GB</v>
      </c>
    </row>
    <row r="15" spans="1:25">
      <c r="A15" t="str">
        <f>LEFT(B15, LEN(B15)-15)</f>
        <v>Microsoft Surface 7 (ZHG-00023) Laptop (Snapdragon X Elite/16 GB/256 GB SSD/Windows 11)</v>
      </c>
      <c r="B15" t="s">
        <v>75</v>
      </c>
      <c r="C15" s="1">
        <v>133051</v>
      </c>
      <c r="D15" s="1">
        <v>2</v>
      </c>
      <c r="E15" s="2">
        <v>100</v>
      </c>
      <c r="F15" s="2" t="str" cm="1">
        <f t="array" ref="F15">_xlfn.IFS(AND(101&gt;E15, E15&gt;69), "Top-Tier", AND(70&gt;E15, E15&gt;39), "Mid-Tier", 40&gt;E15, "Low-Tier")</f>
        <v>Top-Tier</v>
      </c>
      <c r="G15" s="4">
        <v>45474</v>
      </c>
      <c r="H15" t="s">
        <v>76</v>
      </c>
      <c r="I15" t="s">
        <v>33</v>
      </c>
      <c r="J15" t="s">
        <v>77</v>
      </c>
      <c r="K15" t="s">
        <v>78</v>
      </c>
      <c r="L15" t="s">
        <v>24</v>
      </c>
      <c r="P15" s="3">
        <v>80</v>
      </c>
      <c r="Q15" t="str">
        <f>LEFT(B15, 9)</f>
        <v>Microsoft</v>
      </c>
      <c r="R15" t="str">
        <f t="shared" si="1"/>
        <v xml:space="preserve">AMD Dual-Core Athlon </v>
      </c>
      <c r="S15" t="str">
        <f t="shared" si="0"/>
        <v>16 GB</v>
      </c>
    </row>
    <row r="16" spans="1:25">
      <c r="A16" t="str">
        <f>LEFT(B16, LEN(B16)-15)</f>
        <v>Asus ROG Zephyrus G14 GA403WR-QS123WS Laptop (AMD Dodeca Core Ryzen AI 9 HX/32 GB/2 TB SSD/Windows 11/12 GB)</v>
      </c>
      <c r="B16" t="s">
        <v>79</v>
      </c>
      <c r="C16" s="1">
        <v>279990</v>
      </c>
      <c r="D16" s="1">
        <v>1</v>
      </c>
      <c r="E16" s="2">
        <v>100</v>
      </c>
      <c r="F16" s="2" t="str" cm="1">
        <f t="array" ref="F16">_xlfn.IFS(AND(101&gt;E16, E16&gt;69), "Top-Tier", AND(70&gt;E16, E16&gt;39), "Mid-Tier", 40&gt;E16, "Low-Tier")</f>
        <v>Top-Tier</v>
      </c>
      <c r="G16" s="4">
        <v>45778</v>
      </c>
      <c r="H16" t="s">
        <v>76</v>
      </c>
      <c r="I16" t="s">
        <v>33</v>
      </c>
      <c r="J16" t="s">
        <v>80</v>
      </c>
      <c r="K16" t="s">
        <v>81</v>
      </c>
      <c r="L16" t="s">
        <v>24</v>
      </c>
      <c r="M16" t="s">
        <v>36</v>
      </c>
      <c r="N16" t="s">
        <v>31</v>
      </c>
      <c r="Q16" t="str">
        <f>LEFT(B16, 4)</f>
        <v>Asus</v>
      </c>
      <c r="R16" t="str">
        <f t="shared" si="1"/>
        <v xml:space="preserve">AMD Dual-Core Athlon </v>
      </c>
      <c r="S16" t="str">
        <f t="shared" si="0"/>
        <v>32 GB</v>
      </c>
    </row>
    <row r="17" spans="1:19">
      <c r="A17" t="str">
        <f>LEFT(B17, LEN(B17)-15)</f>
        <v>Lenovo LOQ 15IRX9 (83DV00X4IN) Laptop (Core i5 13th Gen/16 GB/512 GB SSD/Windows 11/6 GB)</v>
      </c>
      <c r="B17" t="s">
        <v>82</v>
      </c>
      <c r="C17" s="1">
        <v>87490</v>
      </c>
      <c r="D17" s="1">
        <v>1</v>
      </c>
      <c r="E17" s="2">
        <v>100</v>
      </c>
      <c r="F17" s="2" t="str" cm="1">
        <f t="array" ref="F17">_xlfn.IFS(AND(101&gt;E17, E17&gt;69), "Top-Tier", AND(70&gt;E17, E17&gt;39), "Mid-Tier", 40&gt;E17, "Low-Tier")</f>
        <v>Top-Tier</v>
      </c>
      <c r="G17" s="4">
        <v>45717</v>
      </c>
      <c r="H17" t="s">
        <v>76</v>
      </c>
      <c r="I17" t="s">
        <v>33</v>
      </c>
      <c r="J17" t="s">
        <v>54</v>
      </c>
      <c r="K17" t="s">
        <v>51</v>
      </c>
      <c r="L17" t="s">
        <v>24</v>
      </c>
      <c r="N17" t="s">
        <v>31</v>
      </c>
      <c r="Q17" t="str">
        <f>LEFT(B17, 6)</f>
        <v>Lenovo</v>
      </c>
      <c r="R17" t="str">
        <f t="shared" si="1"/>
        <v xml:space="preserve">AMD Dual-Core Athlon </v>
      </c>
      <c r="S17" t="str">
        <f t="shared" si="0"/>
        <v>16 GB</v>
      </c>
    </row>
    <row r="18" spans="1:19">
      <c r="A18" t="str">
        <f>LEFT(B18, LEN(B18)-15)</f>
        <v>Apple MacBook Air M3 MC9H4HN/A Ultrabook (Apple M3/24 GB/512 GB SSD/macOS Sequoia)</v>
      </c>
      <c r="B18" t="s">
        <v>83</v>
      </c>
      <c r="C18" s="1">
        <v>159990</v>
      </c>
      <c r="D18" s="1">
        <v>1</v>
      </c>
      <c r="E18" s="2">
        <v>100</v>
      </c>
      <c r="F18" s="2" t="str" cm="1">
        <f t="array" ref="F18">_xlfn.IFS(AND(101&gt;E18, E18&gt;69), "Top-Tier", AND(70&gt;E18, E18&gt;39), "Mid-Tier", 40&gt;E18, "Low-Tier")</f>
        <v>Top-Tier</v>
      </c>
      <c r="G18" s="4">
        <v>45658</v>
      </c>
      <c r="H18" t="s">
        <v>76</v>
      </c>
      <c r="I18" t="s">
        <v>21</v>
      </c>
      <c r="J18" t="s">
        <v>28</v>
      </c>
      <c r="K18" t="s">
        <v>23</v>
      </c>
      <c r="L18" t="s">
        <v>24</v>
      </c>
      <c r="M18" t="s">
        <v>25</v>
      </c>
      <c r="P18" s="3">
        <v>85</v>
      </c>
      <c r="Q18" t="str">
        <f>LEFT(B18, 5)</f>
        <v>Apple</v>
      </c>
      <c r="R18" t="str">
        <f>LEFT(H18, 21)</f>
        <v xml:space="preserve">AMD Dual-Core Athlon </v>
      </c>
      <c r="S18" t="str">
        <f t="shared" si="0"/>
        <v>24 GB</v>
      </c>
    </row>
    <row r="19" spans="1:19">
      <c r="A19" t="str">
        <f>LEFT(B19, LEN(B19)-15)</f>
        <v>HP Victus 15-fa1372TX (A3RE5PA) Laptop (Core i5 12th Gen/8 GB/512 GB SSD/Windows 11/4 GB)</v>
      </c>
      <c r="B19" t="s">
        <v>84</v>
      </c>
      <c r="C19" s="1">
        <v>55990</v>
      </c>
      <c r="D19" s="1">
        <v>1</v>
      </c>
      <c r="E19" s="2">
        <v>100</v>
      </c>
      <c r="F19" s="2" t="str" cm="1">
        <f t="array" ref="F19">_xlfn.IFS(AND(101&gt;E19, E19&gt;69), "Top-Tier", AND(70&gt;E19, E19&gt;39), "Mid-Tier", 40&gt;E19, "Low-Tier")</f>
        <v>Top-Tier</v>
      </c>
      <c r="G19" s="4">
        <v>45627</v>
      </c>
      <c r="H19" t="s">
        <v>76</v>
      </c>
      <c r="I19" t="s">
        <v>33</v>
      </c>
      <c r="J19" t="s">
        <v>50</v>
      </c>
      <c r="K19" t="s">
        <v>51</v>
      </c>
      <c r="L19" t="s">
        <v>24</v>
      </c>
      <c r="N19" t="s">
        <v>31</v>
      </c>
      <c r="P19" s="3">
        <v>83</v>
      </c>
      <c r="Q19" t="str">
        <f>LEFT(B19, 2)</f>
        <v>HP</v>
      </c>
      <c r="R19" t="str">
        <f>LEFT(H19, 21)</f>
        <v xml:space="preserve">AMD Dual-Core Athlon </v>
      </c>
      <c r="S19" t="str">
        <f t="shared" si="0"/>
        <v xml:space="preserve">8 GB </v>
      </c>
    </row>
    <row r="20" spans="1:19">
      <c r="A20" t="str">
        <f>LEFT(B20, LEN(B20)-15)</f>
        <v>Lenovo IdeaPad Slim 3 15ABR8 (82XM00G1IN) Laptop (AMD Hexa Core Ryzen 5/8 GB/512 GB SSD/Windows 11)</v>
      </c>
      <c r="B20" t="s">
        <v>85</v>
      </c>
      <c r="C20" s="1">
        <v>42900</v>
      </c>
      <c r="D20" s="1">
        <v>1</v>
      </c>
      <c r="E20" s="2">
        <v>100</v>
      </c>
      <c r="F20" s="2" t="str" cm="1">
        <f t="array" ref="F20">_xlfn.IFS(AND(101&gt;E20, E20&gt;69), "Top-Tier", AND(70&gt;E20, E20&gt;39), "Mid-Tier", 40&gt;E20, "Low-Tier")</f>
        <v>Top-Tier</v>
      </c>
      <c r="G20" s="4">
        <v>45597</v>
      </c>
      <c r="H20" t="s">
        <v>76</v>
      </c>
      <c r="I20" t="s">
        <v>33</v>
      </c>
      <c r="J20" t="s">
        <v>50</v>
      </c>
      <c r="K20" t="s">
        <v>51</v>
      </c>
      <c r="L20" t="s">
        <v>24</v>
      </c>
      <c r="N20" t="s">
        <v>31</v>
      </c>
      <c r="P20" s="3">
        <v>72</v>
      </c>
      <c r="Q20" t="str">
        <f>LEFT(B20, 6)</f>
        <v>Lenovo</v>
      </c>
      <c r="R20" t="str">
        <f>LEFT(H20, 21)</f>
        <v xml:space="preserve">AMD Dual-Core Athlon </v>
      </c>
      <c r="S20" t="str">
        <f t="shared" si="0"/>
        <v xml:space="preserve">8 GB </v>
      </c>
    </row>
    <row r="21" spans="1:19">
      <c r="A21" t="str">
        <f>LEFT(B21, LEN(B21)-15)</f>
        <v>Apple MacBook Pro M4 MCX04HN/A Ultrabook (Apple M4/24 GB/1 TB SSD/macOS Sequoia)</v>
      </c>
      <c r="B21" t="s">
        <v>86</v>
      </c>
      <c r="C21" s="1">
        <v>201990</v>
      </c>
      <c r="D21" s="1">
        <v>3</v>
      </c>
      <c r="E21" s="2">
        <v>100</v>
      </c>
      <c r="F21" s="2" t="str" cm="1">
        <f t="array" ref="F21">_xlfn.IFS(AND(101&gt;E21, E21&gt;69), "Top-Tier", AND(70&gt;E21, E21&gt;39), "Mid-Tier", 40&gt;E21, "Low-Tier")</f>
        <v>Top-Tier</v>
      </c>
      <c r="G21" s="4">
        <v>45597</v>
      </c>
      <c r="H21" t="s">
        <v>87</v>
      </c>
      <c r="I21" t="s">
        <v>21</v>
      </c>
      <c r="J21" t="s">
        <v>47</v>
      </c>
      <c r="K21" t="s">
        <v>29</v>
      </c>
      <c r="L21" t="s">
        <v>24</v>
      </c>
      <c r="M21" t="s">
        <v>30</v>
      </c>
      <c r="N21" t="s">
        <v>31</v>
      </c>
      <c r="P21" s="3">
        <v>87</v>
      </c>
      <c r="Q21" t="str">
        <f>LEFT(B21, 5)</f>
        <v>Apple</v>
      </c>
      <c r="R21" t="str">
        <f>LEFT(H21, 21)</f>
        <v xml:space="preserve">AMD Dual-Core Athlon </v>
      </c>
      <c r="S21" t="str">
        <f t="shared" si="0"/>
        <v>24 GB</v>
      </c>
    </row>
    <row r="22" spans="1:19">
      <c r="A22" t="str">
        <f>LEFT(B22, LEN(B22)-15)</f>
        <v>Apple MacBook Pro M4 MW2X3HN/A Ultrabook (Apple M4/16 GB/1 TB SSD/macOS Sequoia)</v>
      </c>
      <c r="B22" t="s">
        <v>88</v>
      </c>
      <c r="C22" s="1">
        <v>182990</v>
      </c>
      <c r="D22" s="1">
        <v>3</v>
      </c>
      <c r="E22" s="2">
        <v>100</v>
      </c>
      <c r="F22" s="2" t="str" cm="1">
        <f t="array" ref="F22">_xlfn.IFS(AND(101&gt;E22, E22&gt;69), "Top-Tier", AND(70&gt;E22, E22&gt;39), "Mid-Tier", 40&gt;E22, "Low-Tier")</f>
        <v>Top-Tier</v>
      </c>
      <c r="G22" s="4">
        <v>45597</v>
      </c>
      <c r="H22" t="s">
        <v>89</v>
      </c>
      <c r="I22" t="s">
        <v>21</v>
      </c>
      <c r="J22" t="s">
        <v>90</v>
      </c>
      <c r="K22" t="s">
        <v>29</v>
      </c>
      <c r="L22" t="s">
        <v>24</v>
      </c>
      <c r="M22" t="s">
        <v>30</v>
      </c>
      <c r="N22" t="s">
        <v>31</v>
      </c>
      <c r="P22" s="3">
        <v>86</v>
      </c>
      <c r="Q22" t="str">
        <f>LEFT(B22, 5)</f>
        <v>Apple</v>
      </c>
      <c r="R22" t="str">
        <f>LEFT(H22, 21)</f>
        <v xml:space="preserve">AMD Dual-Core Athlon </v>
      </c>
      <c r="S22" t="str">
        <f t="shared" si="0"/>
        <v>16 GB</v>
      </c>
    </row>
    <row r="23" spans="1:19">
      <c r="A23" t="str">
        <f>LEFT(B23, LEN(B23)-15)</f>
        <v>Apple MacBook Air M3 MC8P4HN/A Ultrabook (Apple M3/24 GB/512 GB SSD/macOS Sequoia)</v>
      </c>
      <c r="B23" t="s">
        <v>91</v>
      </c>
      <c r="C23" s="1">
        <v>136990</v>
      </c>
      <c r="D23" s="1">
        <v>1</v>
      </c>
      <c r="E23" s="2">
        <v>100</v>
      </c>
      <c r="F23" s="2" t="str" cm="1">
        <f t="array" ref="F23">_xlfn.IFS(AND(101&gt;E23, E23&gt;69), "Top-Tier", AND(70&gt;E23, E23&gt;39), "Mid-Tier", 40&gt;E23, "Low-Tier")</f>
        <v>Top-Tier</v>
      </c>
      <c r="G23" s="4">
        <v>45597</v>
      </c>
      <c r="H23" t="s">
        <v>89</v>
      </c>
      <c r="I23" t="s">
        <v>21</v>
      </c>
      <c r="J23" t="s">
        <v>28</v>
      </c>
      <c r="K23" t="s">
        <v>39</v>
      </c>
      <c r="L23" t="s">
        <v>24</v>
      </c>
      <c r="M23" t="s">
        <v>40</v>
      </c>
      <c r="P23" s="3">
        <v>85</v>
      </c>
      <c r="Q23" t="str">
        <f>LEFT(B23, 5)</f>
        <v>Apple</v>
      </c>
      <c r="R23" t="str">
        <f>LEFT(H23, 21)</f>
        <v xml:space="preserve">AMD Dual-Core Athlon </v>
      </c>
      <c r="S23" t="str">
        <f t="shared" si="0"/>
        <v>24 GB</v>
      </c>
    </row>
    <row r="24" spans="1:19">
      <c r="A24" t="str">
        <f>LEFT(B24, LEN(B24)-15)</f>
        <v>Dell Inspiron 14 5441 (OIN5441100101RING1) Laptop (Snapdragon X Plus/16 GB/512 GB SSD/Windows 11)</v>
      </c>
      <c r="B24" t="s">
        <v>92</v>
      </c>
      <c r="C24" s="1">
        <v>81889</v>
      </c>
      <c r="D24" s="1">
        <v>1</v>
      </c>
      <c r="E24" s="2">
        <v>100</v>
      </c>
      <c r="F24" s="2" t="str" cm="1">
        <f t="array" ref="F24">_xlfn.IFS(AND(101&gt;E24, E24&gt;69), "Top-Tier", AND(70&gt;E24, E24&gt;39), "Mid-Tier", 40&gt;E24, "Low-Tier")</f>
        <v>Top-Tier</v>
      </c>
      <c r="G24" s="4">
        <v>45566</v>
      </c>
      <c r="H24" t="s">
        <v>93</v>
      </c>
      <c r="I24" t="s">
        <v>33</v>
      </c>
      <c r="J24" t="s">
        <v>63</v>
      </c>
      <c r="K24" t="s">
        <v>94</v>
      </c>
      <c r="L24" t="s">
        <v>24</v>
      </c>
      <c r="M24" t="s">
        <v>95</v>
      </c>
      <c r="P24" s="3">
        <v>84</v>
      </c>
      <c r="Q24" t="str">
        <f>LEFT(B24, 4)</f>
        <v>Dell</v>
      </c>
      <c r="R24" t="str">
        <f t="shared" ref="R24:R28" si="2">LEFT(H24, 21)</f>
        <v xml:space="preserve">AMD Dual-Core Athlon </v>
      </c>
      <c r="S24" t="str">
        <f t="shared" si="0"/>
        <v>16 GB</v>
      </c>
    </row>
    <row r="25" spans="1:19">
      <c r="A25" t="str">
        <f>LEFT(B25, LEN(B25)-15)</f>
        <v>HP 15-fd0112TU (A47CZPA) Laptop (Core i5 12th Gen/8 GB/1 TB SSD/Windows 11)</v>
      </c>
      <c r="B25" t="s">
        <v>96</v>
      </c>
      <c r="C25" s="1">
        <v>54990</v>
      </c>
      <c r="D25" s="1">
        <v>1</v>
      </c>
      <c r="E25" s="2">
        <v>100</v>
      </c>
      <c r="F25" s="2" t="str" cm="1">
        <f t="array" ref="F25">_xlfn.IFS(AND(101&gt;E25, E25&gt;69), "Top-Tier", AND(70&gt;E25, E25&gt;39), "Mid-Tier", 40&gt;E25, "Low-Tier")</f>
        <v>Top-Tier</v>
      </c>
      <c r="G25" s="4">
        <v>45536</v>
      </c>
      <c r="H25" t="s">
        <v>97</v>
      </c>
      <c r="I25" t="s">
        <v>33</v>
      </c>
      <c r="J25" t="s">
        <v>98</v>
      </c>
      <c r="K25" t="s">
        <v>51</v>
      </c>
      <c r="L25" t="s">
        <v>24</v>
      </c>
      <c r="M25" t="s">
        <v>99</v>
      </c>
      <c r="N25" t="s">
        <v>31</v>
      </c>
      <c r="P25" s="3">
        <v>80</v>
      </c>
      <c r="Q25" t="str">
        <f>LEFT(B25, 2)</f>
        <v>HP</v>
      </c>
      <c r="R25" t="str">
        <f t="shared" si="2"/>
        <v xml:space="preserve">AMD Dual-Core Athlon </v>
      </c>
      <c r="S25" t="str">
        <f t="shared" si="0"/>
        <v xml:space="preserve">8 GB </v>
      </c>
    </row>
    <row r="26" spans="1:19">
      <c r="A26" t="str">
        <f>LEFT(B26, LEN(B26)-15)</f>
        <v>Microsoft Surface 7 (ZGM-00023) Laptop (Snapdragon X Plus/16 GB/512 GB SSD/Windows 11)</v>
      </c>
      <c r="B26" t="s">
        <v>100</v>
      </c>
      <c r="C26" s="1">
        <v>131990</v>
      </c>
      <c r="D26" s="1">
        <v>1</v>
      </c>
      <c r="E26" s="2">
        <v>100</v>
      </c>
      <c r="F26" s="2" t="str" cm="1">
        <f t="array" ref="F26">_xlfn.IFS(AND(101&gt;E26, E26&gt;69), "Top-Tier", AND(70&gt;E26, E26&gt;39), "Mid-Tier", 40&gt;E26, "Low-Tier")</f>
        <v>Top-Tier</v>
      </c>
      <c r="G26" s="4">
        <v>45474</v>
      </c>
      <c r="H26" t="s">
        <v>101</v>
      </c>
      <c r="I26" t="s">
        <v>33</v>
      </c>
      <c r="J26" t="s">
        <v>54</v>
      </c>
      <c r="K26" t="s">
        <v>55</v>
      </c>
      <c r="L26" t="s">
        <v>24</v>
      </c>
      <c r="P26" s="3">
        <v>80</v>
      </c>
      <c r="Q26" t="str">
        <f>LEFT(B26, 9)</f>
        <v>Microsoft</v>
      </c>
      <c r="R26" t="str">
        <f t="shared" si="2"/>
        <v>AMD Dual-Core Ryzen 3</v>
      </c>
      <c r="S26" t="str">
        <f t="shared" si="0"/>
        <v>16 GB</v>
      </c>
    </row>
    <row r="27" spans="1:19">
      <c r="A27" t="str">
        <f>LEFT(B27, LEN(B27)-15)</f>
        <v>HP Omnibook X 14-fe0121QU (A99B8PA) Laptop (Snapdragon X Elite/16 GB/1 TB SSD/Windows 11)</v>
      </c>
      <c r="B27" t="s">
        <v>102</v>
      </c>
      <c r="C27" s="1">
        <v>120499</v>
      </c>
      <c r="D27" s="1">
        <v>1</v>
      </c>
      <c r="E27" s="2">
        <v>100</v>
      </c>
      <c r="F27" s="2" t="str" cm="1">
        <f t="array" ref="F27">_xlfn.IFS(AND(101&gt;E27, E27&gt;69), "Top-Tier", AND(70&gt;E27, E27&gt;39), "Mid-Tier", 40&gt;E27, "Low-Tier")</f>
        <v>Top-Tier</v>
      </c>
      <c r="G27" s="4">
        <v>45444</v>
      </c>
      <c r="H27" t="s">
        <v>103</v>
      </c>
      <c r="I27" t="s">
        <v>33</v>
      </c>
      <c r="J27" t="s">
        <v>42</v>
      </c>
      <c r="K27" t="s">
        <v>104</v>
      </c>
      <c r="L27" t="s">
        <v>24</v>
      </c>
      <c r="M27" t="s">
        <v>105</v>
      </c>
      <c r="P27" s="3">
        <v>85</v>
      </c>
      <c r="Q27" t="str">
        <f>LEFT(B27, 2)</f>
        <v>HP</v>
      </c>
      <c r="R27" t="str">
        <f t="shared" si="2"/>
        <v>AMD Dual-Core Ryzen 3</v>
      </c>
      <c r="S27" t="str">
        <f t="shared" si="0"/>
        <v>16 GB</v>
      </c>
    </row>
    <row r="28" spans="1:19">
      <c r="A28" t="str">
        <f>LEFT(B28, LEN(B28)-15)</f>
        <v>Acer Swift Go 14 SFG14-73T (NX.KSMSI.003) Laptop (Core Ultra 7/16 GB/1 TB SSD/Windows 11)</v>
      </c>
      <c r="B28" t="s">
        <v>106</v>
      </c>
      <c r="C28" s="1">
        <v>91190</v>
      </c>
      <c r="D28" s="1">
        <v>1</v>
      </c>
      <c r="E28" s="2">
        <v>100</v>
      </c>
      <c r="F28" s="2" t="str" cm="1">
        <f t="array" ref="F28">_xlfn.IFS(AND(101&gt;E28, E28&gt;69), "Top-Tier", AND(70&gt;E28, E28&gt;39), "Mid-Tier", 40&gt;E28, "Low-Tier")</f>
        <v>Top-Tier</v>
      </c>
      <c r="G28" s="4">
        <v>45383</v>
      </c>
      <c r="H28" t="s">
        <v>107</v>
      </c>
      <c r="I28" t="s">
        <v>33</v>
      </c>
      <c r="J28" t="s">
        <v>42</v>
      </c>
      <c r="K28" t="s">
        <v>59</v>
      </c>
      <c r="L28" t="s">
        <v>24</v>
      </c>
      <c r="M28" t="s">
        <v>108</v>
      </c>
      <c r="N28" t="s">
        <v>31</v>
      </c>
      <c r="P28" s="3">
        <v>86</v>
      </c>
      <c r="Q28" t="str">
        <f>LEFT(B28, 4)</f>
        <v>Acer</v>
      </c>
      <c r="R28" t="str">
        <f t="shared" si="2"/>
        <v>AMD Dual-Core Ryzen 3</v>
      </c>
      <c r="S28" t="str">
        <f t="shared" si="0"/>
        <v>16 GB</v>
      </c>
    </row>
    <row r="29" spans="1:19">
      <c r="A29" t="str">
        <f>LEFT(B29, LEN(B29)-15)</f>
        <v>Apple MacBook Air M4 MW1L3HN/A Ultrabook (Apple M4/16 GB/256 GB SSD/macOS Sequoia)</v>
      </c>
      <c r="B29" t="s">
        <v>109</v>
      </c>
      <c r="C29" s="1">
        <v>121990</v>
      </c>
      <c r="D29" s="1">
        <v>3</v>
      </c>
      <c r="E29" s="2">
        <v>100</v>
      </c>
      <c r="F29" s="2" t="str" cm="1">
        <f t="array" ref="F29">_xlfn.IFS(AND(101&gt;E29, E29&gt;69), "Top-Tier", AND(70&gt;E29, E29&gt;39), "Mid-Tier", 40&gt;E29, "Low-Tier")</f>
        <v>Top-Tier</v>
      </c>
      <c r="G29" s="4">
        <v>45717</v>
      </c>
      <c r="H29" t="s">
        <v>107</v>
      </c>
      <c r="I29" t="s">
        <v>21</v>
      </c>
      <c r="J29" t="s">
        <v>22</v>
      </c>
      <c r="K29" t="s">
        <v>110</v>
      </c>
      <c r="L29" t="s">
        <v>24</v>
      </c>
      <c r="M29" t="s">
        <v>25</v>
      </c>
      <c r="P29" s="3">
        <v>85</v>
      </c>
      <c r="Q29" t="str">
        <f>LEFT(B29, 5)</f>
        <v>Apple</v>
      </c>
      <c r="R29" t="str">
        <f>LEFT(H29, 21)</f>
        <v>AMD Dual-Core Ryzen 3</v>
      </c>
      <c r="S29" t="str">
        <f t="shared" si="0"/>
        <v>16 GB</v>
      </c>
    </row>
    <row r="30" spans="1:19">
      <c r="A30" t="str">
        <f>LEFT(B30, LEN(B30)-15)</f>
        <v>Apple MacBook Air M4 MC6K4HN/A Ultrabook (Apple M4/24 GB/512 GB SSD/macOS Sequoia)</v>
      </c>
      <c r="B30" t="s">
        <v>111</v>
      </c>
      <c r="C30" s="1">
        <v>154990</v>
      </c>
      <c r="D30" s="1">
        <v>1</v>
      </c>
      <c r="E30" s="2">
        <v>100</v>
      </c>
      <c r="F30" s="2" t="str" cm="1">
        <f t="array" ref="F30">_xlfn.IFS(AND(101&gt;E30, E30&gt;69), "Top-Tier", AND(70&gt;E30, E30&gt;39), "Mid-Tier", 40&gt;E30, "Low-Tier")</f>
        <v>Top-Tier</v>
      </c>
      <c r="G30" s="4">
        <v>45717</v>
      </c>
      <c r="H30" t="s">
        <v>107</v>
      </c>
      <c r="I30" t="s">
        <v>21</v>
      </c>
      <c r="J30" t="s">
        <v>28</v>
      </c>
      <c r="K30" t="s">
        <v>110</v>
      </c>
      <c r="L30" t="s">
        <v>24</v>
      </c>
      <c r="M30" t="s">
        <v>25</v>
      </c>
      <c r="P30" s="3">
        <v>86</v>
      </c>
      <c r="Q30" t="str">
        <f>LEFT(B30, 5)</f>
        <v>Apple</v>
      </c>
      <c r="R30" t="str">
        <f>LEFT(H30, 21)</f>
        <v>AMD Dual-Core Ryzen 3</v>
      </c>
      <c r="S30" t="str">
        <f t="shared" si="0"/>
        <v>24 GB</v>
      </c>
    </row>
    <row r="31" spans="1:19">
      <c r="A31" t="str">
        <f>LEFT(B31, LEN(B31)-15)</f>
        <v>MSI Thin 15 B12UC-2240IN Laptop (Core i7 12th Gen/16 GB/512 GB SSD/Windows 11/4 GB)</v>
      </c>
      <c r="B31" t="s">
        <v>112</v>
      </c>
      <c r="C31" s="1">
        <v>71990</v>
      </c>
      <c r="D31" s="1">
        <v>1</v>
      </c>
      <c r="E31" s="2">
        <v>100</v>
      </c>
      <c r="F31" s="2" t="str" cm="1">
        <f t="array" ref="F31">_xlfn.IFS(AND(101&gt;E31, E31&gt;69), "Top-Tier", AND(70&gt;E31, E31&gt;39), "Mid-Tier", 40&gt;E31, "Low-Tier")</f>
        <v>Top-Tier</v>
      </c>
      <c r="G31" s="4">
        <v>45627</v>
      </c>
      <c r="H31" t="s">
        <v>107</v>
      </c>
      <c r="I31" t="s">
        <v>33</v>
      </c>
      <c r="J31" t="s">
        <v>34</v>
      </c>
      <c r="K31" t="s">
        <v>51</v>
      </c>
      <c r="L31" t="s">
        <v>24</v>
      </c>
      <c r="M31" t="s">
        <v>113</v>
      </c>
      <c r="N31" t="s">
        <v>31</v>
      </c>
      <c r="P31" s="3">
        <v>87</v>
      </c>
      <c r="Q31" t="str">
        <f>LEFT(B31, 3)</f>
        <v>MSI</v>
      </c>
      <c r="R31" t="str">
        <f>LEFT(H30, 21)</f>
        <v>AMD Dual-Core Ryzen 3</v>
      </c>
      <c r="S31" t="str">
        <f t="shared" si="0"/>
        <v>16 GB</v>
      </c>
    </row>
    <row r="32" spans="1:19">
      <c r="A32" t="str">
        <f>LEFT(B32, LEN(B32)-15)</f>
        <v>Apple MacBook Pro M4 MX303HN/A Ultrabook (Apple M4 Max/36 GB/1 TB SSD/macOS Sequoia)</v>
      </c>
      <c r="B32" t="s">
        <v>114</v>
      </c>
      <c r="C32" s="1">
        <v>349900</v>
      </c>
      <c r="D32" s="1">
        <v>2</v>
      </c>
      <c r="E32" s="2">
        <v>100</v>
      </c>
      <c r="F32" s="2" t="str" cm="1">
        <f t="array" ref="F32">_xlfn.IFS(AND(101&gt;E32, E32&gt;69), "Top-Tier", AND(70&gt;E32, E32&gt;39), "Mid-Tier", 40&gt;E32, "Low-Tier")</f>
        <v>Top-Tier</v>
      </c>
      <c r="G32" s="4">
        <v>45597</v>
      </c>
      <c r="H32" t="s">
        <v>107</v>
      </c>
      <c r="I32" t="s">
        <v>21</v>
      </c>
      <c r="J32" t="s">
        <v>115</v>
      </c>
      <c r="K32" t="s">
        <v>68</v>
      </c>
      <c r="L32" t="s">
        <v>24</v>
      </c>
      <c r="M32" t="s">
        <v>69</v>
      </c>
      <c r="N32" t="s">
        <v>31</v>
      </c>
      <c r="Q32" t="str">
        <f>LEFT(B32, 5)</f>
        <v>Apple</v>
      </c>
      <c r="R32" t="str">
        <f>LEFT(H32, 21)</f>
        <v>AMD Dual-Core Ryzen 3</v>
      </c>
      <c r="S32" t="str">
        <f t="shared" si="0"/>
        <v>36 GB</v>
      </c>
    </row>
    <row r="33" spans="1:19">
      <c r="A33" t="str">
        <f>LEFT(B33, LEN(B33)-15)</f>
        <v>MSI Stealth A16 AI Plus A3HVGG-074IN Laptop (AMD Deca Core Ryzen 9/32 GB/1 TB SSD/Windows 11/8 GB)</v>
      </c>
      <c r="B33" t="s">
        <v>116</v>
      </c>
      <c r="C33" s="1">
        <v>209990</v>
      </c>
      <c r="D33" s="1">
        <v>1</v>
      </c>
      <c r="E33" s="2">
        <v>100</v>
      </c>
      <c r="F33" s="2" t="str" cm="1">
        <f t="array" ref="F33">_xlfn.IFS(AND(101&gt;E33, E33&gt;69), "Top-Tier", AND(70&gt;E33, E33&gt;39), "Mid-Tier", 40&gt;E33, "Low-Tier")</f>
        <v>Top-Tier</v>
      </c>
      <c r="G33" s="4">
        <v>45566</v>
      </c>
      <c r="H33" t="s">
        <v>107</v>
      </c>
      <c r="I33" t="s">
        <v>33</v>
      </c>
      <c r="J33" t="s">
        <v>58</v>
      </c>
      <c r="K33" t="s">
        <v>117</v>
      </c>
      <c r="L33" t="s">
        <v>24</v>
      </c>
      <c r="M33" t="s">
        <v>52</v>
      </c>
      <c r="N33" t="s">
        <v>31</v>
      </c>
      <c r="Q33" t="str">
        <f>LEFT(B33, 3)</f>
        <v>MSI</v>
      </c>
      <c r="R33" t="str">
        <f t="shared" ref="R33:R53" si="3">LEFT(H33, 21)</f>
        <v>AMD Dual-Core Ryzen 3</v>
      </c>
      <c r="S33" t="str">
        <f t="shared" si="0"/>
        <v>32 GB</v>
      </c>
    </row>
    <row r="34" spans="1:19">
      <c r="A34" t="str">
        <f>LEFT(B34, LEN(B34)-15)</f>
        <v>MSI Cyborg 14 A13UCX-206IN Laptop (Core i5 13th Gen/8 GB/512 GB SSD/Windows 11/4 GB)</v>
      </c>
      <c r="B34" t="s">
        <v>118</v>
      </c>
      <c r="C34" s="1">
        <v>54990</v>
      </c>
      <c r="D34" s="1">
        <v>1</v>
      </c>
      <c r="E34" s="2">
        <v>100</v>
      </c>
      <c r="F34" s="2" t="str" cm="1">
        <f t="array" ref="F34">_xlfn.IFS(AND(101&gt;E34, E34&gt;69), "Top-Tier", AND(70&gt;E34, E34&gt;39), "Mid-Tier", 40&gt;E34, "Low-Tier")</f>
        <v>Top-Tier</v>
      </c>
      <c r="G34" s="4">
        <v>45536</v>
      </c>
      <c r="H34" t="s">
        <v>107</v>
      </c>
      <c r="I34" t="s">
        <v>33</v>
      </c>
      <c r="J34" t="s">
        <v>119</v>
      </c>
      <c r="K34" t="s">
        <v>94</v>
      </c>
      <c r="L34" t="s">
        <v>24</v>
      </c>
      <c r="M34" t="s">
        <v>99</v>
      </c>
      <c r="N34" t="s">
        <v>31</v>
      </c>
      <c r="P34" s="3">
        <v>86</v>
      </c>
      <c r="Q34" t="str">
        <f>LEFT(B34, 3)</f>
        <v>MSI</v>
      </c>
      <c r="R34" t="str">
        <f t="shared" si="3"/>
        <v>AMD Dual-Core Ryzen 3</v>
      </c>
      <c r="S34" t="str">
        <f t="shared" si="0"/>
        <v xml:space="preserve">8 GB </v>
      </c>
    </row>
    <row r="35" spans="1:19">
      <c r="A35" t="str">
        <f>LEFT(B35, LEN(B35)-15)</f>
        <v>HP Pavilion Plus 14-ew0115TU (9J6L6PA) Laptop (Core i5 13th Gen/16 GB/512 GB SSD/Windows 11)</v>
      </c>
      <c r="B35" t="s">
        <v>120</v>
      </c>
      <c r="C35" s="1">
        <v>72990</v>
      </c>
      <c r="D35" s="1">
        <v>1</v>
      </c>
      <c r="E35" s="2">
        <v>100</v>
      </c>
      <c r="F35" s="2" t="str" cm="1">
        <f t="array" ref="F35">_xlfn.IFS(AND(101&gt;E35, E35&gt;69), "Top-Tier", AND(70&gt;E35, E35&gt;39), "Mid-Tier", 40&gt;E35, "Low-Tier")</f>
        <v>Top-Tier</v>
      </c>
      <c r="G35" s="4">
        <v>45505</v>
      </c>
      <c r="H35" t="s">
        <v>107</v>
      </c>
      <c r="I35" t="s">
        <v>33</v>
      </c>
      <c r="J35" t="s">
        <v>121</v>
      </c>
      <c r="K35" t="s">
        <v>94</v>
      </c>
      <c r="L35" t="s">
        <v>24</v>
      </c>
      <c r="M35" t="s">
        <v>122</v>
      </c>
      <c r="N35" t="s">
        <v>31</v>
      </c>
      <c r="P35" s="3">
        <v>82</v>
      </c>
      <c r="Q35" t="str">
        <f>LEFT(B35, 2)</f>
        <v>HP</v>
      </c>
      <c r="R35" t="str">
        <f t="shared" si="3"/>
        <v>AMD Dual-Core Ryzen 3</v>
      </c>
      <c r="S35" t="str">
        <f t="shared" si="0"/>
        <v>16 GB</v>
      </c>
    </row>
    <row r="36" spans="1:19">
      <c r="A36" t="str">
        <f>LEFT(B36, LEN(B36)-15)</f>
        <v>HP ZBook Firefly G11 (A92TXPT) Laptop (Core Ultra 5/16 GB/512 GB SSD/DOS)</v>
      </c>
      <c r="B36" t="s">
        <v>123</v>
      </c>
      <c r="C36" s="1">
        <v>80150</v>
      </c>
      <c r="D36" s="1">
        <v>1</v>
      </c>
      <c r="E36" s="2">
        <v>100</v>
      </c>
      <c r="F36" s="2" t="str" cm="1">
        <f t="array" ref="F36">_xlfn.IFS(AND(101&gt;E36, E36&gt;69), "Top-Tier", AND(70&gt;E36, E36&gt;39), "Mid-Tier", 40&gt;E36, "Low-Tier")</f>
        <v>Top-Tier</v>
      </c>
      <c r="G36" s="4">
        <v>45505</v>
      </c>
      <c r="H36" t="s">
        <v>107</v>
      </c>
      <c r="I36" t="s">
        <v>124</v>
      </c>
      <c r="J36" t="s">
        <v>54</v>
      </c>
      <c r="K36" t="s">
        <v>94</v>
      </c>
      <c r="L36" t="s">
        <v>24</v>
      </c>
      <c r="M36" t="s">
        <v>125</v>
      </c>
      <c r="N36" t="s">
        <v>31</v>
      </c>
      <c r="P36" s="3">
        <v>82</v>
      </c>
      <c r="Q36" t="str">
        <f>LEFT(B36, 2)</f>
        <v>HP</v>
      </c>
      <c r="R36" t="str">
        <f t="shared" si="3"/>
        <v>AMD Dual-Core Ryzen 3</v>
      </c>
      <c r="S36" t="str">
        <f t="shared" si="0"/>
        <v>16 GB</v>
      </c>
    </row>
    <row r="37" spans="1:19">
      <c r="A37" t="str">
        <f>LEFT(B37, LEN(B37)-15)</f>
        <v>HP ZBook Firefly G11 (A92TYPT) Laptop (Core Ultra 5/16 GB/512 GB SSD/Windows 11)</v>
      </c>
      <c r="B37" t="s">
        <v>126</v>
      </c>
      <c r="C37" s="1">
        <v>90000</v>
      </c>
      <c r="D37" s="1">
        <v>1</v>
      </c>
      <c r="E37" s="2">
        <v>100</v>
      </c>
      <c r="F37" s="2" t="str" cm="1">
        <f t="array" ref="F37">_xlfn.IFS(AND(101&gt;E37, E37&gt;69), "Top-Tier", AND(70&gt;E37, E37&gt;39), "Mid-Tier", 40&gt;E37, "Low-Tier")</f>
        <v>Top-Tier</v>
      </c>
      <c r="G37" s="4">
        <v>45505</v>
      </c>
      <c r="H37" t="s">
        <v>107</v>
      </c>
      <c r="I37" t="s">
        <v>33</v>
      </c>
      <c r="J37" t="s">
        <v>54</v>
      </c>
      <c r="K37" t="s">
        <v>94</v>
      </c>
      <c r="L37" t="s">
        <v>24</v>
      </c>
      <c r="M37" t="s">
        <v>125</v>
      </c>
      <c r="N37" t="s">
        <v>31</v>
      </c>
      <c r="P37" s="3">
        <v>82</v>
      </c>
      <c r="Q37" t="str">
        <f>LEFT(B37, 2)</f>
        <v>HP</v>
      </c>
      <c r="R37" t="str">
        <f t="shared" si="3"/>
        <v>AMD Dual-Core Ryzen 3</v>
      </c>
      <c r="S37" t="str">
        <f t="shared" si="0"/>
        <v>16 GB</v>
      </c>
    </row>
    <row r="38" spans="1:19">
      <c r="A38" t="str">
        <f>LEFT(B38, LEN(B38)-15)</f>
        <v>HP ZBook Firefly G11 (A92U2PT) Laptop (Core Ultra 7/16 GB/512 GB SSD/Windows 11)</v>
      </c>
      <c r="B38" t="s">
        <v>127</v>
      </c>
      <c r="C38" s="1">
        <v>105400</v>
      </c>
      <c r="D38" s="1">
        <v>3</v>
      </c>
      <c r="E38" s="2">
        <v>100</v>
      </c>
      <c r="F38" s="2" t="str" cm="1">
        <f t="array" ref="F38">_xlfn.IFS(AND(101&gt;E38, E38&gt;69), "Top-Tier", AND(70&gt;E38, E38&gt;39), "Mid-Tier", 40&gt;E38, "Low-Tier")</f>
        <v>Top-Tier</v>
      </c>
      <c r="G38" s="4">
        <v>45505</v>
      </c>
      <c r="H38" t="s">
        <v>107</v>
      </c>
      <c r="I38" t="s">
        <v>33</v>
      </c>
      <c r="J38" t="s">
        <v>54</v>
      </c>
      <c r="K38" t="s">
        <v>94</v>
      </c>
      <c r="L38" t="s">
        <v>24</v>
      </c>
      <c r="M38" t="s">
        <v>125</v>
      </c>
      <c r="N38" t="s">
        <v>31</v>
      </c>
      <c r="P38" s="3">
        <v>82</v>
      </c>
      <c r="Q38" t="str">
        <f>LEFT(B38, 2)</f>
        <v>HP</v>
      </c>
      <c r="R38" t="str">
        <f t="shared" si="3"/>
        <v>AMD Dual-Core Ryzen 3</v>
      </c>
      <c r="S38" t="str">
        <f t="shared" si="0"/>
        <v>16 GB</v>
      </c>
    </row>
    <row r="39" spans="1:19">
      <c r="A39" t="str">
        <f>LEFT(B39, LEN(B39)-15)</f>
        <v>Dell Inspiron 14 7440 (OIC7440100301RINU1) Laptop (Core 3 Series 1 /8 GB/512 GB SSD/Windows 11)</v>
      </c>
      <c r="B39" t="s">
        <v>128</v>
      </c>
      <c r="C39" s="1">
        <v>61378</v>
      </c>
      <c r="D39" s="1">
        <v>2</v>
      </c>
      <c r="E39" s="2">
        <v>100</v>
      </c>
      <c r="F39" s="2" t="str" cm="1">
        <f t="array" ref="F39">_xlfn.IFS(AND(101&gt;E39, E39&gt;69), "Top-Tier", AND(70&gt;E39, E39&gt;39), "Mid-Tier", 40&gt;E39, "Low-Tier")</f>
        <v>Top-Tier</v>
      </c>
      <c r="G39" s="4">
        <v>45505</v>
      </c>
      <c r="H39" t="s">
        <v>107</v>
      </c>
      <c r="I39" t="s">
        <v>33</v>
      </c>
      <c r="J39" t="s">
        <v>119</v>
      </c>
      <c r="K39" t="s">
        <v>94</v>
      </c>
      <c r="L39" t="s">
        <v>24</v>
      </c>
      <c r="M39" t="s">
        <v>122</v>
      </c>
      <c r="N39" t="s">
        <v>31</v>
      </c>
      <c r="P39" s="3">
        <v>79</v>
      </c>
      <c r="Q39" t="str">
        <f>LEFT(B39, 4)</f>
        <v>Dell</v>
      </c>
      <c r="R39" t="str">
        <f t="shared" si="3"/>
        <v>AMD Dual-Core Ryzen 3</v>
      </c>
      <c r="S39" t="str">
        <f t="shared" si="0"/>
        <v xml:space="preserve">8 GB </v>
      </c>
    </row>
    <row r="40" spans="1:19">
      <c r="A40" t="str">
        <f>LEFT(B40, LEN(B40)-15)</f>
        <v>Asus ProArt PX13 OLED HN7306WU-LX001WS Laptop (AMD Deca Core Ryzen 9/24 GB/1 TB SSD/Windows 11/6 GB)</v>
      </c>
      <c r="B40" t="s">
        <v>129</v>
      </c>
      <c r="C40" s="1">
        <v>159990</v>
      </c>
      <c r="D40" s="1">
        <v>2</v>
      </c>
      <c r="E40" s="2">
        <v>100</v>
      </c>
      <c r="F40" s="2" t="str" cm="1">
        <f t="array" ref="F40">_xlfn.IFS(AND(101&gt;E40, E40&gt;69), "Top-Tier", AND(70&gt;E40, E40&gt;39), "Mid-Tier", 40&gt;E40, "Low-Tier")</f>
        <v>Top-Tier</v>
      </c>
      <c r="G40" s="4">
        <v>45474</v>
      </c>
      <c r="H40" t="s">
        <v>107</v>
      </c>
      <c r="I40" t="s">
        <v>33</v>
      </c>
      <c r="J40" t="s">
        <v>130</v>
      </c>
      <c r="K40" t="s">
        <v>131</v>
      </c>
      <c r="L40" t="s">
        <v>24</v>
      </c>
      <c r="M40" t="s">
        <v>132</v>
      </c>
      <c r="N40" t="s">
        <v>31</v>
      </c>
      <c r="Q40" t="str">
        <f>LEFT(B40, 4)</f>
        <v>Asus</v>
      </c>
      <c r="R40" t="str">
        <f t="shared" si="3"/>
        <v>AMD Dual-Core Ryzen 3</v>
      </c>
      <c r="S40" t="str">
        <f t="shared" si="0"/>
        <v>24 GB</v>
      </c>
    </row>
    <row r="41" spans="1:19">
      <c r="A41" t="str">
        <f>LEFT(B41, LEN(B41)-15)</f>
        <v>Dell XPS 14 9440 (CXN9440CTO01RIN) Laptop (Core Ultra 7/16 GB/1 TB SSD/Windows 11)</v>
      </c>
      <c r="B41" t="s">
        <v>133</v>
      </c>
      <c r="C41" s="1">
        <v>202389</v>
      </c>
      <c r="D41" s="1">
        <v>1</v>
      </c>
      <c r="E41" s="2">
        <v>100</v>
      </c>
      <c r="F41" s="2" t="str" cm="1">
        <f t="array" ref="F41">_xlfn.IFS(AND(101&gt;E41, E41&gt;69), "Top-Tier", AND(70&gt;E41, E41&gt;39), "Mid-Tier", 40&gt;E41, "Low-Tier")</f>
        <v>Top-Tier</v>
      </c>
      <c r="G41" s="4">
        <v>45474</v>
      </c>
      <c r="H41" t="s">
        <v>107</v>
      </c>
      <c r="I41" t="s">
        <v>33</v>
      </c>
      <c r="J41" t="s">
        <v>42</v>
      </c>
      <c r="K41" t="s">
        <v>134</v>
      </c>
      <c r="L41" t="s">
        <v>24</v>
      </c>
      <c r="M41" t="s">
        <v>135</v>
      </c>
      <c r="P41" s="3">
        <v>85</v>
      </c>
      <c r="Q41" t="str">
        <f>LEFT(B41, 4)</f>
        <v>Dell</v>
      </c>
      <c r="R41" t="str">
        <f t="shared" si="3"/>
        <v>AMD Dual-Core Ryzen 3</v>
      </c>
      <c r="S41" t="str">
        <f t="shared" si="0"/>
        <v>16 GB</v>
      </c>
    </row>
    <row r="42" spans="1:19">
      <c r="A42" t="str">
        <f>LEFT(B42, LEN(B42)-15)</f>
        <v>Dell XPS 16 9640 (OXN9640130001RIN) Laptop (Core Ultra 9/32 GB/1 TB SSD/Windows 11/8 GB)</v>
      </c>
      <c r="B42" t="s">
        <v>136</v>
      </c>
      <c r="C42" s="1">
        <v>376627</v>
      </c>
      <c r="D42" s="1">
        <v>1</v>
      </c>
      <c r="E42" s="2">
        <v>100</v>
      </c>
      <c r="F42" s="2" t="str" cm="1">
        <f t="array" ref="F42">_xlfn.IFS(AND(101&gt;E42, E42&gt;69), "Top-Tier", AND(70&gt;E42, E42&gt;39), "Mid-Tier", 40&gt;E42, "Low-Tier")</f>
        <v>Top-Tier</v>
      </c>
      <c r="G42" s="4">
        <v>45474</v>
      </c>
      <c r="H42" t="s">
        <v>107</v>
      </c>
      <c r="I42" t="s">
        <v>33</v>
      </c>
      <c r="J42" t="s">
        <v>58</v>
      </c>
      <c r="K42" t="s">
        <v>137</v>
      </c>
      <c r="L42" t="s">
        <v>24</v>
      </c>
      <c r="M42" t="s">
        <v>138</v>
      </c>
      <c r="Q42" t="str">
        <f>LEFT(B42, 4)</f>
        <v>Dell</v>
      </c>
      <c r="R42" t="str">
        <f t="shared" si="3"/>
        <v>AMD Dual-Core Ryzen 3</v>
      </c>
      <c r="S42" t="str">
        <f t="shared" si="0"/>
        <v>32 GB</v>
      </c>
    </row>
    <row r="43" spans="1:19">
      <c r="A43" t="str">
        <f>LEFT(B43, LEN(B43)-15)</f>
        <v>Microsoft Surface Pro 11 (ZIA-00014) Laptop (Snapdragon X Elite/16 GB/512 GB SSD/Windows 11)</v>
      </c>
      <c r="B43" t="s">
        <v>139</v>
      </c>
      <c r="C43" s="1">
        <v>141900</v>
      </c>
      <c r="D43" s="1">
        <v>3</v>
      </c>
      <c r="E43" s="2">
        <v>100</v>
      </c>
      <c r="F43" s="2" t="str" cm="1">
        <f t="array" ref="F43">_xlfn.IFS(AND(101&gt;E43, E43&gt;69), "Top-Tier", AND(70&gt;E43, E43&gt;39), "Mid-Tier", 40&gt;E43, "Low-Tier")</f>
        <v>Top-Tier</v>
      </c>
      <c r="G43" s="4">
        <v>45474</v>
      </c>
      <c r="H43" t="s">
        <v>107</v>
      </c>
      <c r="I43" t="s">
        <v>33</v>
      </c>
      <c r="J43" t="s">
        <v>54</v>
      </c>
      <c r="K43" t="s">
        <v>140</v>
      </c>
      <c r="L43" t="s">
        <v>24</v>
      </c>
      <c r="P43" s="3">
        <v>82</v>
      </c>
      <c r="Q43" t="str">
        <f>LEFT(B43, 9)</f>
        <v>Microsoft</v>
      </c>
      <c r="R43" t="str">
        <f t="shared" si="3"/>
        <v>AMD Dual-Core Ryzen 3</v>
      </c>
      <c r="S43" t="str">
        <f t="shared" si="0"/>
        <v>16 GB</v>
      </c>
    </row>
    <row r="44" spans="1:19">
      <c r="A44" t="str">
        <f>LEFT(B44, LEN(B44)-15)</f>
        <v>Microsoft Surface Pro 11 (ZIA-00031) Laptop (Snapdragon X Elite/16 GB/512 GB SSD/Windows 11)</v>
      </c>
      <c r="B44" t="s">
        <v>141</v>
      </c>
      <c r="C44" s="1">
        <v>161990</v>
      </c>
      <c r="D44" s="1">
        <v>3</v>
      </c>
      <c r="E44" s="2">
        <v>100</v>
      </c>
      <c r="F44" s="2" t="str" cm="1">
        <f t="array" ref="F44">_xlfn.IFS(AND(101&gt;E44, E44&gt;69), "Top-Tier", AND(70&gt;E44, E44&gt;39), "Mid-Tier", 40&gt;E44, "Low-Tier")</f>
        <v>Top-Tier</v>
      </c>
      <c r="G44" s="4">
        <v>45474</v>
      </c>
      <c r="H44" t="s">
        <v>107</v>
      </c>
      <c r="I44" t="s">
        <v>33</v>
      </c>
      <c r="J44" t="s">
        <v>54</v>
      </c>
      <c r="K44" t="s">
        <v>140</v>
      </c>
      <c r="L44" t="s">
        <v>24</v>
      </c>
      <c r="P44" s="3">
        <v>83</v>
      </c>
      <c r="Q44" t="str">
        <f>LEFT(B44, 9)</f>
        <v>Microsoft</v>
      </c>
      <c r="R44" t="str">
        <f t="shared" si="3"/>
        <v>AMD Dual-Core Ryzen 3</v>
      </c>
      <c r="S44" t="str">
        <f t="shared" si="0"/>
        <v>16 GB</v>
      </c>
    </row>
    <row r="45" spans="1:19">
      <c r="A45" t="str">
        <f>LEFT(B45, LEN(B45)-15)</f>
        <v>Microsoft Surface 7 (ZGQ-00023) Laptop (Snapdragon X Elite/32 GB/1 TB SSD/Windows 11)</v>
      </c>
      <c r="B45" t="s">
        <v>142</v>
      </c>
      <c r="C45" s="1">
        <v>202990</v>
      </c>
      <c r="D45" s="1">
        <v>1</v>
      </c>
      <c r="E45" s="2">
        <v>100</v>
      </c>
      <c r="F45" s="2" t="str" cm="1">
        <f t="array" ref="F45">_xlfn.IFS(AND(101&gt;E45, E45&gt;69), "Top-Tier", AND(70&gt;E45, E45&gt;39), "Mid-Tier", 40&gt;E45, "Low-Tier")</f>
        <v>Top-Tier</v>
      </c>
      <c r="G45" s="4">
        <v>45474</v>
      </c>
      <c r="H45" t="s">
        <v>143</v>
      </c>
      <c r="I45" t="s">
        <v>33</v>
      </c>
      <c r="J45" t="s">
        <v>144</v>
      </c>
      <c r="K45" t="s">
        <v>55</v>
      </c>
      <c r="L45" t="s">
        <v>24</v>
      </c>
      <c r="P45" s="3">
        <v>83</v>
      </c>
      <c r="Q45" t="str">
        <f>LEFT(B45, 9)</f>
        <v>Microsoft</v>
      </c>
      <c r="R45" t="str">
        <f t="shared" si="3"/>
        <v>AMD Dual-Core Ryzen 3</v>
      </c>
      <c r="S45" t="str">
        <f t="shared" si="0"/>
        <v>32 GB</v>
      </c>
    </row>
    <row r="46" spans="1:19">
      <c r="A46" t="str">
        <f>LEFT(B46, LEN(B46)-15)</f>
        <v>Microsoft Surface 7 (ZGM-00059) Laptop (Snapdragon X Plus/16 GB/512 GB SSD/Windows 11)</v>
      </c>
      <c r="B46" t="s">
        <v>145</v>
      </c>
      <c r="C46" s="1">
        <v>126990</v>
      </c>
      <c r="D46" s="1">
        <v>3</v>
      </c>
      <c r="E46" s="2">
        <v>100</v>
      </c>
      <c r="F46" s="2" t="str" cm="1">
        <f t="array" ref="F46">_xlfn.IFS(AND(101&gt;E46, E46&gt;69), "Top-Tier", AND(70&gt;E46, E46&gt;39), "Mid-Tier", 40&gt;E46, "Low-Tier")</f>
        <v>Top-Tier</v>
      </c>
      <c r="G46" s="4">
        <v>45474</v>
      </c>
      <c r="H46" t="s">
        <v>146</v>
      </c>
      <c r="I46" t="s">
        <v>33</v>
      </c>
      <c r="J46" t="s">
        <v>63</v>
      </c>
      <c r="K46" t="s">
        <v>55</v>
      </c>
      <c r="L46" t="s">
        <v>24</v>
      </c>
      <c r="P46" s="3">
        <v>80</v>
      </c>
      <c r="Q46" t="str">
        <f>LEFT(B46, 9)</f>
        <v>Microsoft</v>
      </c>
      <c r="R46" t="str">
        <f t="shared" si="3"/>
        <v>AMD Hexa-Core Ryzen 5</v>
      </c>
      <c r="S46" t="str">
        <f t="shared" si="0"/>
        <v>16 GB</v>
      </c>
    </row>
    <row r="47" spans="1:19">
      <c r="A47" t="str">
        <f>LEFT(B47, LEN(B47)-15)</f>
        <v>MSI Modern 14 C12MO-1249IN Laptop (Core i5 13th Gen/8 GB/512 GB SSD/Windows 11)</v>
      </c>
      <c r="B47" t="s">
        <v>147</v>
      </c>
      <c r="C47" s="1">
        <v>41711</v>
      </c>
      <c r="D47" s="1">
        <v>2</v>
      </c>
      <c r="E47" s="2">
        <v>100</v>
      </c>
      <c r="F47" s="2" t="str" cm="1">
        <f t="array" ref="F47">_xlfn.IFS(AND(101&gt;E47, E47&gt;69), "Top-Tier", AND(70&gt;E47, E47&gt;39), "Mid-Tier", 40&gt;E47, "Low-Tier")</f>
        <v>Top-Tier</v>
      </c>
      <c r="G47" s="4">
        <v>45474</v>
      </c>
      <c r="H47" t="s">
        <v>148</v>
      </c>
      <c r="I47" t="s">
        <v>33</v>
      </c>
      <c r="J47" t="s">
        <v>119</v>
      </c>
      <c r="K47" t="s">
        <v>149</v>
      </c>
      <c r="L47" t="s">
        <v>24</v>
      </c>
      <c r="N47" t="s">
        <v>31</v>
      </c>
      <c r="P47" s="3">
        <v>78</v>
      </c>
      <c r="Q47" t="str">
        <f>LEFT(B47, 3)</f>
        <v>MSI</v>
      </c>
      <c r="R47" t="str">
        <f t="shared" si="3"/>
        <v>AMD Hexa-Core Ryzen 5</v>
      </c>
      <c r="S47" t="str">
        <f t="shared" si="0"/>
        <v xml:space="preserve">8 GB </v>
      </c>
    </row>
    <row r="48" spans="1:19">
      <c r="A48" t="str">
        <f>LEFT(B48, LEN(B48)-15)</f>
        <v>Lenovo IdeaPad Slim 3 15IRU9 (83E6001JIN) Laptop (Core 5 Series 1 /16 GB/512 GB SSD/Windows 11)</v>
      </c>
      <c r="B48" t="s">
        <v>150</v>
      </c>
      <c r="C48" s="1">
        <v>51990</v>
      </c>
      <c r="D48" s="1">
        <v>1</v>
      </c>
      <c r="E48" s="2">
        <v>100</v>
      </c>
      <c r="F48" s="2" t="str" cm="1">
        <f t="array" ref="F48">_xlfn.IFS(AND(101&gt;E48, E48&gt;69), "Top-Tier", AND(70&gt;E48, E48&gt;39), "Mid-Tier", 40&gt;E48, "Low-Tier")</f>
        <v>Top-Tier</v>
      </c>
      <c r="G48" s="4">
        <v>45444</v>
      </c>
      <c r="H48" t="s">
        <v>151</v>
      </c>
      <c r="I48" t="s">
        <v>33</v>
      </c>
      <c r="J48" t="s">
        <v>54</v>
      </c>
      <c r="K48" t="s">
        <v>51</v>
      </c>
      <c r="L48" t="s">
        <v>24</v>
      </c>
      <c r="O48" t="s">
        <v>152</v>
      </c>
      <c r="P48" s="3">
        <v>77</v>
      </c>
      <c r="Q48" t="str">
        <f>LEFT(B48, 6)</f>
        <v>Lenovo</v>
      </c>
      <c r="R48" t="str">
        <f t="shared" si="3"/>
        <v>AMD Hexa-Core Ryzen 5</v>
      </c>
      <c r="S48" t="str">
        <f t="shared" si="0"/>
        <v>16 GB</v>
      </c>
    </row>
    <row r="49" spans="1:19">
      <c r="A49" t="str">
        <f>LEFT(B49, LEN(B49)-15)</f>
        <v>HP ZBook Firefly G10 (8F6K1PA) Laptop (Core i7 13th Gen/16 GB/1 TB SSD/Windows 11/4 GB)</v>
      </c>
      <c r="B49" t="s">
        <v>153</v>
      </c>
      <c r="C49" s="1">
        <v>135000</v>
      </c>
      <c r="D49" s="1">
        <v>2</v>
      </c>
      <c r="E49" s="2">
        <v>100</v>
      </c>
      <c r="F49" s="2" t="str" cm="1">
        <f t="array" ref="F49">_xlfn.IFS(AND(101&gt;E49, E49&gt;69), "Top-Tier", AND(70&gt;E49, E49&gt;39), "Mid-Tier", 40&gt;E49, "Low-Tier")</f>
        <v>Top-Tier</v>
      </c>
      <c r="G49" s="4">
        <v>45444</v>
      </c>
      <c r="H49" t="s">
        <v>154</v>
      </c>
      <c r="I49" t="s">
        <v>33</v>
      </c>
      <c r="J49" t="s">
        <v>72</v>
      </c>
      <c r="K49" t="s">
        <v>155</v>
      </c>
      <c r="L49" t="s">
        <v>24</v>
      </c>
      <c r="M49" t="s">
        <v>52</v>
      </c>
      <c r="P49" s="3">
        <v>87</v>
      </c>
      <c r="Q49" t="str">
        <f>LEFT(B49, 2)</f>
        <v>HP</v>
      </c>
      <c r="R49" t="str">
        <f t="shared" si="3"/>
        <v>AMD Hexa-Core Ryzen 5</v>
      </c>
      <c r="S49" t="str">
        <f t="shared" si="0"/>
        <v>16 GB</v>
      </c>
    </row>
    <row r="50" spans="1:19">
      <c r="A50" t="str">
        <f>LEFT(B50, LEN(B50)-15)</f>
        <v>HP ZBook Firefly G11 (A1VX4PT) Laptop (Core Ultra 7/32 GB/1 TB SSD/Windows 11/4 GB)</v>
      </c>
      <c r="B50" t="s">
        <v>156</v>
      </c>
      <c r="C50" s="1">
        <v>146250</v>
      </c>
      <c r="D50" s="1">
        <v>1</v>
      </c>
      <c r="E50" s="2">
        <v>100</v>
      </c>
      <c r="F50" s="2" t="str" cm="1">
        <f t="array" ref="F50">_xlfn.IFS(AND(101&gt;E50, E50&gt;69), "Top-Tier", AND(70&gt;E50, E50&gt;39), "Mid-Tier", 40&gt;E50, "Low-Tier")</f>
        <v>Top-Tier</v>
      </c>
      <c r="G50" s="4">
        <v>45444</v>
      </c>
      <c r="H50" t="s">
        <v>154</v>
      </c>
      <c r="I50" t="s">
        <v>33</v>
      </c>
      <c r="J50" t="s">
        <v>144</v>
      </c>
      <c r="K50" t="s">
        <v>155</v>
      </c>
      <c r="L50" t="s">
        <v>24</v>
      </c>
      <c r="M50" t="s">
        <v>125</v>
      </c>
      <c r="N50" t="s">
        <v>31</v>
      </c>
      <c r="Q50" t="str">
        <f>LEFT(B50, 2)</f>
        <v>HP</v>
      </c>
      <c r="R50" t="str">
        <f t="shared" si="3"/>
        <v>AMD Hexa-Core Ryzen 5</v>
      </c>
      <c r="S50" t="str">
        <f t="shared" si="0"/>
        <v>32 GB</v>
      </c>
    </row>
    <row r="51" spans="1:19">
      <c r="A51" t="str">
        <f>LEFT(B51, LEN(B51)-15)</f>
        <v>Dell Inspiron 14 (OIC7440100101RINU1) Laptop (Core 7 Series 1 /16 GB/1 TB SSD/Windows 11)</v>
      </c>
      <c r="B51" t="s">
        <v>157</v>
      </c>
      <c r="C51" s="1">
        <v>94989</v>
      </c>
      <c r="D51" s="1">
        <v>1</v>
      </c>
      <c r="E51" s="2">
        <v>100</v>
      </c>
      <c r="F51" s="2" t="str" cm="1">
        <f t="array" ref="F51">_xlfn.IFS(AND(101&gt;E51, E51&gt;69), "Top-Tier", AND(70&gt;E51, E51&gt;39), "Mid-Tier", 40&gt;E51, "Low-Tier")</f>
        <v>Top-Tier</v>
      </c>
      <c r="G51" s="4">
        <v>45444</v>
      </c>
      <c r="H51" t="s">
        <v>154</v>
      </c>
      <c r="I51" t="s">
        <v>33</v>
      </c>
      <c r="J51" t="s">
        <v>72</v>
      </c>
      <c r="K51" t="s">
        <v>94</v>
      </c>
      <c r="L51" t="s">
        <v>24</v>
      </c>
      <c r="M51" t="s">
        <v>122</v>
      </c>
      <c r="N51" t="s">
        <v>31</v>
      </c>
      <c r="P51" s="3">
        <v>83</v>
      </c>
      <c r="Q51" t="str">
        <f>LEFT(B51, 4)</f>
        <v>Dell</v>
      </c>
      <c r="R51" t="str">
        <f t="shared" si="3"/>
        <v>AMD Hexa-Core Ryzen 5</v>
      </c>
      <c r="S51" t="str">
        <f t="shared" si="0"/>
        <v>16 GB</v>
      </c>
    </row>
    <row r="52" spans="1:19">
      <c r="A52" t="str">
        <f>LEFT(B52, LEN(B52)-15)</f>
        <v>Asus VivoBook 15 X1502ZA-EJ545WS Laptop (Core i5 12th Gen/16 GB/512 GB SSD/Windows 11)</v>
      </c>
      <c r="B52" t="s">
        <v>158</v>
      </c>
      <c r="C52" s="1">
        <v>51990</v>
      </c>
      <c r="D52" s="1">
        <v>1</v>
      </c>
      <c r="E52" s="2">
        <v>100</v>
      </c>
      <c r="F52" s="2" t="str" cm="1">
        <f t="array" ref="F52">_xlfn.IFS(AND(101&gt;E52, E52&gt;69), "Top-Tier", AND(70&gt;E52, E52&gt;39), "Mid-Tier", 40&gt;E52, "Low-Tier")</f>
        <v>Top-Tier</v>
      </c>
      <c r="G52" s="4">
        <v>45444</v>
      </c>
      <c r="H52" t="s">
        <v>154</v>
      </c>
      <c r="I52" t="s">
        <v>33</v>
      </c>
      <c r="J52" t="s">
        <v>34</v>
      </c>
      <c r="K52" t="s">
        <v>159</v>
      </c>
      <c r="L52" t="s">
        <v>24</v>
      </c>
      <c r="M52" t="s">
        <v>52</v>
      </c>
      <c r="N52" t="s">
        <v>31</v>
      </c>
      <c r="P52" s="3">
        <v>80</v>
      </c>
      <c r="Q52" t="str">
        <f>LEFT(B52, 4)</f>
        <v>Asus</v>
      </c>
      <c r="R52" t="str">
        <f t="shared" si="3"/>
        <v>AMD Hexa-Core Ryzen 5</v>
      </c>
      <c r="S52" t="str">
        <f t="shared" si="0"/>
        <v>16 GB</v>
      </c>
    </row>
    <row r="53" spans="1:19">
      <c r="A53" t="str">
        <f>LEFT(B53, LEN(B53)-15)</f>
        <v>MSI Cyborg 14 A13UCX-204IN Laptop (Core i7 13th Gen/16 GB/512 GB SSD/Windows 11/4 GB)</v>
      </c>
      <c r="B53" t="s">
        <v>160</v>
      </c>
      <c r="C53" s="1">
        <v>67990</v>
      </c>
      <c r="D53" s="1">
        <v>1</v>
      </c>
      <c r="E53" s="2">
        <v>100</v>
      </c>
      <c r="F53" s="2" t="str" cm="1">
        <f t="array" ref="F53">_xlfn.IFS(AND(101&gt;E53, E53&gt;69), "Top-Tier", AND(70&gt;E53, E53&gt;39), "Mid-Tier", 40&gt;E53, "Low-Tier")</f>
        <v>Top-Tier</v>
      </c>
      <c r="G53" s="4">
        <v>45444</v>
      </c>
      <c r="H53" t="s">
        <v>154</v>
      </c>
      <c r="I53" t="s">
        <v>33</v>
      </c>
      <c r="J53" t="s">
        <v>54</v>
      </c>
      <c r="K53" t="s">
        <v>94</v>
      </c>
      <c r="L53" t="s">
        <v>24</v>
      </c>
      <c r="M53" t="s">
        <v>99</v>
      </c>
      <c r="N53" t="s">
        <v>31</v>
      </c>
      <c r="Q53" t="str">
        <f>LEFT(B53, 3)</f>
        <v>MSI</v>
      </c>
      <c r="R53" t="str">
        <f t="shared" si="3"/>
        <v>AMD Hexa-Core Ryzen 5</v>
      </c>
      <c r="S53" t="str">
        <f t="shared" si="0"/>
        <v>16 GB</v>
      </c>
    </row>
    <row r="54" spans="1:19">
      <c r="A54" t="str">
        <f>LEFT(B54, LEN(B54)-15)</f>
        <v>HP 15-fc0155AU (9D3M9PA) Laptop (AMD Quad Core Ryzen 5/8 GB/512 GB SSD/Windows 11)</v>
      </c>
      <c r="B54" t="s">
        <v>161</v>
      </c>
      <c r="C54" s="1">
        <v>36990</v>
      </c>
      <c r="D54" s="1">
        <v>2</v>
      </c>
      <c r="E54" s="2">
        <v>100</v>
      </c>
      <c r="F54" s="2" t="str" cm="1">
        <f t="array" ref="F54">_xlfn.IFS(AND(101&gt;E54, E54&gt;69), "Top-Tier", AND(70&gt;E54, E54&gt;39), "Mid-Tier", 40&gt;E54, "Low-Tier")</f>
        <v>Top-Tier</v>
      </c>
      <c r="G54" s="4">
        <v>45444</v>
      </c>
      <c r="H54" t="s">
        <v>154</v>
      </c>
      <c r="I54" t="s">
        <v>33</v>
      </c>
      <c r="J54" t="s">
        <v>162</v>
      </c>
      <c r="K54" t="s">
        <v>51</v>
      </c>
      <c r="L54" t="s">
        <v>24</v>
      </c>
      <c r="M54" t="s">
        <v>99</v>
      </c>
      <c r="N54" t="s">
        <v>31</v>
      </c>
      <c r="P54" s="3">
        <v>76</v>
      </c>
      <c r="Q54" t="str">
        <f>LEFT(B54, 2)</f>
        <v>HP</v>
      </c>
      <c r="R54" t="str">
        <f>LEFT(H54, 21)</f>
        <v>AMD Hexa-Core Ryzen 5</v>
      </c>
      <c r="S54" t="str">
        <f t="shared" si="0"/>
        <v xml:space="preserve">8 GB </v>
      </c>
    </row>
    <row r="55" spans="1:19">
      <c r="A55" t="str">
        <f>LEFT(B55, LEN(B55)-15)</f>
        <v>Samsung Galaxy Book 4 360 NP750QGK-KG2IN Laptop (Core 7 Series 1 /16 GB/512 GB SSD/Windows 11)</v>
      </c>
      <c r="B55" t="s">
        <v>163</v>
      </c>
      <c r="C55" s="1">
        <v>122990</v>
      </c>
      <c r="D55" s="1">
        <v>1</v>
      </c>
      <c r="E55" s="2">
        <v>100</v>
      </c>
      <c r="F55" s="2" t="str" cm="1">
        <f t="array" ref="F55">_xlfn.IFS(AND(101&gt;E55, E55&gt;69), "Top-Tier", AND(70&gt;E55, E55&gt;39), "Mid-Tier", 40&gt;E55, "Low-Tier")</f>
        <v>Top-Tier</v>
      </c>
      <c r="G55" s="4">
        <v>45352</v>
      </c>
      <c r="H55" t="s">
        <v>154</v>
      </c>
      <c r="I55" t="s">
        <v>33</v>
      </c>
      <c r="J55" t="s">
        <v>121</v>
      </c>
      <c r="K55" t="s">
        <v>164</v>
      </c>
      <c r="L55" t="s">
        <v>24</v>
      </c>
      <c r="M55" t="s">
        <v>165</v>
      </c>
      <c r="N55" t="s">
        <v>31</v>
      </c>
      <c r="P55" s="3">
        <v>82</v>
      </c>
      <c r="Q55" t="str">
        <f>LEFT(B55, 7)</f>
        <v>Samsung</v>
      </c>
      <c r="R55" t="str">
        <f t="shared" ref="R55:R63" si="4">LEFT(H55, 21)</f>
        <v>AMD Hexa-Core Ryzen 5</v>
      </c>
      <c r="S55" t="str">
        <f t="shared" si="0"/>
        <v>16 GB</v>
      </c>
    </row>
    <row r="56" spans="1:19">
      <c r="A56" t="str">
        <f>LEFT(B56, LEN(B56)-15)</f>
        <v>Samsung Galaxy Book 4 360 NP750QGK-KG3IN Laptop (Core 7 Series 1 /16 GB/1 TB SSD/Windows 11)</v>
      </c>
      <c r="B56" t="s">
        <v>166</v>
      </c>
      <c r="C56" s="1">
        <v>138990</v>
      </c>
      <c r="D56" s="1">
        <v>1</v>
      </c>
      <c r="E56" s="2">
        <v>100</v>
      </c>
      <c r="F56" s="2" t="str" cm="1">
        <f t="array" ref="F56">_xlfn.IFS(AND(101&gt;E56, E56&gt;69), "Top-Tier", AND(70&gt;E56, E56&gt;39), "Mid-Tier", 40&gt;E56, "Low-Tier")</f>
        <v>Top-Tier</v>
      </c>
      <c r="G56" s="4">
        <v>45323</v>
      </c>
      <c r="H56" t="s">
        <v>154</v>
      </c>
      <c r="I56" t="s">
        <v>33</v>
      </c>
      <c r="J56" t="s">
        <v>167</v>
      </c>
      <c r="K56" t="s">
        <v>164</v>
      </c>
      <c r="L56" t="s">
        <v>24</v>
      </c>
      <c r="M56" t="s">
        <v>165</v>
      </c>
      <c r="N56" t="s">
        <v>31</v>
      </c>
      <c r="P56" s="3">
        <v>83</v>
      </c>
      <c r="Q56" t="str">
        <f>LEFT(B56, 7)</f>
        <v>Samsung</v>
      </c>
      <c r="R56" t="str">
        <f t="shared" si="4"/>
        <v>AMD Hexa-Core Ryzen 5</v>
      </c>
      <c r="S56" t="str">
        <f t="shared" si="0"/>
        <v>16 GB</v>
      </c>
    </row>
    <row r="57" spans="1:19">
      <c r="A57" t="str">
        <f>LEFT(B57, LEN(B57)-15)</f>
        <v>Samsung Galaxy Book 4 Pro 360 NP960QGK-KG1IN Laptop (Core Ultra 7/16 GB/512 GB SSD/Windows 11)</v>
      </c>
      <c r="B57" t="s">
        <v>168</v>
      </c>
      <c r="C57" s="1">
        <v>150699</v>
      </c>
      <c r="D57" s="1">
        <v>1</v>
      </c>
      <c r="E57" s="2">
        <v>100</v>
      </c>
      <c r="F57" s="2" t="str" cm="1">
        <f t="array" ref="F57">_xlfn.IFS(AND(101&gt;E57, E57&gt;69), "Top-Tier", AND(70&gt;E57, E57&gt;39), "Mid-Tier", 40&gt;E57, "Low-Tier")</f>
        <v>Top-Tier</v>
      </c>
      <c r="G57" s="4">
        <v>45323</v>
      </c>
      <c r="H57" t="s">
        <v>154</v>
      </c>
      <c r="I57" t="s">
        <v>33</v>
      </c>
      <c r="J57" t="s">
        <v>63</v>
      </c>
      <c r="K57" t="s">
        <v>169</v>
      </c>
      <c r="L57" t="s">
        <v>24</v>
      </c>
      <c r="M57" t="s">
        <v>170</v>
      </c>
      <c r="N57" t="s">
        <v>31</v>
      </c>
      <c r="P57" s="3">
        <v>85</v>
      </c>
      <c r="Q57" t="str">
        <f>LEFT(B57, 7)</f>
        <v>Samsung</v>
      </c>
      <c r="R57" t="str">
        <f t="shared" si="4"/>
        <v>AMD Hexa-Core Ryzen 5</v>
      </c>
      <c r="S57" t="str">
        <f t="shared" si="0"/>
        <v>16 GB</v>
      </c>
    </row>
    <row r="58" spans="1:19">
      <c r="A58" t="str">
        <f>LEFT(B58, LEN(B58)-15)</f>
        <v>Asus ROG Strix Scar 16 G634JZR-CM932WS Laptop (Core i9 14th Gen/32 GB/2 TB SSD/Windows 11/12 GB)</v>
      </c>
      <c r="B58" t="s">
        <v>171</v>
      </c>
      <c r="C58" s="1">
        <v>279990</v>
      </c>
      <c r="D58" s="1">
        <v>3</v>
      </c>
      <c r="E58" s="2">
        <v>100</v>
      </c>
      <c r="F58" s="2" t="str" cm="1">
        <f t="array" ref="F58">_xlfn.IFS(AND(101&gt;E58, E58&gt;69), "Top-Tier", AND(70&gt;E58, E58&gt;39), "Mid-Tier", 40&gt;E58, "Low-Tier")</f>
        <v>Top-Tier</v>
      </c>
      <c r="G58" s="4">
        <v>45323</v>
      </c>
      <c r="H58" t="s">
        <v>154</v>
      </c>
      <c r="I58" t="s">
        <v>33</v>
      </c>
      <c r="J58" t="s">
        <v>172</v>
      </c>
      <c r="K58" t="s">
        <v>173</v>
      </c>
      <c r="L58" t="s">
        <v>24</v>
      </c>
      <c r="N58" t="s">
        <v>31</v>
      </c>
      <c r="Q58" t="str">
        <f>LEFT(B58, 4)</f>
        <v>Asus</v>
      </c>
      <c r="R58" t="str">
        <f t="shared" si="4"/>
        <v>AMD Hexa-Core Ryzen 5</v>
      </c>
      <c r="S58" t="str">
        <f t="shared" si="0"/>
        <v>32 GB</v>
      </c>
    </row>
    <row r="59" spans="1:19">
      <c r="A59" t="str">
        <f>LEFT(B59, LEN(B59)-15)</f>
        <v>Asus ROG Strix Scar 16 G634JYR-RA001WS Laptop (Core i9 14th Gen/32 GB/2 TB SSD/Windows 11/16 GB)</v>
      </c>
      <c r="B59" t="s">
        <v>174</v>
      </c>
      <c r="C59" s="1">
        <v>329990</v>
      </c>
      <c r="D59" s="1">
        <v>2</v>
      </c>
      <c r="E59" s="2">
        <v>100</v>
      </c>
      <c r="F59" s="2" t="str" cm="1">
        <f t="array" ref="F59">_xlfn.IFS(AND(101&gt;E59, E59&gt;69), "Top-Tier", AND(70&gt;E59, E59&gt;39), "Mid-Tier", 40&gt;E59, "Low-Tier")</f>
        <v>Top-Tier</v>
      </c>
      <c r="G59" s="4">
        <v>45323</v>
      </c>
      <c r="H59" t="s">
        <v>154</v>
      </c>
      <c r="I59" t="s">
        <v>33</v>
      </c>
      <c r="J59" t="s">
        <v>172</v>
      </c>
      <c r="K59" t="s">
        <v>173</v>
      </c>
      <c r="L59" t="s">
        <v>24</v>
      </c>
      <c r="N59" t="s">
        <v>31</v>
      </c>
      <c r="Q59" t="str">
        <f>LEFT(B59, 4)</f>
        <v>Asus</v>
      </c>
      <c r="R59" t="str">
        <f t="shared" si="4"/>
        <v>AMD Hexa-Core Ryzen 5</v>
      </c>
      <c r="S59" t="str">
        <f t="shared" si="0"/>
        <v>32 GB</v>
      </c>
    </row>
    <row r="60" spans="1:19">
      <c r="A60" t="str">
        <f>LEFT(B60, LEN(B60)-15)</f>
        <v>Lenovo LOQ 15IRX9 (83DV007HIN) Laptop (Core i7 13th Gen/16 GB/512 GB SSD/Windows 11/6 GB)</v>
      </c>
      <c r="B60" t="s">
        <v>175</v>
      </c>
      <c r="C60" s="1">
        <v>93190</v>
      </c>
      <c r="D60" s="1">
        <v>2</v>
      </c>
      <c r="E60" s="2">
        <v>100</v>
      </c>
      <c r="F60" s="2" t="str" cm="1">
        <f t="array" ref="F60">_xlfn.IFS(AND(101&gt;E60, E60&gt;69), "Top-Tier", AND(70&gt;E60, E60&gt;39), "Mid-Tier", 40&gt;E60, "Low-Tier")</f>
        <v>Top-Tier</v>
      </c>
      <c r="G60" s="4">
        <v>45292</v>
      </c>
      <c r="H60" t="s">
        <v>154</v>
      </c>
      <c r="I60" t="s">
        <v>33</v>
      </c>
      <c r="J60" t="s">
        <v>54</v>
      </c>
      <c r="K60" t="s">
        <v>51</v>
      </c>
      <c r="L60" t="s">
        <v>24</v>
      </c>
      <c r="M60" t="s">
        <v>176</v>
      </c>
      <c r="N60" t="s">
        <v>31</v>
      </c>
      <c r="Q60" t="str">
        <f>LEFT(B60, 6)</f>
        <v>Lenovo</v>
      </c>
      <c r="R60" t="str">
        <f t="shared" si="4"/>
        <v>AMD Hexa-Core Ryzen 5</v>
      </c>
      <c r="S60" t="str">
        <f t="shared" si="0"/>
        <v>16 GB</v>
      </c>
    </row>
    <row r="61" spans="1:19">
      <c r="A61" t="str">
        <f>LEFT(B61, LEN(B61)-15)</f>
        <v>HP Spectre x360 14-eu0556TU (9T8K6PA) Laptop (Intel Core Ultra 7/32 GB/1 TB SSD/Windows 11)</v>
      </c>
      <c r="B61" t="s">
        <v>177</v>
      </c>
      <c r="C61" s="1">
        <v>159990</v>
      </c>
      <c r="D61" s="1">
        <v>3</v>
      </c>
      <c r="E61" s="2">
        <v>100</v>
      </c>
      <c r="F61" s="2" t="str" cm="1">
        <f t="array" ref="F61">_xlfn.IFS(AND(101&gt;E61, E61&gt;69), "Top-Tier", AND(70&gt;E61, E61&gt;39), "Mid-Tier", 40&gt;E61, "Low-Tier")</f>
        <v>Top-Tier</v>
      </c>
      <c r="G61" s="4">
        <v>45292</v>
      </c>
      <c r="H61" t="s">
        <v>154</v>
      </c>
      <c r="I61" t="s">
        <v>33</v>
      </c>
      <c r="J61" t="s">
        <v>58</v>
      </c>
      <c r="K61" t="s">
        <v>81</v>
      </c>
      <c r="L61" t="s">
        <v>24</v>
      </c>
      <c r="M61" t="s">
        <v>178</v>
      </c>
      <c r="P61" s="3">
        <v>86</v>
      </c>
      <c r="Q61" t="str">
        <f>LEFT(B61, 2)</f>
        <v>HP</v>
      </c>
      <c r="R61" t="str">
        <f t="shared" si="4"/>
        <v>AMD Hexa-Core Ryzen 5</v>
      </c>
      <c r="S61" t="str">
        <f t="shared" si="0"/>
        <v>32 GB</v>
      </c>
    </row>
    <row r="62" spans="1:19">
      <c r="A62" t="str">
        <f>LEFT(B62, LEN(B62)-15)</f>
        <v>HP Spectre x360 14-eu0666TU (9D0K7PA) Laptop (Intel Core Ultra 7/32 GB/1 TB SSD/Windows 11)</v>
      </c>
      <c r="B62" t="s">
        <v>179</v>
      </c>
      <c r="C62" s="1">
        <v>168990</v>
      </c>
      <c r="D62" s="1">
        <v>3</v>
      </c>
      <c r="E62" s="2">
        <v>100</v>
      </c>
      <c r="F62" s="2" t="str" cm="1">
        <f t="array" ref="F62">_xlfn.IFS(AND(101&gt;E62, E62&gt;69), "Top-Tier", AND(70&gt;E62, E62&gt;39), "Mid-Tier", 40&gt;E62, "Low-Tier")</f>
        <v>Top-Tier</v>
      </c>
      <c r="G62" s="4">
        <v>45292</v>
      </c>
      <c r="H62" t="s">
        <v>154</v>
      </c>
      <c r="I62" t="s">
        <v>33</v>
      </c>
      <c r="J62" t="s">
        <v>58</v>
      </c>
      <c r="K62" t="s">
        <v>81</v>
      </c>
      <c r="L62" t="s">
        <v>24</v>
      </c>
      <c r="M62" t="s">
        <v>178</v>
      </c>
      <c r="P62" s="3">
        <v>87</v>
      </c>
      <c r="Q62" t="str">
        <f>LEFT(B62, 2)</f>
        <v>HP</v>
      </c>
      <c r="R62" t="str">
        <f t="shared" si="4"/>
        <v>AMD Hexa-Core Ryzen 5</v>
      </c>
      <c r="S62" t="str">
        <f t="shared" si="0"/>
        <v>32 GB</v>
      </c>
    </row>
    <row r="63" spans="1:19">
      <c r="A63" t="str">
        <f>LEFT(B63, LEN(B63)-15)</f>
        <v>Lenovo LOQ 15IRX9 (83DV007FIN) Laptop (Core i7 14th Gen/16 GB/1 TB SSD/Windows 11/8 GB)</v>
      </c>
      <c r="B63" t="s">
        <v>180</v>
      </c>
      <c r="C63" s="1">
        <v>172090</v>
      </c>
      <c r="D63" s="1">
        <v>7</v>
      </c>
      <c r="E63" s="2">
        <v>100</v>
      </c>
      <c r="F63" s="2" t="str" cm="1">
        <f t="array" ref="F63">_xlfn.IFS(AND(101&gt;E63, E63&gt;69), "Top-Tier", AND(70&gt;E63, E63&gt;39), "Mid-Tier", 40&gt;E63, "Low-Tier")</f>
        <v>Top-Tier</v>
      </c>
      <c r="G63" s="4">
        <v>45292</v>
      </c>
      <c r="H63" t="s">
        <v>181</v>
      </c>
      <c r="I63" t="s">
        <v>33</v>
      </c>
      <c r="J63" t="s">
        <v>72</v>
      </c>
      <c r="K63" t="s">
        <v>51</v>
      </c>
      <c r="L63" t="s">
        <v>24</v>
      </c>
      <c r="N63" t="s">
        <v>31</v>
      </c>
      <c r="Q63" t="str">
        <f>LEFT(B63, 6)</f>
        <v>Lenovo</v>
      </c>
      <c r="R63" t="str">
        <f t="shared" si="4"/>
        <v>AMD Hexa-Core Ryzen 5</v>
      </c>
      <c r="S63" t="str">
        <f t="shared" si="0"/>
        <v>16 GB</v>
      </c>
    </row>
    <row r="64" spans="1:19">
      <c r="A64" t="str">
        <f>LEFT(B64, LEN(B64)-15)</f>
        <v>Asus VivoBook S14 Flip TN3402QA-LZ751WS Laptop (AMD Octa Core Ryzen 7/16 GB/1 TB SSD/Windows 11)</v>
      </c>
      <c r="B64" t="s">
        <v>182</v>
      </c>
      <c r="C64" s="1">
        <v>73990</v>
      </c>
      <c r="D64" s="1">
        <v>1</v>
      </c>
      <c r="E64" s="2">
        <v>100</v>
      </c>
      <c r="F64" s="2" t="str" cm="1">
        <f t="array" ref="F64">_xlfn.IFS(AND(101&gt;E64, E64&gt;69), "Top-Tier", AND(70&gt;E64, E64&gt;39), "Mid-Tier", 40&gt;E64, "Low-Tier")</f>
        <v>Top-Tier</v>
      </c>
      <c r="G64" s="4">
        <v>45261</v>
      </c>
      <c r="H64" t="s">
        <v>183</v>
      </c>
      <c r="I64" t="s">
        <v>33</v>
      </c>
      <c r="J64" t="s">
        <v>184</v>
      </c>
      <c r="K64" t="s">
        <v>185</v>
      </c>
      <c r="L64" t="s">
        <v>24</v>
      </c>
      <c r="M64" t="s">
        <v>122</v>
      </c>
      <c r="N64" t="s">
        <v>31</v>
      </c>
      <c r="P64" s="3">
        <v>77</v>
      </c>
      <c r="Q64" t="str">
        <f>LEFT(B64, 4)</f>
        <v>Asus</v>
      </c>
      <c r="R64" t="str">
        <f>LEFT(H64, 21)</f>
        <v>AMD Hexa-Core Ryzen 5</v>
      </c>
      <c r="S64" t="str">
        <f t="shared" si="0"/>
        <v>16 GB</v>
      </c>
    </row>
    <row r="65" spans="1:19">
      <c r="A65" t="str">
        <f>LEFT(B65, LEN(B65)-15)</f>
        <v>Asus VivoBook 15 X1504ZA-NJ322WS Laptop (Core i3 12th Gen/8 GB/512 GB SSD/Windows 11)</v>
      </c>
      <c r="B65" t="s">
        <v>186</v>
      </c>
      <c r="C65" s="1">
        <v>30980</v>
      </c>
      <c r="D65" s="1">
        <v>10</v>
      </c>
      <c r="E65" s="2">
        <v>100</v>
      </c>
      <c r="F65" s="2" t="str" cm="1">
        <f t="array" ref="F65">_xlfn.IFS(AND(101&gt;E65, E65&gt;69), "Top-Tier", AND(70&gt;E65, E65&gt;39), "Mid-Tier", 40&gt;E65, "Low-Tier")</f>
        <v>Top-Tier</v>
      </c>
      <c r="G65" s="4">
        <v>45231</v>
      </c>
      <c r="H65" t="s">
        <v>187</v>
      </c>
      <c r="I65" t="s">
        <v>33</v>
      </c>
      <c r="J65" t="s">
        <v>50</v>
      </c>
      <c r="K65" t="s">
        <v>51</v>
      </c>
      <c r="L65" t="s">
        <v>24</v>
      </c>
      <c r="M65" t="s">
        <v>95</v>
      </c>
      <c r="N65" t="s">
        <v>31</v>
      </c>
      <c r="P65" s="3">
        <v>76</v>
      </c>
      <c r="Q65" t="str">
        <f>LEFT(B65, 4)</f>
        <v>Asus</v>
      </c>
      <c r="R65" t="str">
        <f>LEFT(H64, 21)</f>
        <v>AMD Hexa-Core Ryzen 5</v>
      </c>
      <c r="S65" t="str">
        <f t="shared" si="0"/>
        <v xml:space="preserve">8 GB </v>
      </c>
    </row>
    <row r="66" spans="1:19">
      <c r="A66" t="str">
        <f>LEFT(B66, LEN(B66)-15)</f>
        <v>Apple MacBook Pro M3 Pro MRX33HN/A Ultrabook (Apple M3 Pro/18 GB/512 GB SSD/macOS Sonoma)</v>
      </c>
      <c r="B66" t="s">
        <v>188</v>
      </c>
      <c r="C66" s="1">
        <v>199900</v>
      </c>
      <c r="D66" s="1">
        <v>10</v>
      </c>
      <c r="E66" s="2">
        <v>100</v>
      </c>
      <c r="F66" s="2" t="str" cm="1">
        <f t="array" ref="F66">_xlfn.IFS(AND(101&gt;E66, E66&gt;69), "Top-Tier", AND(70&gt;E66, E66&gt;39), "Mid-Tier", 40&gt;E66, "Low-Tier")</f>
        <v>Top-Tier</v>
      </c>
      <c r="G66" s="4">
        <v>45231</v>
      </c>
      <c r="H66" t="s">
        <v>187</v>
      </c>
      <c r="I66" t="s">
        <v>189</v>
      </c>
      <c r="J66" t="s">
        <v>190</v>
      </c>
      <c r="K66" t="s">
        <v>191</v>
      </c>
      <c r="L66" t="s">
        <v>24</v>
      </c>
      <c r="M66" t="s">
        <v>30</v>
      </c>
      <c r="N66" t="s">
        <v>31</v>
      </c>
      <c r="P66" s="3">
        <v>73</v>
      </c>
      <c r="Q66" t="str">
        <f>LEFT(B66, 5)</f>
        <v>Apple</v>
      </c>
      <c r="R66" t="str">
        <f t="shared" ref="R66:R70" si="5">LEFT(H65, 21)</f>
        <v>AMD Hexa-Core Ryzen 5</v>
      </c>
      <c r="S66" t="str">
        <f t="shared" si="0"/>
        <v>18 GB</v>
      </c>
    </row>
    <row r="67" spans="1:19">
      <c r="A67" t="str">
        <f>LEFT(B67, LEN(B67)-15)</f>
        <v>Apple MacBook Pro M3 MTL73HN/A Ultrabook (Apple M3/8 GB/512 GB SSD/macOS Sonoma)</v>
      </c>
      <c r="B67" t="s">
        <v>192</v>
      </c>
      <c r="C67" s="1">
        <v>289900</v>
      </c>
      <c r="D67" s="1">
        <v>10</v>
      </c>
      <c r="E67" s="2">
        <v>100</v>
      </c>
      <c r="F67" s="2" t="str" cm="1">
        <f t="array" ref="F67">_xlfn.IFS(AND(101&gt;E67, E67&gt;69), "Top-Tier", AND(70&gt;E67, E67&gt;39), "Mid-Tier", 40&gt;E67, "Low-Tier")</f>
        <v>Top-Tier</v>
      </c>
      <c r="G67" s="4">
        <v>45231</v>
      </c>
      <c r="H67" t="s">
        <v>187</v>
      </c>
      <c r="I67" t="s">
        <v>189</v>
      </c>
      <c r="J67" t="s">
        <v>193</v>
      </c>
      <c r="K67" t="s">
        <v>191</v>
      </c>
      <c r="L67" t="s">
        <v>24</v>
      </c>
      <c r="M67" t="s">
        <v>30</v>
      </c>
      <c r="N67" t="s">
        <v>31</v>
      </c>
      <c r="P67" s="3">
        <v>77</v>
      </c>
      <c r="Q67" t="str">
        <f>LEFT(B67, 5)</f>
        <v>Apple</v>
      </c>
      <c r="R67" t="str">
        <f t="shared" si="5"/>
        <v>AMD Hexa-Core Ryzen 5</v>
      </c>
      <c r="S67" t="str">
        <f t="shared" ref="S67:S130" si="6">LEFT(J67, 5)</f>
        <v xml:space="preserve">8 GB </v>
      </c>
    </row>
    <row r="68" spans="1:19">
      <c r="A68" t="str">
        <f>LEFT(B68, LEN(B68)-15)</f>
        <v>Apple MacBook Pro M3 Pro MRX73HN/A Ultrabook (Apple M3 Pro/18 GB/1 TB SSD/macOS Sonoma)</v>
      </c>
      <c r="B68" t="s">
        <v>194</v>
      </c>
      <c r="C68" s="1">
        <v>289900</v>
      </c>
      <c r="D68" s="1">
        <v>10</v>
      </c>
      <c r="E68" s="2">
        <v>100</v>
      </c>
      <c r="F68" s="2" t="str" cm="1">
        <f t="array" ref="F68">_xlfn.IFS(AND(101&gt;E68, E68&gt;69), "Top-Tier", AND(70&gt;E68, E68&gt;39), "Mid-Tier", 40&gt;E68, "Low-Tier")</f>
        <v>Top-Tier</v>
      </c>
      <c r="G68" s="4">
        <v>45231</v>
      </c>
      <c r="H68" t="s">
        <v>187</v>
      </c>
      <c r="I68" t="s">
        <v>189</v>
      </c>
      <c r="J68" t="s">
        <v>195</v>
      </c>
      <c r="K68" t="s">
        <v>196</v>
      </c>
      <c r="L68" t="s">
        <v>24</v>
      </c>
      <c r="M68" t="s">
        <v>30</v>
      </c>
      <c r="N68" t="s">
        <v>31</v>
      </c>
      <c r="P68" s="3">
        <v>73</v>
      </c>
      <c r="Q68" t="str">
        <f>LEFT(B68, 5)</f>
        <v>Apple</v>
      </c>
      <c r="R68" t="str">
        <f t="shared" si="5"/>
        <v>AMD Hexa-Core Ryzen 5</v>
      </c>
      <c r="S68" t="str">
        <f t="shared" si="6"/>
        <v>18 GB</v>
      </c>
    </row>
    <row r="69" spans="1:19">
      <c r="A69" t="str">
        <f>LEFT(B69, LEN(B69)-15)</f>
        <v>Apple MacBook Pro M3 Pro MRX63HN/A Ultrabook (Apple M3 Pro/18 GB/512 GB SSD/macOS Sonoma)</v>
      </c>
      <c r="B69" t="s">
        <v>197</v>
      </c>
      <c r="C69" s="1">
        <v>189900</v>
      </c>
      <c r="D69" s="1">
        <v>10</v>
      </c>
      <c r="E69" s="2">
        <v>100</v>
      </c>
      <c r="F69" s="2" t="str" cm="1">
        <f t="array" ref="F69">_xlfn.IFS(AND(101&gt;E69, E69&gt;69), "Top-Tier", AND(70&gt;E69, E69&gt;39), "Mid-Tier", 40&gt;E69, "Low-Tier")</f>
        <v>Top-Tier</v>
      </c>
      <c r="G69" s="4">
        <v>45231</v>
      </c>
      <c r="H69" t="s">
        <v>187</v>
      </c>
      <c r="I69" t="s">
        <v>189</v>
      </c>
      <c r="J69" t="s">
        <v>190</v>
      </c>
      <c r="K69" t="s">
        <v>29</v>
      </c>
      <c r="L69" t="s">
        <v>24</v>
      </c>
      <c r="M69" t="s">
        <v>30</v>
      </c>
      <c r="N69" t="s">
        <v>31</v>
      </c>
      <c r="P69" s="3">
        <v>73</v>
      </c>
      <c r="Q69" t="str">
        <f>LEFT(B69, 5)</f>
        <v>Apple</v>
      </c>
      <c r="R69" t="str">
        <f t="shared" si="5"/>
        <v>AMD Hexa-Core Ryzen 5</v>
      </c>
      <c r="S69" t="str">
        <f t="shared" si="6"/>
        <v>18 GB</v>
      </c>
    </row>
    <row r="70" spans="1:19">
      <c r="A70" t="str">
        <f>LEFT(B70, LEN(B70)-15)</f>
        <v>Microsoft Surface Go 3 (XKQ-00046) Laptop (Core i5 12th Gen/16 GB/256 GB SSD/Windows 11)</v>
      </c>
      <c r="B70" t="s">
        <v>198</v>
      </c>
      <c r="C70" s="1">
        <v>76999</v>
      </c>
      <c r="D70" s="1">
        <v>2</v>
      </c>
      <c r="E70" s="2">
        <v>100</v>
      </c>
      <c r="F70" s="2" t="str" cm="1">
        <f t="array" ref="F70">_xlfn.IFS(AND(101&gt;E70, E70&gt;69), "Top-Tier", AND(70&gt;E70, E70&gt;39), "Mid-Tier", 40&gt;E70, "Low-Tier")</f>
        <v>Top-Tier</v>
      </c>
      <c r="G70" s="4">
        <v>45200</v>
      </c>
      <c r="H70" t="s">
        <v>187</v>
      </c>
      <c r="I70" t="s">
        <v>33</v>
      </c>
      <c r="J70" t="s">
        <v>199</v>
      </c>
      <c r="K70" t="s">
        <v>200</v>
      </c>
      <c r="L70" t="s">
        <v>24</v>
      </c>
      <c r="M70" t="s">
        <v>201</v>
      </c>
      <c r="P70" s="3">
        <v>75</v>
      </c>
      <c r="Q70" t="str">
        <f>LEFT(B70, 9)</f>
        <v>Microsoft</v>
      </c>
      <c r="R70" t="str">
        <f t="shared" si="5"/>
        <v>AMD Hexa-Core Ryzen 5</v>
      </c>
      <c r="S70" t="str">
        <f t="shared" si="6"/>
        <v>16 GB</v>
      </c>
    </row>
    <row r="71" spans="1:19">
      <c r="A71" t="str">
        <f>LEFT(B71, LEN(B71)-15)</f>
        <v>HP 14-em0027AU (7N8C4PA) Laptop (AMD Quad Core Ryzen 5/16 GB/512 GB SSD/Windows 11)</v>
      </c>
      <c r="B71" t="s">
        <v>202</v>
      </c>
      <c r="C71" s="1">
        <v>57005</v>
      </c>
      <c r="D71" s="1">
        <v>1</v>
      </c>
      <c r="E71" s="2">
        <v>100</v>
      </c>
      <c r="F71" s="2" t="str" cm="1">
        <f t="array" ref="F71">_xlfn.IFS(AND(101&gt;E71, E71&gt;69), "Top-Tier", AND(70&gt;E71, E71&gt;39), "Mid-Tier", 40&gt;E71, "Low-Tier")</f>
        <v>Top-Tier</v>
      </c>
      <c r="G71" s="4">
        <v>45170</v>
      </c>
      <c r="H71" t="s">
        <v>187</v>
      </c>
      <c r="I71" t="s">
        <v>33</v>
      </c>
      <c r="J71" t="s">
        <v>121</v>
      </c>
      <c r="K71" t="s">
        <v>149</v>
      </c>
      <c r="L71" t="s">
        <v>24</v>
      </c>
      <c r="M71" t="s">
        <v>203</v>
      </c>
      <c r="N71" t="s">
        <v>31</v>
      </c>
      <c r="P71" s="3">
        <v>76</v>
      </c>
      <c r="Q71" t="str">
        <f>LEFT(B71, 2)</f>
        <v>HP</v>
      </c>
      <c r="R71" t="str">
        <f t="shared" ref="R71:R73" si="7">LEFT(H71, 21)</f>
        <v>AMD Hexa-Core Ryzen 5</v>
      </c>
      <c r="S71" t="str">
        <f t="shared" si="6"/>
        <v>16 GB</v>
      </c>
    </row>
    <row r="72" spans="1:19">
      <c r="A72" t="str">
        <f>LEFT(B72, LEN(B72)-15)</f>
        <v>Asus VivoBook Pro 15 M6500QC-HN751WS Laptop (AMD Octa Core Ryzen 7/16 GB/1 TB SSD/Windows 11/4 GB)</v>
      </c>
      <c r="B72" t="s">
        <v>204</v>
      </c>
      <c r="C72" s="1">
        <v>62990</v>
      </c>
      <c r="D72" s="1">
        <v>3</v>
      </c>
      <c r="E72" s="2">
        <v>100</v>
      </c>
      <c r="F72" s="2" t="str" cm="1">
        <f t="array" ref="F72">_xlfn.IFS(AND(101&gt;E72, E72&gt;69), "Top-Tier", AND(70&gt;E72, E72&gt;39), "Mid-Tier", 40&gt;E72, "Low-Tier")</f>
        <v>Top-Tier</v>
      </c>
      <c r="G72" s="4">
        <v>45170</v>
      </c>
      <c r="H72" t="s">
        <v>187</v>
      </c>
      <c r="I72" t="s">
        <v>33</v>
      </c>
      <c r="J72" t="s">
        <v>184</v>
      </c>
      <c r="K72" t="s">
        <v>51</v>
      </c>
      <c r="L72" t="s">
        <v>24</v>
      </c>
      <c r="M72" t="s">
        <v>122</v>
      </c>
      <c r="N72" t="s">
        <v>31</v>
      </c>
      <c r="P72" s="3">
        <v>85</v>
      </c>
      <c r="Q72" t="str">
        <f>LEFT(B72, 4)</f>
        <v>Asus</v>
      </c>
      <c r="R72" t="str">
        <f t="shared" si="7"/>
        <v>AMD Hexa-Core Ryzen 5</v>
      </c>
      <c r="S72" t="str">
        <f t="shared" si="6"/>
        <v>16 GB</v>
      </c>
    </row>
    <row r="73" spans="1:19">
      <c r="A73" t="str">
        <f>LEFT(B73, LEN(B73)-15)</f>
        <v>Asus TUF Gaming F15 FX507ZC4-HN116WS Laptop (Core i5 12th Gen/16 GB/512 GB SSD/Windows 11/4 GB)</v>
      </c>
      <c r="B73" t="s">
        <v>205</v>
      </c>
      <c r="C73" s="1">
        <v>72000</v>
      </c>
      <c r="D73" s="1">
        <v>1</v>
      </c>
      <c r="E73" s="2">
        <v>100</v>
      </c>
      <c r="F73" s="2" t="str" cm="1">
        <f t="array" ref="F73">_xlfn.IFS(AND(101&gt;E73, E73&gt;69), "Top-Tier", AND(70&gt;E73, E73&gt;39), "Mid-Tier", 40&gt;E73, "Low-Tier")</f>
        <v>Top-Tier</v>
      </c>
      <c r="G73" s="4">
        <v>45139</v>
      </c>
      <c r="H73" t="s">
        <v>187</v>
      </c>
      <c r="I73" t="s">
        <v>33</v>
      </c>
      <c r="J73" t="s">
        <v>34</v>
      </c>
      <c r="K73" t="s">
        <v>51</v>
      </c>
      <c r="L73" t="s">
        <v>24</v>
      </c>
      <c r="N73" t="s">
        <v>31</v>
      </c>
      <c r="P73" s="3">
        <v>87</v>
      </c>
      <c r="Q73" t="str">
        <f>LEFT(B73, 4)</f>
        <v>Asus</v>
      </c>
      <c r="R73" t="str">
        <f t="shared" si="7"/>
        <v>AMD Hexa-Core Ryzen 5</v>
      </c>
      <c r="S73" t="str">
        <f t="shared" si="6"/>
        <v>16 GB</v>
      </c>
    </row>
    <row r="74" spans="1:19">
      <c r="A74" t="str">
        <f>LEFT(B74, LEN(B74)-15)</f>
        <v>Apple MacBook Pro M2 Pro MNW83HN/A Ultrabook (Apple M2 Pro/16 GB/512 GB SSD/macOS Ventura)</v>
      </c>
      <c r="B74" t="s">
        <v>206</v>
      </c>
      <c r="C74" s="1">
        <v>230503</v>
      </c>
      <c r="D74" s="1">
        <v>6</v>
      </c>
      <c r="E74" s="2">
        <v>100</v>
      </c>
      <c r="F74" s="2" t="str" cm="1">
        <f t="array" ref="F74">_xlfn.IFS(AND(101&gt;E74, E74&gt;69), "Top-Tier", AND(70&gt;E74, E74&gt;39), "Mid-Tier", 40&gt;E74, "Low-Tier")</f>
        <v>Top-Tier</v>
      </c>
      <c r="G74" s="4">
        <v>45108</v>
      </c>
      <c r="H74" t="s">
        <v>187</v>
      </c>
      <c r="I74" t="s">
        <v>207</v>
      </c>
      <c r="J74" t="s">
        <v>208</v>
      </c>
      <c r="K74" t="s">
        <v>68</v>
      </c>
      <c r="L74" t="s">
        <v>24</v>
      </c>
      <c r="M74" t="s">
        <v>69</v>
      </c>
      <c r="P74" s="3">
        <v>77</v>
      </c>
      <c r="Q74" t="str">
        <f>LEFT(B74, 5)</f>
        <v>Apple</v>
      </c>
      <c r="R74" t="str">
        <f>LEFT(H74, 13)</f>
        <v>AMD Hexa-Core</v>
      </c>
      <c r="S74" t="str">
        <f t="shared" si="6"/>
        <v>16 GB</v>
      </c>
    </row>
    <row r="75" spans="1:19">
      <c r="A75" t="str">
        <f>LEFT(B75, LEN(B75)-15)</f>
        <v>Apple MacBook Pro M2 Max MPHK3HN/A Ultrabook (Apple M2 Max/32 GB/1 TB SSD/macOS Ventura)</v>
      </c>
      <c r="B75" t="s">
        <v>209</v>
      </c>
      <c r="C75" s="1">
        <v>285490</v>
      </c>
      <c r="D75" s="1">
        <v>1</v>
      </c>
      <c r="E75" s="2">
        <v>100</v>
      </c>
      <c r="F75" s="2" t="str" cm="1">
        <f t="array" ref="F75">_xlfn.IFS(AND(101&gt;E75, E75&gt;69), "Top-Tier", AND(70&gt;E75, E75&gt;39), "Mid-Tier", 40&gt;E75, "Low-Tier")</f>
        <v>Top-Tier</v>
      </c>
      <c r="G75" s="4">
        <v>45108</v>
      </c>
      <c r="H75" t="s">
        <v>210</v>
      </c>
      <c r="I75" t="s">
        <v>207</v>
      </c>
      <c r="J75" t="s">
        <v>211</v>
      </c>
      <c r="K75" t="s">
        <v>29</v>
      </c>
      <c r="L75" t="s">
        <v>24</v>
      </c>
      <c r="M75" t="s">
        <v>30</v>
      </c>
      <c r="P75" s="3">
        <v>80</v>
      </c>
      <c r="Q75" t="str">
        <f>LEFT(B75, 5)</f>
        <v>Apple</v>
      </c>
      <c r="R75" t="str">
        <f>LEFT(H75, 13)</f>
        <v>AMD Hexa-Core</v>
      </c>
      <c r="S75" t="str">
        <f t="shared" si="6"/>
        <v>32 GB</v>
      </c>
    </row>
    <row r="76" spans="1:19">
      <c r="A76" t="str">
        <f>LEFT(B76, LEN(B76)-15)</f>
        <v>HP Envy x360 15-fh0016AU (8C4S2PA) Laptop (AMD Hexa Core Ryzen 5/16 GB/512 GB SSD/Windows 11)</v>
      </c>
      <c r="B76" t="s">
        <v>212</v>
      </c>
      <c r="C76" s="1">
        <v>89990</v>
      </c>
      <c r="D76" s="1">
        <v>2</v>
      </c>
      <c r="E76" s="2">
        <v>100</v>
      </c>
      <c r="F76" s="2" t="str" cm="1">
        <f t="array" ref="F76">_xlfn.IFS(AND(101&gt;E76, E76&gt;69), "Top-Tier", AND(70&gt;E76, E76&gt;39), "Mid-Tier", 40&gt;E76, "Low-Tier")</f>
        <v>Top-Tier</v>
      </c>
      <c r="G76" s="4">
        <v>45108</v>
      </c>
      <c r="H76" t="s">
        <v>213</v>
      </c>
      <c r="I76" t="s">
        <v>33</v>
      </c>
      <c r="J76" t="s">
        <v>214</v>
      </c>
      <c r="K76" t="s">
        <v>215</v>
      </c>
      <c r="L76" t="s">
        <v>24</v>
      </c>
      <c r="M76" t="s">
        <v>36</v>
      </c>
      <c r="N76" t="s">
        <v>31</v>
      </c>
      <c r="P76" s="3">
        <v>72</v>
      </c>
      <c r="Q76" t="str">
        <f>LEFT(B76, 2)</f>
        <v>HP</v>
      </c>
      <c r="R76" t="str">
        <f t="shared" ref="R76:R80" si="8">LEFT(H76, 21)</f>
        <v>AMD Hexa-Core Ryzen 5</v>
      </c>
      <c r="S76" t="str">
        <f t="shared" si="6"/>
        <v>16 GB</v>
      </c>
    </row>
    <row r="77" spans="1:19">
      <c r="A77" t="str">
        <f>LEFT(B77, LEN(B77)-15)</f>
        <v>Lenovo ThinkBook 15 (21JF002CIN) Laptop (AMD Quad Core Ryzen 3/8 GB/512 GB SSD/DOS)</v>
      </c>
      <c r="B77" t="s">
        <v>216</v>
      </c>
      <c r="C77" s="1">
        <v>34700</v>
      </c>
      <c r="D77" s="1">
        <v>1</v>
      </c>
      <c r="E77" s="2">
        <v>100</v>
      </c>
      <c r="F77" s="2" t="str" cm="1">
        <f t="array" ref="F77">_xlfn.IFS(AND(101&gt;E77, E77&gt;69), "Top-Tier", AND(70&gt;E77, E77&gt;39), "Mid-Tier", 40&gt;E77, "Low-Tier")</f>
        <v>Top-Tier</v>
      </c>
      <c r="G77" s="4">
        <v>45108</v>
      </c>
      <c r="H77" t="s">
        <v>213</v>
      </c>
      <c r="I77" t="s">
        <v>124</v>
      </c>
      <c r="J77" t="s">
        <v>50</v>
      </c>
      <c r="K77" t="s">
        <v>217</v>
      </c>
      <c r="L77" t="s">
        <v>24</v>
      </c>
      <c r="M77" t="s">
        <v>122</v>
      </c>
      <c r="N77" t="s">
        <v>31</v>
      </c>
      <c r="P77" s="3">
        <v>73</v>
      </c>
      <c r="Q77" t="str">
        <f>LEFT(B77, 6)</f>
        <v>Lenovo</v>
      </c>
      <c r="R77" t="str">
        <f t="shared" si="8"/>
        <v>AMD Hexa-Core Ryzen 5</v>
      </c>
      <c r="S77" t="str">
        <f t="shared" si="6"/>
        <v xml:space="preserve">8 GB </v>
      </c>
    </row>
    <row r="78" spans="1:19">
      <c r="A78" t="str">
        <f>LEFT(B78, LEN(B78)-15)</f>
        <v>Asus ROG Flow X13 GV302XU-MU013WS Laptop (AMD Octa Core Ryzen 9/16 GB/1 TB SSD/Windows 11/6 GB)</v>
      </c>
      <c r="B78" t="s">
        <v>218</v>
      </c>
      <c r="C78" s="1">
        <v>139990</v>
      </c>
      <c r="D78" s="1">
        <v>1</v>
      </c>
      <c r="E78" s="2">
        <v>100</v>
      </c>
      <c r="F78" s="2" t="str" cm="1">
        <f t="array" ref="F78">_xlfn.IFS(AND(101&gt;E78, E78&gt;69), "Top-Tier", AND(70&gt;E78, E78&gt;39), "Mid-Tier", 40&gt;E78, "Low-Tier")</f>
        <v>Top-Tier</v>
      </c>
      <c r="G78" s="4">
        <v>45047</v>
      </c>
      <c r="H78" t="s">
        <v>213</v>
      </c>
      <c r="I78" t="s">
        <v>33</v>
      </c>
      <c r="J78" t="s">
        <v>167</v>
      </c>
      <c r="K78" t="s">
        <v>219</v>
      </c>
      <c r="L78" t="s">
        <v>24</v>
      </c>
      <c r="M78" t="s">
        <v>138</v>
      </c>
      <c r="N78" t="s">
        <v>31</v>
      </c>
      <c r="P78" s="3">
        <v>86</v>
      </c>
      <c r="Q78" t="str">
        <f>LEFT(B78, 4)</f>
        <v>Asus</v>
      </c>
      <c r="R78" t="str">
        <f t="shared" si="8"/>
        <v>AMD Hexa-Core Ryzen 5</v>
      </c>
      <c r="S78" t="str">
        <f t="shared" si="6"/>
        <v>16 GB</v>
      </c>
    </row>
    <row r="79" spans="1:19">
      <c r="A79" t="str">
        <f>LEFT(B79, LEN(B79)-15)</f>
        <v>Asus ROG Zephyrus G14 GA402XZ-N2020WS Laptop (AMD Octa Core Ryzen 9/32 GB/1 TB SSD/Windows 11/12 GB)</v>
      </c>
      <c r="B79" t="s">
        <v>220</v>
      </c>
      <c r="C79" s="1">
        <v>201288</v>
      </c>
      <c r="D79" s="1">
        <v>2</v>
      </c>
      <c r="E79" s="2">
        <v>100</v>
      </c>
      <c r="F79" s="2" t="str" cm="1">
        <f t="array" ref="F79">_xlfn.IFS(AND(101&gt;E79, E79&gt;69), "Top-Tier", AND(70&gt;E79, E79&gt;39), "Mid-Tier", 40&gt;E79, "Low-Tier")</f>
        <v>Top-Tier</v>
      </c>
      <c r="G79" s="4">
        <v>45047</v>
      </c>
      <c r="H79" t="s">
        <v>213</v>
      </c>
      <c r="I79" t="s">
        <v>33</v>
      </c>
      <c r="J79" t="s">
        <v>144</v>
      </c>
      <c r="K79" t="s">
        <v>221</v>
      </c>
      <c r="L79" t="s">
        <v>24</v>
      </c>
      <c r="M79" t="s">
        <v>222</v>
      </c>
      <c r="N79" t="s">
        <v>31</v>
      </c>
      <c r="Q79" t="str">
        <f>LEFT(B79, 4)</f>
        <v>Asus</v>
      </c>
      <c r="R79" t="str">
        <f t="shared" si="8"/>
        <v>AMD Hexa-Core Ryzen 5</v>
      </c>
      <c r="S79" t="str">
        <f t="shared" si="6"/>
        <v>32 GB</v>
      </c>
    </row>
    <row r="80" spans="1:19">
      <c r="A80" t="str">
        <f>LEFT(B80, LEN(B80)-15)</f>
        <v>HP ProBook 440 G8 (5D6U3PA) Laptop (Core i5 11th Gen/8 GB/512 GB SSD/Windows 11)</v>
      </c>
      <c r="B80" t="s">
        <v>223</v>
      </c>
      <c r="C80" s="1">
        <v>65499</v>
      </c>
      <c r="D80" s="1">
        <v>1</v>
      </c>
      <c r="E80" s="2">
        <v>100</v>
      </c>
      <c r="F80" s="2" t="str" cm="1">
        <f t="array" ref="F80">_xlfn.IFS(AND(101&gt;E80, E80&gt;69), "Top-Tier", AND(70&gt;E80, E80&gt;39), "Mid-Tier", 40&gt;E80, "Low-Tier")</f>
        <v>Top-Tier</v>
      </c>
      <c r="G80" s="4">
        <v>45047</v>
      </c>
      <c r="H80" t="s">
        <v>213</v>
      </c>
      <c r="I80" t="s">
        <v>33</v>
      </c>
      <c r="J80" t="s">
        <v>50</v>
      </c>
      <c r="K80" t="s">
        <v>224</v>
      </c>
      <c r="L80" t="s">
        <v>24</v>
      </c>
      <c r="M80" t="s">
        <v>52</v>
      </c>
      <c r="N80" t="s">
        <v>31</v>
      </c>
      <c r="P80" s="3">
        <v>72</v>
      </c>
      <c r="Q80" t="str">
        <f>LEFT(B80, 2)</f>
        <v>HP</v>
      </c>
      <c r="R80" t="str">
        <f t="shared" si="8"/>
        <v>AMD Hexa-Core Ryzen 5</v>
      </c>
      <c r="S80" t="str">
        <f t="shared" si="6"/>
        <v xml:space="preserve">8 GB </v>
      </c>
    </row>
    <row r="81" spans="1:19">
      <c r="A81" t="str">
        <f>LEFT(B81, LEN(B81)-15)</f>
        <v>Asus ROG Strix G17 G713PU-LL060WS Laptop (AMD Hexadeca Core Ryzen 9/16 GB/1 TB SSD/Windows 11/6 GB)</v>
      </c>
      <c r="B81" t="s">
        <v>225</v>
      </c>
      <c r="C81" s="1">
        <v>159990</v>
      </c>
      <c r="D81" s="1">
        <v>1</v>
      </c>
      <c r="E81" s="2">
        <v>100</v>
      </c>
      <c r="F81" s="2" t="str" cm="1">
        <f t="array" ref="F81">_xlfn.IFS(AND(101&gt;E81, E81&gt;69), "Top-Tier", AND(70&gt;E81, E81&gt;39), "Mid-Tier", 40&gt;E81, "Low-Tier")</f>
        <v>Top-Tier</v>
      </c>
      <c r="G81" s="4">
        <v>45047</v>
      </c>
      <c r="H81" t="s">
        <v>213</v>
      </c>
      <c r="I81" t="s">
        <v>33</v>
      </c>
      <c r="J81" t="s">
        <v>72</v>
      </c>
      <c r="K81" t="s">
        <v>226</v>
      </c>
      <c r="L81" t="s">
        <v>24</v>
      </c>
      <c r="N81" t="s">
        <v>31</v>
      </c>
      <c r="P81" s="3">
        <v>87</v>
      </c>
      <c r="Q81" t="str">
        <f>LEFT(B81, 4)</f>
        <v>Asus</v>
      </c>
      <c r="R81" t="str">
        <f>LEFT(H81, 21)</f>
        <v>AMD Hexa-Core Ryzen 5</v>
      </c>
      <c r="S81" t="str">
        <f t="shared" si="6"/>
        <v>16 GB</v>
      </c>
    </row>
    <row r="82" spans="1:19">
      <c r="A82" t="str">
        <f>LEFT(B82, LEN(B82)-15)</f>
        <v>HP 14-em0026AU (7N8C3PA) Laptop (AMD Quad Core Ryzen 5/8 GB/512 GB SSD/Windows 11)</v>
      </c>
      <c r="B82" t="s">
        <v>227</v>
      </c>
      <c r="C82" s="1">
        <v>42690</v>
      </c>
      <c r="D82" s="1">
        <v>2</v>
      </c>
      <c r="E82" s="2">
        <v>100</v>
      </c>
      <c r="F82" s="2" t="str" cm="1">
        <f t="array" ref="F82">_xlfn.IFS(AND(101&gt;E82, E82&gt;69), "Top-Tier", AND(70&gt;E82, E82&gt;39), "Mid-Tier", 40&gt;E82, "Low-Tier")</f>
        <v>Top-Tier</v>
      </c>
      <c r="G82" s="4">
        <v>45047</v>
      </c>
      <c r="H82" t="s">
        <v>213</v>
      </c>
      <c r="I82" t="s">
        <v>33</v>
      </c>
      <c r="J82" t="s">
        <v>162</v>
      </c>
      <c r="K82" t="s">
        <v>149</v>
      </c>
      <c r="L82" t="s">
        <v>24</v>
      </c>
      <c r="M82" t="s">
        <v>95</v>
      </c>
      <c r="N82" t="s">
        <v>31</v>
      </c>
      <c r="P82" s="3">
        <v>72</v>
      </c>
      <c r="Q82" t="str">
        <f>LEFT(B82, 2)</f>
        <v>HP</v>
      </c>
      <c r="R82" t="str">
        <f t="shared" ref="R81:R90" si="9">LEFT(H82, 21)</f>
        <v>AMD Hexa-Core Ryzen 5</v>
      </c>
      <c r="S82" t="str">
        <f t="shared" si="6"/>
        <v xml:space="preserve">8 GB </v>
      </c>
    </row>
    <row r="83" spans="1:19">
      <c r="A83" t="str">
        <f>LEFT(B83, LEN(B83)-15)</f>
        <v>Asus ZenBook S13 OLED UX5304VA-NQ742WS Laptop (Core i7 13th Gen/16 GB/1 TB SSD/Windows 11)</v>
      </c>
      <c r="B83" t="s">
        <v>228</v>
      </c>
      <c r="C83" s="1">
        <v>112430</v>
      </c>
      <c r="D83" s="1">
        <v>1</v>
      </c>
      <c r="E83" s="2">
        <v>100</v>
      </c>
      <c r="F83" s="2" t="str" cm="1">
        <f t="array" ref="F83">_xlfn.IFS(AND(101&gt;E83, E83&gt;69), "Top-Tier", AND(70&gt;E83, E83&gt;39), "Mid-Tier", 40&gt;E83, "Low-Tier")</f>
        <v>Top-Tier</v>
      </c>
      <c r="G83" s="4">
        <v>45017</v>
      </c>
      <c r="H83" t="s">
        <v>213</v>
      </c>
      <c r="I83" t="s">
        <v>33</v>
      </c>
      <c r="J83" t="s">
        <v>167</v>
      </c>
      <c r="K83" t="s">
        <v>131</v>
      </c>
      <c r="L83" t="s">
        <v>24</v>
      </c>
      <c r="M83" t="s">
        <v>229</v>
      </c>
      <c r="N83" t="s">
        <v>31</v>
      </c>
      <c r="P83" s="3">
        <v>78</v>
      </c>
      <c r="Q83" t="str">
        <f>LEFT(B83, 4)</f>
        <v>Asus</v>
      </c>
      <c r="R83" t="str">
        <f t="shared" si="9"/>
        <v>AMD Hexa-Core Ryzen 5</v>
      </c>
      <c r="S83" t="str">
        <f t="shared" si="6"/>
        <v>16 GB</v>
      </c>
    </row>
    <row r="84" spans="1:19">
      <c r="A84" t="str">
        <f>LEFT(B84, LEN(B84)-15)</f>
        <v>Asus VivoBook 15X OLED K3504VA-LK541WS Laptop (Core i5 13th Gen/16 GB/512 GB SSD/Windows 11)</v>
      </c>
      <c r="B84" t="s">
        <v>230</v>
      </c>
      <c r="C84" s="1">
        <v>65570</v>
      </c>
      <c r="D84" s="1">
        <v>1</v>
      </c>
      <c r="E84" s="2">
        <v>100</v>
      </c>
      <c r="F84" s="2" t="str" cm="1">
        <f t="array" ref="F84">_xlfn.IFS(AND(101&gt;E84, E84&gt;69), "Top-Tier", AND(70&gt;E84, E84&gt;39), "Mid-Tier", 40&gt;E84, "Low-Tier")</f>
        <v>Top-Tier</v>
      </c>
      <c r="G84" s="4">
        <v>45017</v>
      </c>
      <c r="H84" t="s">
        <v>213</v>
      </c>
      <c r="I84" t="s">
        <v>33</v>
      </c>
      <c r="J84" t="s">
        <v>34</v>
      </c>
      <c r="K84" t="s">
        <v>215</v>
      </c>
      <c r="L84" t="s">
        <v>24</v>
      </c>
      <c r="N84" t="s">
        <v>31</v>
      </c>
      <c r="P84" s="3">
        <v>77</v>
      </c>
      <c r="Q84" t="str">
        <f>LEFT(B84, 4)</f>
        <v>Asus</v>
      </c>
      <c r="R84" t="str">
        <f t="shared" si="9"/>
        <v>AMD Hexa-Core Ryzen 5</v>
      </c>
      <c r="S84" t="str">
        <f t="shared" si="6"/>
        <v>16 GB</v>
      </c>
    </row>
    <row r="85" spans="1:19">
      <c r="A85" t="str">
        <f>LEFT(B85, LEN(B85)-15)</f>
        <v>Asus VivoBook Go 15 OLED E1504GA-LK321WS Laptop (Core i3 12th Gen/8 GB/512 GB SSD/Windows 11)</v>
      </c>
      <c r="B85" t="s">
        <v>231</v>
      </c>
      <c r="C85" s="1">
        <v>38990</v>
      </c>
      <c r="D85" s="1">
        <v>1</v>
      </c>
      <c r="E85" s="2">
        <v>100</v>
      </c>
      <c r="F85" s="2" t="str" cm="1">
        <f t="array" ref="F85">_xlfn.IFS(AND(101&gt;E85, E85&gt;69), "Top-Tier", AND(70&gt;E85, E85&gt;39), "Mid-Tier", 40&gt;E85, "Low-Tier")</f>
        <v>Top-Tier</v>
      </c>
      <c r="G85" s="4">
        <v>45017</v>
      </c>
      <c r="H85" t="s">
        <v>213</v>
      </c>
      <c r="I85" t="s">
        <v>33</v>
      </c>
      <c r="J85" t="s">
        <v>50</v>
      </c>
      <c r="K85" t="s">
        <v>215</v>
      </c>
      <c r="L85" t="s">
        <v>24</v>
      </c>
      <c r="M85" t="s">
        <v>232</v>
      </c>
      <c r="N85" t="s">
        <v>31</v>
      </c>
      <c r="P85" s="3">
        <v>74</v>
      </c>
      <c r="Q85" t="str">
        <f>LEFT(B85, 4)</f>
        <v>Asus</v>
      </c>
      <c r="R85" t="str">
        <f t="shared" si="9"/>
        <v>AMD Hexa-Core Ryzen 5</v>
      </c>
      <c r="S85" t="str">
        <f t="shared" si="6"/>
        <v xml:space="preserve">8 GB </v>
      </c>
    </row>
    <row r="86" spans="1:19">
      <c r="A86" t="str">
        <f>LEFT(B86, LEN(B86)-15)</f>
        <v>Asus ROG Strix Scar 18 G834JZ-N5041WS Laptop (Core i9 13th Gen/32 GB/1 TB SSD/Windows 11/12 GB)</v>
      </c>
      <c r="B86" t="s">
        <v>233</v>
      </c>
      <c r="C86" s="1">
        <v>269990</v>
      </c>
      <c r="D86" s="1">
        <v>4</v>
      </c>
      <c r="E86" s="2">
        <v>100</v>
      </c>
      <c r="F86" s="2" t="str" cm="1">
        <f t="array" ref="F86">_xlfn.IFS(AND(101&gt;E86, E86&gt;69), "Top-Tier", AND(70&gt;E86, E86&gt;39), "Mid-Tier", 40&gt;E86, "Low-Tier")</f>
        <v>Top-Tier</v>
      </c>
      <c r="G86" s="4">
        <v>44986</v>
      </c>
      <c r="H86" t="s">
        <v>213</v>
      </c>
      <c r="I86" t="s">
        <v>33</v>
      </c>
      <c r="J86" t="s">
        <v>144</v>
      </c>
      <c r="K86" t="s">
        <v>234</v>
      </c>
      <c r="L86" t="s">
        <v>24</v>
      </c>
      <c r="Q86" t="str">
        <f>LEFT(B86, 4)</f>
        <v>Asus</v>
      </c>
      <c r="R86" t="str">
        <f t="shared" si="9"/>
        <v>AMD Hexa-Core Ryzen 5</v>
      </c>
      <c r="S86" t="str">
        <f t="shared" si="6"/>
        <v>32 GB</v>
      </c>
    </row>
    <row r="87" spans="1:19">
      <c r="A87" t="str">
        <f>LEFT(B87, LEN(B87)-15)</f>
        <v>Lenovo Thinkpad P16s (21BTS02000) Laptop (Core i7 12th Gen/16 GB/1 TB SSD/Windows 11/4 GB)</v>
      </c>
      <c r="B87" t="s">
        <v>235</v>
      </c>
      <c r="C87" s="1">
        <v>189900</v>
      </c>
      <c r="D87" s="1">
        <v>1</v>
      </c>
      <c r="E87" s="2">
        <v>100</v>
      </c>
      <c r="F87" s="2" t="str" cm="1">
        <f t="array" ref="F87">_xlfn.IFS(AND(101&gt;E87, E87&gt;69), "Top-Tier", AND(70&gt;E87, E87&gt;39), "Mid-Tier", 40&gt;E87, "Low-Tier")</f>
        <v>Top-Tier</v>
      </c>
      <c r="G87" s="4">
        <v>44958</v>
      </c>
      <c r="H87" t="s">
        <v>213</v>
      </c>
      <c r="I87" t="s">
        <v>33</v>
      </c>
      <c r="J87" t="s">
        <v>184</v>
      </c>
      <c r="K87" t="s">
        <v>236</v>
      </c>
      <c r="L87" t="s">
        <v>24</v>
      </c>
      <c r="M87" t="s">
        <v>237</v>
      </c>
      <c r="N87" t="s">
        <v>31</v>
      </c>
      <c r="P87" s="3">
        <v>77</v>
      </c>
      <c r="Q87" t="str">
        <f>LEFT(B87, 6)</f>
        <v>Lenovo</v>
      </c>
      <c r="R87" t="str">
        <f t="shared" si="9"/>
        <v>AMD Hexa-Core Ryzen 5</v>
      </c>
      <c r="S87" t="str">
        <f t="shared" si="6"/>
        <v>16 GB</v>
      </c>
    </row>
    <row r="88" spans="1:19">
      <c r="A88" t="str">
        <f>LEFT(B88, LEN(B88)-15)</f>
        <v>Microsoft Surface Pro 9 Intel Evo (QEZ-00065) Laptop (Core i5 12th Gen/8 GB/256 GB SSD/Windows 11)</v>
      </c>
      <c r="B88" t="s">
        <v>238</v>
      </c>
      <c r="C88" s="1">
        <v>87999</v>
      </c>
      <c r="D88" s="1">
        <v>7</v>
      </c>
      <c r="E88" s="2">
        <v>100</v>
      </c>
      <c r="F88" s="2" t="str" cm="1">
        <f t="array" ref="F88">_xlfn.IFS(AND(101&gt;E88, E88&gt;69), "Top-Tier", AND(70&gt;E88, E88&gt;39), "Mid-Tier", 40&gt;E88, "Low-Tier")</f>
        <v>Top-Tier</v>
      </c>
      <c r="G88" s="4">
        <v>44866</v>
      </c>
      <c r="H88" t="s">
        <v>213</v>
      </c>
      <c r="I88" t="s">
        <v>33</v>
      </c>
      <c r="J88" t="s">
        <v>239</v>
      </c>
      <c r="K88" t="s">
        <v>240</v>
      </c>
      <c r="L88" t="s">
        <v>24</v>
      </c>
      <c r="M88" t="s">
        <v>241</v>
      </c>
      <c r="P88" s="3">
        <v>75</v>
      </c>
      <c r="Q88" t="str">
        <f>LEFT(B88, 9)</f>
        <v>Microsoft</v>
      </c>
      <c r="R88" t="str">
        <f t="shared" si="9"/>
        <v>AMD Hexa-Core Ryzen 5</v>
      </c>
      <c r="S88" t="str">
        <f t="shared" si="6"/>
        <v xml:space="preserve">8 GB </v>
      </c>
    </row>
    <row r="89" spans="1:19">
      <c r="A89" t="str">
        <f>LEFT(B89, LEN(B89)-15)</f>
        <v>Microsoft Surface Pro 9 (QIX-00031) Laptop (Core i7 12th Gen/16 GB/512 GB SSD/Windows 11)</v>
      </c>
      <c r="B89" t="s">
        <v>242</v>
      </c>
      <c r="C89" s="1">
        <v>192990</v>
      </c>
      <c r="D89" s="1">
        <v>2</v>
      </c>
      <c r="E89" s="2">
        <v>100</v>
      </c>
      <c r="F89" s="2" t="str" cm="1">
        <f t="array" ref="F89">_xlfn.IFS(AND(101&gt;E89, E89&gt;69), "Top-Tier", AND(70&gt;E89, E89&gt;39), "Mid-Tier", 40&gt;E89, "Low-Tier")</f>
        <v>Top-Tier</v>
      </c>
      <c r="G89" s="4">
        <v>44866</v>
      </c>
      <c r="H89" t="s">
        <v>213</v>
      </c>
      <c r="I89" t="s">
        <v>33</v>
      </c>
      <c r="J89" t="s">
        <v>121</v>
      </c>
      <c r="K89" t="s">
        <v>243</v>
      </c>
      <c r="L89" t="s">
        <v>24</v>
      </c>
      <c r="M89" t="s">
        <v>241</v>
      </c>
      <c r="P89" s="3">
        <v>78</v>
      </c>
      <c r="Q89" t="str">
        <f>LEFT(B89, 9)</f>
        <v>Microsoft</v>
      </c>
      <c r="R89" t="str">
        <f t="shared" si="9"/>
        <v>AMD Hexa-Core Ryzen 5</v>
      </c>
      <c r="S89" t="str">
        <f t="shared" si="6"/>
        <v>16 GB</v>
      </c>
    </row>
    <row r="90" spans="1:19">
      <c r="A90" t="str">
        <f>LEFT(B90, LEN(B90)-15)</f>
        <v>Microsoft Surface 5 Intel Evo (RBG-00048) Laptop (Core i7 12th Gen/16 GB/512 GB SSD/Windows 11)</v>
      </c>
      <c r="B90" t="s">
        <v>244</v>
      </c>
      <c r="C90" s="1">
        <v>133000</v>
      </c>
      <c r="D90" s="1">
        <v>1</v>
      </c>
      <c r="E90" s="2">
        <v>100</v>
      </c>
      <c r="F90" s="2" t="str" cm="1">
        <f t="array" ref="F90">_xlfn.IFS(AND(101&gt;E90, E90&gt;69), "Top-Tier", AND(70&gt;E90, E90&gt;39), "Mid-Tier", 40&gt;E90, "Low-Tier")</f>
        <v>Top-Tier</v>
      </c>
      <c r="G90" s="4">
        <v>44866</v>
      </c>
      <c r="H90" t="s">
        <v>213</v>
      </c>
      <c r="I90" t="s">
        <v>33</v>
      </c>
      <c r="J90" t="s">
        <v>63</v>
      </c>
      <c r="K90" t="s">
        <v>245</v>
      </c>
      <c r="L90" t="s">
        <v>24</v>
      </c>
      <c r="M90" t="s">
        <v>246</v>
      </c>
      <c r="P90" s="3">
        <v>77</v>
      </c>
      <c r="Q90" t="str">
        <f>LEFT(B90, 9)</f>
        <v>Microsoft</v>
      </c>
      <c r="R90" t="str">
        <f t="shared" si="9"/>
        <v>AMD Hexa-Core Ryzen 5</v>
      </c>
      <c r="S90" t="str">
        <f t="shared" si="6"/>
        <v>16 GB</v>
      </c>
    </row>
    <row r="91" spans="1:19">
      <c r="A91" t="str">
        <f>LEFT(B91, LEN(B91)-15)</f>
        <v>Asus ROG Strix G15 G513IH-HN084TS Laptop (AMD Octa Core Ryzen 7/8 GB/512 GB SSD/Windows 10/4 GB)</v>
      </c>
      <c r="B91" t="s">
        <v>247</v>
      </c>
      <c r="C91" s="1">
        <v>80500</v>
      </c>
      <c r="D91" s="1">
        <v>4</v>
      </c>
      <c r="E91" s="2">
        <v>100</v>
      </c>
      <c r="F91" s="2" t="str" cm="1">
        <f t="array" ref="F91">_xlfn.IFS(AND(101&gt;E91, E91&gt;69), "Top-Tier", AND(70&gt;E91, E91&gt;39), "Mid-Tier", 40&gt;E91, "Low-Tier")</f>
        <v>Top-Tier</v>
      </c>
      <c r="G91" s="4">
        <v>44866</v>
      </c>
      <c r="H91" t="s">
        <v>213</v>
      </c>
      <c r="I91" t="s">
        <v>248</v>
      </c>
      <c r="J91" t="s">
        <v>50</v>
      </c>
      <c r="K91" t="s">
        <v>249</v>
      </c>
      <c r="M91" t="s">
        <v>250</v>
      </c>
      <c r="N91" t="s">
        <v>31</v>
      </c>
      <c r="O91" t="s">
        <v>152</v>
      </c>
      <c r="P91" s="3">
        <v>75</v>
      </c>
      <c r="Q91" t="str">
        <f>LEFT(B91, 4)</f>
        <v>Asus</v>
      </c>
      <c r="R91" t="str">
        <f t="shared" ref="R91:R96" si="10">LEFT(H91, 21)</f>
        <v>AMD Hexa-Core Ryzen 5</v>
      </c>
      <c r="S91" t="str">
        <f t="shared" si="6"/>
        <v xml:space="preserve">8 GB </v>
      </c>
    </row>
    <row r="92" spans="1:19">
      <c r="A92" t="str">
        <f>LEFT(B92, LEN(B92)-15)</f>
        <v>Asus ROG Zephyrus G15 GA503RMZ-LN155WS Laptop (AMD Octa Core Ryzen 7/16 GB/1 TB SSD/Windows 11/6 GB)</v>
      </c>
      <c r="B92" t="s">
        <v>251</v>
      </c>
      <c r="C92" s="1">
        <v>149837</v>
      </c>
      <c r="D92" s="1">
        <v>1</v>
      </c>
      <c r="E92" s="2">
        <v>100</v>
      </c>
      <c r="F92" s="2" t="str" cm="1">
        <f t="array" ref="F92">_xlfn.IFS(AND(101&gt;E92, E92&gt;69), "Top-Tier", AND(70&gt;E92, E92&gt;39), "Mid-Tier", 40&gt;E92, "Low-Tier")</f>
        <v>Top-Tier</v>
      </c>
      <c r="G92" s="4">
        <v>44866</v>
      </c>
      <c r="H92" t="s">
        <v>213</v>
      </c>
      <c r="I92" t="s">
        <v>33</v>
      </c>
      <c r="J92" t="s">
        <v>72</v>
      </c>
      <c r="K92" t="s">
        <v>252</v>
      </c>
      <c r="L92" t="s">
        <v>24</v>
      </c>
      <c r="M92" t="s">
        <v>253</v>
      </c>
      <c r="N92" t="s">
        <v>31</v>
      </c>
      <c r="O92" t="s">
        <v>254</v>
      </c>
      <c r="P92" s="3">
        <v>84</v>
      </c>
      <c r="Q92" t="str">
        <f>LEFT(B92, 4)</f>
        <v>Asus</v>
      </c>
      <c r="R92" t="str">
        <f t="shared" si="10"/>
        <v>AMD Hexa-Core Ryzen 5</v>
      </c>
      <c r="S92" t="str">
        <f t="shared" si="6"/>
        <v>16 GB</v>
      </c>
    </row>
    <row r="93" spans="1:19">
      <c r="A93" t="str">
        <f>LEFT(B93, LEN(B93)-15)</f>
        <v>Asus ROG Zephyrus G15 GA503RMZ-HQ153WS Laptop (AMD Octa Core Ryzen 7/16 GB/1 TB SSD/Windows 11/6 GB)</v>
      </c>
      <c r="B93" t="s">
        <v>255</v>
      </c>
      <c r="C93" s="1">
        <v>110990</v>
      </c>
      <c r="D93" s="1">
        <v>1</v>
      </c>
      <c r="E93" s="2">
        <v>100</v>
      </c>
      <c r="F93" s="2" t="str" cm="1">
        <f t="array" ref="F93">_xlfn.IFS(AND(101&gt;E93, E93&gt;69), "Top-Tier", AND(70&gt;E93, E93&gt;39), "Mid-Tier", 40&gt;E93, "Low-Tier")</f>
        <v>Top-Tier</v>
      </c>
      <c r="G93" s="4">
        <v>44866</v>
      </c>
      <c r="H93" t="s">
        <v>213</v>
      </c>
      <c r="I93" t="s">
        <v>33</v>
      </c>
      <c r="J93" t="s">
        <v>72</v>
      </c>
      <c r="K93" t="s">
        <v>256</v>
      </c>
      <c r="L93" t="s">
        <v>24</v>
      </c>
      <c r="M93" t="s">
        <v>253</v>
      </c>
      <c r="N93" t="s">
        <v>31</v>
      </c>
      <c r="P93" s="3">
        <v>85</v>
      </c>
      <c r="Q93" t="str">
        <f>LEFT(B93, 4)</f>
        <v>Asus</v>
      </c>
      <c r="R93" t="str">
        <f t="shared" si="10"/>
        <v>AMD Hexa-Core Ryzen 5</v>
      </c>
      <c r="S93" t="str">
        <f t="shared" si="6"/>
        <v>16 GB</v>
      </c>
    </row>
    <row r="94" spans="1:19">
      <c r="A94" t="str">
        <f>LEFT(B94, LEN(B94)-15)</f>
        <v>Asus ROG Zephyrus G15 GA503RSZ-HQ061WS Laptop (AMD Octa Core Ryzen 9/16 GB/1 TB SSD/Windows 11/8 GB)</v>
      </c>
      <c r="B94" t="s">
        <v>257</v>
      </c>
      <c r="C94" s="1">
        <v>189183</v>
      </c>
      <c r="D94" s="1">
        <v>4</v>
      </c>
      <c r="E94" s="2">
        <v>100</v>
      </c>
      <c r="F94" s="2" t="str" cm="1">
        <f t="array" ref="F94">_xlfn.IFS(AND(101&gt;E94, E94&gt;69), "Top-Tier", AND(70&gt;E94, E94&gt;39), "Mid-Tier", 40&gt;E94, "Low-Tier")</f>
        <v>Top-Tier</v>
      </c>
      <c r="G94" s="4">
        <v>44866</v>
      </c>
      <c r="H94" t="s">
        <v>213</v>
      </c>
      <c r="I94" t="s">
        <v>33</v>
      </c>
      <c r="J94" t="s">
        <v>72</v>
      </c>
      <c r="K94" t="s">
        <v>252</v>
      </c>
      <c r="L94" t="s">
        <v>24</v>
      </c>
      <c r="M94" t="s">
        <v>253</v>
      </c>
      <c r="N94" t="s">
        <v>31</v>
      </c>
      <c r="O94" t="s">
        <v>254</v>
      </c>
      <c r="P94" s="3">
        <v>83</v>
      </c>
      <c r="Q94" t="str">
        <f>LEFT(B94, 4)</f>
        <v>Asus</v>
      </c>
      <c r="R94" t="str">
        <f t="shared" si="10"/>
        <v>AMD Hexa-Core Ryzen 5</v>
      </c>
      <c r="S94" t="str">
        <f t="shared" si="6"/>
        <v>16 GB</v>
      </c>
    </row>
    <row r="95" spans="1:19">
      <c r="A95" t="str">
        <f>LEFT(B95, LEN(B95)-15)</f>
        <v>Asus Zenbook 17 Fold OLED Intel Evo UX9702AA-MD023WS Laptop (Core i7 12th Gen/16 GB/1 TB SSD/Windows 11)</v>
      </c>
      <c r="B95" t="s">
        <v>258</v>
      </c>
      <c r="C95" s="1">
        <v>362990</v>
      </c>
      <c r="D95" s="1">
        <v>6</v>
      </c>
      <c r="E95" s="2">
        <v>100</v>
      </c>
      <c r="F95" s="2" t="str" cm="1">
        <f t="array" ref="F95">_xlfn.IFS(AND(101&gt;E95, E95&gt;69), "Top-Tier", AND(70&gt;E95, E95&gt;39), "Mid-Tier", 40&gt;E95, "Low-Tier")</f>
        <v>Top-Tier</v>
      </c>
      <c r="G95" s="4">
        <v>44835</v>
      </c>
      <c r="H95" t="s">
        <v>213</v>
      </c>
      <c r="I95" t="s">
        <v>33</v>
      </c>
      <c r="J95" t="s">
        <v>167</v>
      </c>
      <c r="K95" t="s">
        <v>259</v>
      </c>
      <c r="L95" t="s">
        <v>24</v>
      </c>
      <c r="M95" t="s">
        <v>260</v>
      </c>
      <c r="O95" t="s">
        <v>261</v>
      </c>
      <c r="P95" s="3">
        <v>80</v>
      </c>
      <c r="Q95" t="str">
        <f>LEFT(B95, 4)</f>
        <v>Asus</v>
      </c>
      <c r="R95" t="str">
        <f t="shared" si="10"/>
        <v>AMD Hexa-Core Ryzen 5</v>
      </c>
      <c r="S95" t="str">
        <f t="shared" si="6"/>
        <v>16 GB</v>
      </c>
    </row>
    <row r="96" spans="1:19">
      <c r="A96" t="str">
        <f>LEFT(B96, LEN(B96)-15)</f>
        <v>Dell G15-5520 (D560895WIN9S) Laptop (Core i7 12th Gen/16 GB/512 GB SSD/Windows 11/6 GB)</v>
      </c>
      <c r="B96" t="s">
        <v>262</v>
      </c>
      <c r="C96" s="1">
        <v>86650</v>
      </c>
      <c r="D96" s="1">
        <v>2</v>
      </c>
      <c r="E96" s="2">
        <v>100</v>
      </c>
      <c r="F96" s="2" t="str" cm="1">
        <f t="array" ref="F96">_xlfn.IFS(AND(101&gt;E96, E96&gt;69), "Top-Tier", AND(70&gt;E96, E96&gt;39), "Mid-Tier", 40&gt;E96, "Low-Tier")</f>
        <v>Top-Tier</v>
      </c>
      <c r="G96" s="4">
        <v>44805</v>
      </c>
      <c r="H96" t="s">
        <v>213</v>
      </c>
      <c r="I96" t="s">
        <v>33</v>
      </c>
      <c r="J96" t="s">
        <v>54</v>
      </c>
      <c r="K96" t="s">
        <v>51</v>
      </c>
      <c r="L96" t="s">
        <v>24</v>
      </c>
      <c r="N96" t="s">
        <v>31</v>
      </c>
      <c r="P96" s="3">
        <v>83</v>
      </c>
      <c r="Q96" t="str">
        <f>LEFT(B96, 4)</f>
        <v>Dell</v>
      </c>
      <c r="R96" t="str">
        <f t="shared" si="10"/>
        <v>AMD Hexa-Core Ryzen 5</v>
      </c>
      <c r="S96" t="str">
        <f t="shared" si="6"/>
        <v>16 GB</v>
      </c>
    </row>
    <row r="97" spans="1:19">
      <c r="A97" t="str">
        <f>LEFT(B97, LEN(B97)-15)</f>
        <v>Asus ROG Zephyrus G15 GA503RM-LN095WS Laptop (AMD Octa Core Ryzen 9/16 GB/1 TB SSD/Windows 11/6 GB)</v>
      </c>
      <c r="B97" t="s">
        <v>263</v>
      </c>
      <c r="C97" s="1">
        <v>126980</v>
      </c>
      <c r="D97" s="1">
        <v>1</v>
      </c>
      <c r="E97" s="2">
        <v>100</v>
      </c>
      <c r="F97" s="2" t="str" cm="1">
        <f t="array" ref="F97">_xlfn.IFS(AND(101&gt;E97, E97&gt;69), "Top-Tier", AND(70&gt;E97, E97&gt;39), "Mid-Tier", 40&gt;E97, "Low-Tier")</f>
        <v>Top-Tier</v>
      </c>
      <c r="G97" s="4">
        <v>44774</v>
      </c>
      <c r="H97" t="s">
        <v>264</v>
      </c>
      <c r="I97" t="s">
        <v>33</v>
      </c>
      <c r="J97" t="s">
        <v>72</v>
      </c>
      <c r="K97" t="s">
        <v>256</v>
      </c>
      <c r="L97" t="s">
        <v>24</v>
      </c>
      <c r="M97" t="s">
        <v>52</v>
      </c>
      <c r="N97" t="s">
        <v>31</v>
      </c>
      <c r="P97" s="3">
        <v>85</v>
      </c>
      <c r="Q97" t="str">
        <f>LEFT(B97, 4)</f>
        <v>Asus</v>
      </c>
      <c r="R97" t="str">
        <f>LEFT(H97, 21)</f>
        <v>AMD Hexa-Core Ryzen 5</v>
      </c>
      <c r="S97" t="str">
        <f t="shared" si="6"/>
        <v>16 GB</v>
      </c>
    </row>
    <row r="98" spans="1:19">
      <c r="A98" t="str">
        <f>LEFT(B98, LEN(B98)-15)</f>
        <v>Asus ProArt Studiobook Pro 16 OLED H7600ZW-L711WS Laptop (Core i7 12th Gen/32 GB/1 TB SSD/Windows 11/8 GB)</v>
      </c>
      <c r="B98" t="s">
        <v>265</v>
      </c>
      <c r="C98" s="1">
        <v>239990</v>
      </c>
      <c r="D98" s="1">
        <v>2</v>
      </c>
      <c r="E98" s="2">
        <v>100</v>
      </c>
      <c r="F98" s="2" t="str" cm="1">
        <f t="array" ref="F98">_xlfn.IFS(AND(101&gt;E98, E98&gt;69), "Top-Tier", AND(70&gt;E98, E98&gt;39), "Mid-Tier", 40&gt;E98, "Low-Tier")</f>
        <v>Top-Tier</v>
      </c>
      <c r="G98" s="4">
        <v>44774</v>
      </c>
      <c r="H98" t="s">
        <v>264</v>
      </c>
      <c r="I98" t="s">
        <v>33</v>
      </c>
      <c r="J98" t="s">
        <v>144</v>
      </c>
      <c r="K98" t="s">
        <v>266</v>
      </c>
      <c r="L98" t="s">
        <v>24</v>
      </c>
      <c r="M98" t="s">
        <v>237</v>
      </c>
      <c r="N98" t="s">
        <v>31</v>
      </c>
      <c r="P98" s="3">
        <v>87</v>
      </c>
      <c r="Q98" t="str">
        <f>LEFT(B98, 4)</f>
        <v>Asus</v>
      </c>
      <c r="R98" t="str">
        <f t="shared" ref="R98:R101" si="11">LEFT(H98, 21)</f>
        <v>AMD Hexa-Core Ryzen 5</v>
      </c>
      <c r="S98" t="str">
        <f t="shared" si="6"/>
        <v>32 GB</v>
      </c>
    </row>
    <row r="99" spans="1:19">
      <c r="A99" t="str">
        <f>LEFT(B99, LEN(B99)-15)</f>
        <v>Asus ProArt Studiobook Pro 16 OLED H7600ZM-L701WS Laptop (Core i7 12th Gen/16 GB/1 TB SSD/Windows 11/6 GB)</v>
      </c>
      <c r="B99" t="s">
        <v>267</v>
      </c>
      <c r="C99" s="1">
        <v>198114</v>
      </c>
      <c r="D99" s="1">
        <v>1</v>
      </c>
      <c r="E99" s="2">
        <v>100</v>
      </c>
      <c r="F99" s="2" t="str" cm="1">
        <f t="array" ref="F99">_xlfn.IFS(AND(101&gt;E99, E99&gt;69), "Top-Tier", AND(70&gt;E99, E99&gt;39), "Mid-Tier", 40&gt;E99, "Low-Tier")</f>
        <v>Top-Tier</v>
      </c>
      <c r="G99" s="4">
        <v>44774</v>
      </c>
      <c r="H99" t="s">
        <v>264</v>
      </c>
      <c r="I99" t="s">
        <v>33</v>
      </c>
      <c r="J99" t="s">
        <v>72</v>
      </c>
      <c r="K99" t="s">
        <v>266</v>
      </c>
      <c r="L99" t="s">
        <v>24</v>
      </c>
      <c r="M99" t="s">
        <v>237</v>
      </c>
      <c r="N99" t="s">
        <v>31</v>
      </c>
      <c r="P99" s="3">
        <v>86</v>
      </c>
      <c r="Q99" t="str">
        <f>LEFT(B99, 4)</f>
        <v>Asus</v>
      </c>
      <c r="R99" t="str">
        <f t="shared" si="11"/>
        <v>AMD Hexa-Core Ryzen 5</v>
      </c>
      <c r="S99" t="str">
        <f t="shared" si="6"/>
        <v>16 GB</v>
      </c>
    </row>
    <row r="100" spans="1:19">
      <c r="A100" t="str">
        <f>LEFT(B100, LEN(B100)-15)</f>
        <v>HP Omen 17-ck1023TX (6H9E0PA) Laptop (Core i9 12th Gen/32 GB/2 TB SSD/Windows 11/16 GB)</v>
      </c>
      <c r="B100" t="s">
        <v>268</v>
      </c>
      <c r="C100" s="1">
        <v>232999</v>
      </c>
      <c r="D100" s="1">
        <v>2</v>
      </c>
      <c r="E100" s="2">
        <v>100</v>
      </c>
      <c r="F100" s="2" t="str" cm="1">
        <f t="array" ref="F100">_xlfn.IFS(AND(101&gt;E100, E100&gt;69), "Top-Tier", AND(70&gt;E100, E100&gt;39), "Mid-Tier", 40&gt;E100, "Low-Tier")</f>
        <v>Top-Tier</v>
      </c>
      <c r="G100" s="4">
        <v>44774</v>
      </c>
      <c r="H100" t="s">
        <v>264</v>
      </c>
      <c r="I100" t="s">
        <v>33</v>
      </c>
      <c r="J100" t="s">
        <v>172</v>
      </c>
      <c r="K100" t="s">
        <v>226</v>
      </c>
      <c r="L100" t="s">
        <v>24</v>
      </c>
      <c r="N100" t="s">
        <v>31</v>
      </c>
      <c r="Q100" t="str">
        <f>LEFT(B100, 2)</f>
        <v>HP</v>
      </c>
      <c r="R100" t="str">
        <f t="shared" si="11"/>
        <v>AMD Hexa-Core Ryzen 5</v>
      </c>
      <c r="S100" t="str">
        <f t="shared" si="6"/>
        <v>32 GB</v>
      </c>
    </row>
    <row r="101" spans="1:19">
      <c r="A101" t="str">
        <f>LEFT(B101, LEN(B101)-15)</f>
        <v>HP Omen 17-ck1022TX (6J0W2PA) Laptop (Core i7 12th Gen/32 GB/1 TB SSD/Windows 11/8 GB)</v>
      </c>
      <c r="B101" t="s">
        <v>269</v>
      </c>
      <c r="C101" s="1">
        <v>178900</v>
      </c>
      <c r="D101" s="1">
        <v>3</v>
      </c>
      <c r="E101" s="2">
        <v>100</v>
      </c>
      <c r="F101" s="2" t="str" cm="1">
        <f t="array" ref="F101">_xlfn.IFS(AND(101&gt;E101, E101&gt;69), "Top-Tier", AND(70&gt;E101, E101&gt;39), "Mid-Tier", 40&gt;E101, "Low-Tier")</f>
        <v>Top-Tier</v>
      </c>
      <c r="G101" s="4">
        <v>44774</v>
      </c>
      <c r="H101" t="s">
        <v>264</v>
      </c>
      <c r="I101" t="s">
        <v>33</v>
      </c>
      <c r="J101" t="s">
        <v>144</v>
      </c>
      <c r="K101" t="s">
        <v>226</v>
      </c>
      <c r="L101" t="s">
        <v>24</v>
      </c>
      <c r="N101" t="s">
        <v>31</v>
      </c>
      <c r="Q101" t="str">
        <f>LEFT(B101, 2)</f>
        <v>HP</v>
      </c>
      <c r="R101" t="str">
        <f t="shared" si="11"/>
        <v>AMD Hexa-Core Ryzen 5</v>
      </c>
      <c r="S101" t="str">
        <f t="shared" si="6"/>
        <v>32 GB</v>
      </c>
    </row>
    <row r="102" spans="1:19">
      <c r="A102" t="str">
        <f>LEFT(B102, LEN(B102)-15)</f>
        <v>HP Omen 16-n0049AX (6H4N5PA) Laptop (AMD Octa Core Ryzen 7/16 GB/512 GB SSD/Windows 11/4 GB)</v>
      </c>
      <c r="B102" t="s">
        <v>270</v>
      </c>
      <c r="C102" s="1">
        <v>103490</v>
      </c>
      <c r="D102" s="1">
        <v>2</v>
      </c>
      <c r="E102" s="2">
        <v>100</v>
      </c>
      <c r="F102" s="2" t="str" cm="1">
        <f t="array" ref="F102">_xlfn.IFS(AND(101&gt;E102, E102&gt;69), "Top-Tier", AND(70&gt;E102, E102&gt;39), "Mid-Tier", 40&gt;E102, "Low-Tier")</f>
        <v>Top-Tier</v>
      </c>
      <c r="G102" s="4">
        <v>44774</v>
      </c>
      <c r="H102" t="s">
        <v>264</v>
      </c>
      <c r="I102" t="s">
        <v>33</v>
      </c>
      <c r="J102" t="s">
        <v>54</v>
      </c>
      <c r="K102" t="s">
        <v>271</v>
      </c>
      <c r="L102" t="s">
        <v>24</v>
      </c>
      <c r="N102" t="s">
        <v>31</v>
      </c>
      <c r="P102" s="3">
        <v>81</v>
      </c>
      <c r="Q102" t="str">
        <f>LEFT(B102, 2)</f>
        <v>HP</v>
      </c>
      <c r="R102" t="str">
        <f t="shared" ref="R102:R131" si="12">LEFT(H102, 21)</f>
        <v>AMD Hexa-Core Ryzen 5</v>
      </c>
      <c r="S102" t="str">
        <f t="shared" si="6"/>
        <v>16 GB</v>
      </c>
    </row>
    <row r="103" spans="1:19">
      <c r="A103" t="str">
        <f>LEFT(B103, LEN(B103)-15)</f>
        <v>Asus VivoBook Pro 15 OLED M6500IH-L1702WS Laptop (AMD Octa Core Ryzen 7/16 GB/512 GB SSD/Windows 11/4 GB)</v>
      </c>
      <c r="B103" t="s">
        <v>272</v>
      </c>
      <c r="C103" s="1">
        <v>71990</v>
      </c>
      <c r="D103" s="1">
        <v>3</v>
      </c>
      <c r="E103" s="2">
        <v>100</v>
      </c>
      <c r="F103" s="2" t="str" cm="1">
        <f t="array" ref="F103">_xlfn.IFS(AND(101&gt;E103, E103&gt;69), "Top-Tier", AND(70&gt;E103, E103&gt;39), "Mid-Tier", 40&gt;E103, "Low-Tier")</f>
        <v>Top-Tier</v>
      </c>
      <c r="G103" s="4">
        <v>44774</v>
      </c>
      <c r="H103" t="s">
        <v>264</v>
      </c>
      <c r="I103" t="s">
        <v>33</v>
      </c>
      <c r="J103" t="s">
        <v>34</v>
      </c>
      <c r="K103" t="s">
        <v>215</v>
      </c>
      <c r="L103" t="s">
        <v>24</v>
      </c>
      <c r="M103" t="s">
        <v>52</v>
      </c>
      <c r="N103" t="s">
        <v>31</v>
      </c>
      <c r="P103" s="3">
        <v>76</v>
      </c>
      <c r="Q103" t="str">
        <f>LEFT(B103, 4)</f>
        <v>Asus</v>
      </c>
      <c r="R103" t="str">
        <f t="shared" si="12"/>
        <v>AMD Hexa-Core Ryzen 5</v>
      </c>
      <c r="S103" t="str">
        <f t="shared" si="6"/>
        <v>16 GB</v>
      </c>
    </row>
    <row r="104" spans="1:19">
      <c r="A104" t="str">
        <f>LEFT(B104, LEN(B104)-15)</f>
        <v>Asus ROG Zephyrus G15 GA503RM-HQ057WS Laptop (AMD Octa Core Ryzen 9/16 GB/1 TB SSD/Windows 11/6 GB)</v>
      </c>
      <c r="B104" t="s">
        <v>273</v>
      </c>
      <c r="C104" s="1">
        <v>128000</v>
      </c>
      <c r="D104" s="1">
        <v>3</v>
      </c>
      <c r="E104" s="2">
        <v>100</v>
      </c>
      <c r="F104" s="2" t="str" cm="1">
        <f t="array" ref="F104">_xlfn.IFS(AND(101&gt;E104, E104&gt;69), "Top-Tier", AND(70&gt;E104, E104&gt;39), "Mid-Tier", 40&gt;E104, "Low-Tier")</f>
        <v>Top-Tier</v>
      </c>
      <c r="G104" s="4">
        <v>44774</v>
      </c>
      <c r="H104" t="s">
        <v>264</v>
      </c>
      <c r="I104" t="s">
        <v>33</v>
      </c>
      <c r="J104" t="s">
        <v>72</v>
      </c>
      <c r="K104" t="s">
        <v>256</v>
      </c>
      <c r="L104" t="s">
        <v>24</v>
      </c>
      <c r="M104" t="s">
        <v>52</v>
      </c>
      <c r="N104" t="s">
        <v>31</v>
      </c>
      <c r="P104" s="3">
        <v>83</v>
      </c>
      <c r="Q104" t="str">
        <f>LEFT(B104, 4)</f>
        <v>Asus</v>
      </c>
      <c r="R104" t="str">
        <f t="shared" si="12"/>
        <v>AMD Hexa-Core Ryzen 5</v>
      </c>
      <c r="S104" t="str">
        <f t="shared" si="6"/>
        <v>16 GB</v>
      </c>
    </row>
    <row r="105" spans="1:19">
      <c r="A105" t="str">
        <f>LEFT(B105, LEN(B105)-15)</f>
        <v>Asus ROG Flow X16 GV601RW-M5045WS Laptop (AMD Octa Core Ryzen 9/32 GB/1 TB SSD/Windows 11/8 GB)</v>
      </c>
      <c r="B105" t="s">
        <v>274</v>
      </c>
      <c r="C105" s="1">
        <v>261990</v>
      </c>
      <c r="D105" s="1">
        <v>2</v>
      </c>
      <c r="E105" s="2">
        <v>100</v>
      </c>
      <c r="F105" s="2" t="str" cm="1">
        <f t="array" ref="F105">_xlfn.IFS(AND(101&gt;E105, E105&gt;69), "Top-Tier", AND(70&gt;E105, E105&gt;39), "Mid-Tier", 40&gt;E105, "Low-Tier")</f>
        <v>Top-Tier</v>
      </c>
      <c r="G105" s="4">
        <v>44774</v>
      </c>
      <c r="H105" t="s">
        <v>264</v>
      </c>
      <c r="I105" t="s">
        <v>33</v>
      </c>
      <c r="J105" t="s">
        <v>144</v>
      </c>
      <c r="K105" t="s">
        <v>117</v>
      </c>
      <c r="L105" t="s">
        <v>24</v>
      </c>
      <c r="M105" t="s">
        <v>176</v>
      </c>
      <c r="N105" t="s">
        <v>31</v>
      </c>
      <c r="P105" s="3">
        <v>82</v>
      </c>
      <c r="Q105" t="str">
        <f>LEFT(B105, 4)</f>
        <v>Asus</v>
      </c>
      <c r="R105" t="str">
        <f t="shared" si="12"/>
        <v>AMD Hexa-Core Ryzen 5</v>
      </c>
      <c r="S105" t="str">
        <f t="shared" si="6"/>
        <v>32 GB</v>
      </c>
    </row>
    <row r="106" spans="1:19">
      <c r="A106" t="str">
        <f>LEFT(B106, LEN(B106)-15)</f>
        <v>Lenovo Ideapad Slim 3i Gen 7 (82RK007JIN) Laptop (Core i3 12th Gen/8 GB/512 GB SSD/Windows 11)</v>
      </c>
      <c r="B106" t="s">
        <v>275</v>
      </c>
      <c r="C106" s="1">
        <v>33900</v>
      </c>
      <c r="D106" s="1">
        <v>1</v>
      </c>
      <c r="E106" s="2">
        <v>100</v>
      </c>
      <c r="F106" s="2" t="str" cm="1">
        <f t="array" ref="F106">_xlfn.IFS(AND(101&gt;E106, E106&gt;69), "Top-Tier", AND(70&gt;E106, E106&gt;39), "Mid-Tier", 40&gt;E106, "Low-Tier")</f>
        <v>Top-Tier</v>
      </c>
      <c r="G106" s="4">
        <v>44743</v>
      </c>
      <c r="H106" t="s">
        <v>264</v>
      </c>
      <c r="I106" t="s">
        <v>33</v>
      </c>
      <c r="J106" t="s">
        <v>50</v>
      </c>
      <c r="K106" t="s">
        <v>217</v>
      </c>
      <c r="L106" t="s">
        <v>24</v>
      </c>
      <c r="M106" t="s">
        <v>253</v>
      </c>
      <c r="N106" t="s">
        <v>31</v>
      </c>
      <c r="P106" s="3">
        <v>73</v>
      </c>
      <c r="Q106" t="str">
        <f>LEFT(B106, 6)</f>
        <v>Lenovo</v>
      </c>
      <c r="R106" t="str">
        <f t="shared" si="12"/>
        <v>AMD Hexa-Core Ryzen 5</v>
      </c>
      <c r="S106" t="str">
        <f t="shared" si="6"/>
        <v xml:space="preserve">8 GB </v>
      </c>
    </row>
    <row r="107" spans="1:19">
      <c r="A107" t="str">
        <f>LEFT(B107, LEN(B107)-15)</f>
        <v>Asus ROG Flow X13 GV301RA-LI030WS Laptop (AMD Octa Core Ryzen 7/16 GB/1 TB SSD/Windows 11)</v>
      </c>
      <c r="B107" t="s">
        <v>276</v>
      </c>
      <c r="C107" s="1">
        <v>214903</v>
      </c>
      <c r="D107" s="1">
        <v>1</v>
      </c>
      <c r="E107" s="2">
        <v>100</v>
      </c>
      <c r="F107" s="2" t="str" cm="1">
        <f t="array" ref="F107">_xlfn.IFS(AND(101&gt;E107, E107&gt;69), "Top-Tier", AND(70&gt;E107, E107&gt;39), "Mid-Tier", 40&gt;E107, "Low-Tier")</f>
        <v>Top-Tier</v>
      </c>
      <c r="G107" s="4">
        <v>44743</v>
      </c>
      <c r="H107" t="s">
        <v>264</v>
      </c>
      <c r="I107" t="s">
        <v>33</v>
      </c>
      <c r="J107" t="s">
        <v>167</v>
      </c>
      <c r="K107" t="s">
        <v>277</v>
      </c>
      <c r="L107" t="s">
        <v>24</v>
      </c>
      <c r="M107" t="s">
        <v>178</v>
      </c>
      <c r="N107" t="s">
        <v>31</v>
      </c>
      <c r="P107" s="3">
        <v>79</v>
      </c>
      <c r="Q107" t="str">
        <f>LEFT(B107, 4)</f>
        <v>Asus</v>
      </c>
      <c r="R107" t="str">
        <f t="shared" si="12"/>
        <v>AMD Hexa-Core Ryzen 5</v>
      </c>
      <c r="S107" t="str">
        <f t="shared" si="6"/>
        <v>16 GB</v>
      </c>
    </row>
    <row r="108" spans="1:19">
      <c r="A108" t="str">
        <f>LEFT(B108, LEN(B108)-15)</f>
        <v>Dell Alienware X14 R1 (D569937WIN9) Laptop (Core i5 12th Gen/16 GB/512 GB SSD/Windows 11/4 GB)</v>
      </c>
      <c r="B108" t="s">
        <v>278</v>
      </c>
      <c r="C108" s="1">
        <v>182341</v>
      </c>
      <c r="D108" s="1">
        <v>1</v>
      </c>
      <c r="E108" s="2">
        <v>100</v>
      </c>
      <c r="F108" s="2" t="str" cm="1">
        <f t="array" ref="F108">_xlfn.IFS(AND(101&gt;E108, E108&gt;69), "Top-Tier", AND(70&gt;E108, E108&gt;39), "Mid-Tier", 40&gt;E108, "Low-Tier")</f>
        <v>Top-Tier</v>
      </c>
      <c r="G108" s="4">
        <v>44743</v>
      </c>
      <c r="H108" t="s">
        <v>264</v>
      </c>
      <c r="I108" t="s">
        <v>33</v>
      </c>
      <c r="J108" t="s">
        <v>121</v>
      </c>
      <c r="K108" t="s">
        <v>279</v>
      </c>
      <c r="L108" t="s">
        <v>24</v>
      </c>
      <c r="P108" s="3">
        <v>74</v>
      </c>
      <c r="Q108" t="str">
        <f>LEFT(B108, 4)</f>
        <v>Dell</v>
      </c>
      <c r="R108" t="str">
        <f t="shared" si="12"/>
        <v>AMD Hexa-Core Ryzen 5</v>
      </c>
      <c r="S108" t="str">
        <f t="shared" si="6"/>
        <v>16 GB</v>
      </c>
    </row>
    <row r="109" spans="1:19">
      <c r="A109" t="str">
        <f>LEFT(B109, LEN(B109)-15)</f>
        <v>HP Victus 15-fb0052AX (6F9U0PA) Laptop (AMD Octa Core Ryzen 7/8 GB/512 GB SSD/Windows 11/4 GB)</v>
      </c>
      <c r="B109" t="s">
        <v>280</v>
      </c>
      <c r="C109" s="1">
        <v>69890</v>
      </c>
      <c r="D109" s="1">
        <v>1</v>
      </c>
      <c r="E109" s="2">
        <v>100</v>
      </c>
      <c r="F109" s="2" t="str" cm="1">
        <f t="array" ref="F109">_xlfn.IFS(AND(101&gt;E109, E109&gt;69), "Top-Tier", AND(70&gt;E109, E109&gt;39), "Mid-Tier", 40&gt;E109, "Low-Tier")</f>
        <v>Top-Tier</v>
      </c>
      <c r="G109" s="4">
        <v>44743</v>
      </c>
      <c r="H109" t="s">
        <v>264</v>
      </c>
      <c r="I109" t="s">
        <v>33</v>
      </c>
      <c r="J109" t="s">
        <v>50</v>
      </c>
      <c r="K109" t="s">
        <v>51</v>
      </c>
      <c r="L109" t="s">
        <v>24</v>
      </c>
      <c r="N109" t="s">
        <v>31</v>
      </c>
      <c r="P109" s="3">
        <v>80</v>
      </c>
      <c r="Q109" t="str">
        <f>LEFT(B109, 2)</f>
        <v>HP</v>
      </c>
      <c r="R109" t="str">
        <f t="shared" si="12"/>
        <v>AMD Hexa-Core Ryzen 5</v>
      </c>
      <c r="S109" t="str">
        <f t="shared" si="6"/>
        <v xml:space="preserve">8 GB </v>
      </c>
    </row>
    <row r="110" spans="1:19">
      <c r="A110" t="str">
        <f>LEFT(B110, LEN(B110)-15)</f>
        <v>Lenovo Legion Slim 7i Gen 7 (82TF007LIN) Laptop (Core i7 12th Gen/16 GB/1 TB SSD/Windows 11/4 GB)</v>
      </c>
      <c r="B110" t="s">
        <v>281</v>
      </c>
      <c r="C110" s="1">
        <v>125900</v>
      </c>
      <c r="D110" s="1">
        <v>3</v>
      </c>
      <c r="E110" s="2">
        <v>100</v>
      </c>
      <c r="F110" s="2" t="str" cm="1">
        <f t="array" ref="F110">_xlfn.IFS(AND(101&gt;E110, E110&gt;69), "Top-Tier", AND(70&gt;E110, E110&gt;39), "Mid-Tier", 40&gt;E110, "Low-Tier")</f>
        <v>Top-Tier</v>
      </c>
      <c r="G110" s="4">
        <v>44713</v>
      </c>
      <c r="H110" t="s">
        <v>264</v>
      </c>
      <c r="I110" t="s">
        <v>33</v>
      </c>
      <c r="J110" t="s">
        <v>72</v>
      </c>
      <c r="K110" t="s">
        <v>117</v>
      </c>
      <c r="L110" t="s">
        <v>24</v>
      </c>
      <c r="M110" t="s">
        <v>203</v>
      </c>
      <c r="N110" t="s">
        <v>31</v>
      </c>
      <c r="P110" s="3">
        <v>85</v>
      </c>
      <c r="Q110" t="str">
        <f>LEFT(B110, 6)</f>
        <v>Lenovo</v>
      </c>
      <c r="R110" t="str">
        <f t="shared" si="12"/>
        <v>AMD Hexa-Core Ryzen 5</v>
      </c>
      <c r="S110" t="str">
        <f t="shared" si="6"/>
        <v>16 GB</v>
      </c>
    </row>
    <row r="111" spans="1:19">
      <c r="A111" t="str">
        <f>LEFT(B111, LEN(B111)-15)</f>
        <v>Asus ROG Flow Z13 GZ301ZE-LC193WS Laptop (Core i9 12th Gen/16 GB/1 TB SSD/Windows 11/4 GB)</v>
      </c>
      <c r="B111" t="s">
        <v>282</v>
      </c>
      <c r="C111" s="1">
        <v>304980</v>
      </c>
      <c r="D111" s="1">
        <v>1</v>
      </c>
      <c r="E111" s="2">
        <v>100</v>
      </c>
      <c r="F111" s="2" t="str" cm="1">
        <f t="array" ref="F111">_xlfn.IFS(AND(101&gt;E111, E111&gt;69), "Top-Tier", AND(70&gt;E111, E111&gt;39), "Mid-Tier", 40&gt;E111, "Low-Tier")</f>
        <v>Top-Tier</v>
      </c>
      <c r="G111" s="4">
        <v>44713</v>
      </c>
      <c r="H111" t="s">
        <v>264</v>
      </c>
      <c r="I111" t="s">
        <v>33</v>
      </c>
      <c r="J111" t="s">
        <v>167</v>
      </c>
      <c r="K111" t="s">
        <v>277</v>
      </c>
      <c r="L111" t="s">
        <v>24</v>
      </c>
      <c r="M111" t="s">
        <v>283</v>
      </c>
      <c r="Q111" t="str">
        <f>LEFT(B111, 4)</f>
        <v>Asus</v>
      </c>
      <c r="R111" t="str">
        <f t="shared" si="12"/>
        <v>AMD Hexa-Core Ryzen 5</v>
      </c>
      <c r="S111" t="str">
        <f t="shared" si="6"/>
        <v>16 GB</v>
      </c>
    </row>
    <row r="112" spans="1:19">
      <c r="A112" t="str">
        <f>LEFT(B112, LEN(B112)-15)</f>
        <v>Apple MacBook Pro M4 MW2U3HN/A Ultrabook (Apple M4/16 GB/512 GB SSD/macOS Sequoia)</v>
      </c>
      <c r="B112" t="s">
        <v>284</v>
      </c>
      <c r="C112" s="1">
        <v>169900</v>
      </c>
      <c r="D112" s="1">
        <v>32</v>
      </c>
      <c r="E112" s="2">
        <v>98</v>
      </c>
      <c r="F112" s="2" t="str" cm="1">
        <f t="array" ref="F112">_xlfn.IFS(AND(101&gt;E112, E112&gt;69), "Top-Tier", AND(70&gt;E112, E112&gt;39), "Mid-Tier", 40&gt;E112, "Low-Tier")</f>
        <v>Top-Tier</v>
      </c>
      <c r="G112" s="4">
        <v>45597</v>
      </c>
      <c r="H112" t="s">
        <v>285</v>
      </c>
      <c r="I112" t="s">
        <v>21</v>
      </c>
      <c r="J112" t="s">
        <v>286</v>
      </c>
      <c r="K112" t="s">
        <v>29</v>
      </c>
      <c r="L112" t="s">
        <v>24</v>
      </c>
      <c r="M112" t="s">
        <v>30</v>
      </c>
      <c r="N112" t="s">
        <v>31</v>
      </c>
      <c r="P112" s="3">
        <v>85</v>
      </c>
      <c r="Q112" t="str">
        <f>LEFT(B112, 5)</f>
        <v>Apple</v>
      </c>
      <c r="R112" t="str">
        <f t="shared" si="12"/>
        <v>AMD Hexa-Core Ryzen 5</v>
      </c>
      <c r="S112" t="str">
        <f t="shared" si="6"/>
        <v>16 GB</v>
      </c>
    </row>
    <row r="113" spans="1:19">
      <c r="A113" t="str">
        <f>LEFT(B113, LEN(B113)-15)</f>
        <v>Apple MacBook Pro M3 Pro MRX43HN/A Ultrabook (Apple M3 Pro/18 GB/1 TB SSD/macOS Sonoma)</v>
      </c>
      <c r="B113" t="s">
        <v>287</v>
      </c>
      <c r="C113" s="1">
        <v>224990</v>
      </c>
      <c r="D113" s="1">
        <v>16</v>
      </c>
      <c r="E113" s="2">
        <v>98</v>
      </c>
      <c r="F113" s="2" t="str" cm="1">
        <f t="array" ref="F113">_xlfn.IFS(AND(101&gt;E113, E113&gt;69), "Top-Tier", AND(70&gt;E113, E113&gt;39), "Mid-Tier", 40&gt;E113, "Low-Tier")</f>
        <v>Top-Tier</v>
      </c>
      <c r="G113" s="4">
        <v>45231</v>
      </c>
      <c r="H113" t="s">
        <v>288</v>
      </c>
      <c r="I113" t="s">
        <v>189</v>
      </c>
      <c r="J113" t="s">
        <v>195</v>
      </c>
      <c r="K113" t="s">
        <v>191</v>
      </c>
      <c r="L113" t="s">
        <v>24</v>
      </c>
      <c r="M113" t="s">
        <v>30</v>
      </c>
      <c r="N113" t="s">
        <v>31</v>
      </c>
      <c r="P113" s="3">
        <v>74</v>
      </c>
      <c r="Q113" t="str">
        <f>LEFT(B113, 5)</f>
        <v>Apple</v>
      </c>
      <c r="R113" t="str">
        <f t="shared" si="12"/>
        <v>AMD Hexa-Core Ryzen 5</v>
      </c>
      <c r="S113" t="str">
        <f t="shared" si="6"/>
        <v>18 GB</v>
      </c>
    </row>
    <row r="114" spans="1:19">
      <c r="A114" t="str">
        <f>LEFT(B114, LEN(B114)-15)</f>
        <v>Fujitsu UH-X 4ZR1L73352 Laptop (Core i7 13th Gen/16 GB/1 TB SSD/Windows 11)</v>
      </c>
      <c r="B114" t="s">
        <v>289</v>
      </c>
      <c r="C114" s="1">
        <v>109990</v>
      </c>
      <c r="D114" s="1">
        <v>7</v>
      </c>
      <c r="E114" s="2">
        <v>98</v>
      </c>
      <c r="F114" s="2" t="str" cm="1">
        <f t="array" ref="F114">_xlfn.IFS(AND(101&gt;E114, E114&gt;69), "Top-Tier", AND(70&gt;E114, E114&gt;39), "Mid-Tier", 40&gt;E114, "Low-Tier")</f>
        <v>Top-Tier</v>
      </c>
      <c r="G114" s="4">
        <v>45139</v>
      </c>
      <c r="H114" t="s">
        <v>288</v>
      </c>
      <c r="I114" t="s">
        <v>33</v>
      </c>
      <c r="J114" t="s">
        <v>167</v>
      </c>
      <c r="K114" t="s">
        <v>290</v>
      </c>
      <c r="L114" t="s">
        <v>24</v>
      </c>
      <c r="N114" t="s">
        <v>31</v>
      </c>
      <c r="O114" t="s">
        <v>291</v>
      </c>
      <c r="P114" s="3">
        <v>83</v>
      </c>
      <c r="Q114" t="str">
        <f>LEFT(B114, 7)</f>
        <v>Fujitsu</v>
      </c>
      <c r="R114" t="str">
        <f t="shared" si="12"/>
        <v>AMD Hexa-Core Ryzen 5</v>
      </c>
      <c r="S114" t="str">
        <f t="shared" si="6"/>
        <v>16 GB</v>
      </c>
    </row>
    <row r="115" spans="1:19">
      <c r="A115" t="str">
        <f>LEFT(B115, LEN(B115)-15)</f>
        <v>Apple MacBook Pro M2 Pro MPHF3HN/A Ultrabook (Apple M2 Pro/16 GB/1 TB SSD/macOS Ventura)</v>
      </c>
      <c r="B115" t="s">
        <v>292</v>
      </c>
      <c r="C115" s="1">
        <v>230694</v>
      </c>
      <c r="D115" s="1">
        <v>8</v>
      </c>
      <c r="E115" s="2">
        <v>98</v>
      </c>
      <c r="F115" s="2" t="str" cm="1">
        <f t="array" ref="F115">_xlfn.IFS(AND(101&gt;E115, E115&gt;69), "Top-Tier", AND(70&gt;E115, E115&gt;39), "Mid-Tier", 40&gt;E115, "Low-Tier")</f>
        <v>Top-Tier</v>
      </c>
      <c r="G115" s="4">
        <v>45108</v>
      </c>
      <c r="H115" t="s">
        <v>288</v>
      </c>
      <c r="I115" t="s">
        <v>207</v>
      </c>
      <c r="J115" t="s">
        <v>293</v>
      </c>
      <c r="K115" t="s">
        <v>29</v>
      </c>
      <c r="L115" t="s">
        <v>24</v>
      </c>
      <c r="M115" t="s">
        <v>30</v>
      </c>
      <c r="P115" s="3">
        <v>78</v>
      </c>
      <c r="Q115" t="str">
        <f>LEFT(B115, 5)</f>
        <v>Apple</v>
      </c>
      <c r="R115" t="str">
        <f t="shared" si="12"/>
        <v>AMD Hexa-Core Ryzen 5</v>
      </c>
      <c r="S115" t="str">
        <f t="shared" si="6"/>
        <v>16 GB</v>
      </c>
    </row>
    <row r="116" spans="1:19">
      <c r="A116" t="str">
        <f>LEFT(B116, LEN(B116)-15)</f>
        <v>MSI Katana 15 B12UDXK-1017IN Laptop (Core i7 12th Gen/8 GB/512 GB SSD/Windows 11/6 GB)</v>
      </c>
      <c r="B116" t="s">
        <v>294</v>
      </c>
      <c r="C116" s="1">
        <v>84540</v>
      </c>
      <c r="D116" s="1">
        <v>17</v>
      </c>
      <c r="E116" s="2">
        <v>98</v>
      </c>
      <c r="F116" s="2" t="str" cm="1">
        <f t="array" ref="F116">_xlfn.IFS(AND(101&gt;E116, E116&gt;69), "Top-Tier", AND(70&gt;E116, E116&gt;39), "Mid-Tier", 40&gt;E116, "Low-Tier")</f>
        <v>Top-Tier</v>
      </c>
      <c r="G116" s="4">
        <v>45047</v>
      </c>
      <c r="H116" t="s">
        <v>288</v>
      </c>
      <c r="I116" t="s">
        <v>33</v>
      </c>
      <c r="J116" t="s">
        <v>119</v>
      </c>
      <c r="K116" t="s">
        <v>51</v>
      </c>
      <c r="L116" t="s">
        <v>24</v>
      </c>
      <c r="N116" t="s">
        <v>31</v>
      </c>
      <c r="P116" s="3">
        <v>81</v>
      </c>
      <c r="Q116" t="str">
        <f>LEFT(B116, 3)</f>
        <v>MSI</v>
      </c>
      <c r="R116" t="str">
        <f t="shared" si="12"/>
        <v>AMD Hexa-Core Ryzen 5</v>
      </c>
      <c r="S116" t="str">
        <f t="shared" si="6"/>
        <v xml:space="preserve">8 GB </v>
      </c>
    </row>
    <row r="117" spans="1:19">
      <c r="A117" t="str">
        <f>LEFT(B117, LEN(B117)-15)</f>
        <v>Dell XPS 13 9315 (ICC-C786507WIN8) Laptop (Core i5 12th Gen/16 GB/512 GB SSD/Windows 11)</v>
      </c>
      <c r="B117" t="s">
        <v>295</v>
      </c>
      <c r="C117" s="1">
        <v>121299</v>
      </c>
      <c r="D117" s="1">
        <v>7</v>
      </c>
      <c r="E117" s="2">
        <v>98</v>
      </c>
      <c r="F117" s="2" t="str" cm="1">
        <f t="array" ref="F117">_xlfn.IFS(AND(101&gt;E117, E117&gt;69), "Top-Tier", AND(70&gt;E117, E117&gt;39), "Mid-Tier", 40&gt;E117, "Low-Tier")</f>
        <v>Top-Tier</v>
      </c>
      <c r="G117" s="4">
        <v>44805</v>
      </c>
      <c r="H117" t="s">
        <v>288</v>
      </c>
      <c r="I117" t="s">
        <v>33</v>
      </c>
      <c r="J117" t="s">
        <v>121</v>
      </c>
      <c r="K117" t="s">
        <v>296</v>
      </c>
      <c r="L117" t="s">
        <v>24</v>
      </c>
      <c r="M117" t="s">
        <v>60</v>
      </c>
      <c r="P117" s="3">
        <v>76</v>
      </c>
      <c r="Q117" t="str">
        <f>LEFT(B117, 4)</f>
        <v>Dell</v>
      </c>
      <c r="R117" t="str">
        <f t="shared" si="12"/>
        <v>AMD Hexa-Core Ryzen 5</v>
      </c>
      <c r="S117" t="str">
        <f t="shared" si="6"/>
        <v>16 GB</v>
      </c>
    </row>
    <row r="118" spans="1:19">
      <c r="A118" t="str">
        <f>LEFT(B118, LEN(B118)-15)</f>
        <v>Lenovo Legion 5 Pro 16IAH7H (82RF00E1IN) Laptop (Core i7 12th Gen/32 GB/1 TB SSD/Windows 11/8 GB)</v>
      </c>
      <c r="B118" t="s">
        <v>297</v>
      </c>
      <c r="C118" s="1">
        <v>279890</v>
      </c>
      <c r="D118" s="1">
        <v>9</v>
      </c>
      <c r="E118" s="2">
        <v>98</v>
      </c>
      <c r="F118" s="2" t="str" cm="1">
        <f t="array" ref="F118">_xlfn.IFS(AND(101&gt;E118, E118&gt;69), "Top-Tier", AND(70&gt;E118, E118&gt;39), "Mid-Tier", 40&gt;E118, "Low-Tier")</f>
        <v>Top-Tier</v>
      </c>
      <c r="G118" s="4">
        <v>44805</v>
      </c>
      <c r="H118" t="s">
        <v>288</v>
      </c>
      <c r="I118" t="s">
        <v>33</v>
      </c>
      <c r="J118" t="s">
        <v>144</v>
      </c>
      <c r="K118" t="s">
        <v>117</v>
      </c>
      <c r="L118" t="s">
        <v>24</v>
      </c>
      <c r="M118" t="s">
        <v>253</v>
      </c>
      <c r="N118" t="s">
        <v>31</v>
      </c>
      <c r="Q118" t="str">
        <f>LEFT(B118, 6)</f>
        <v>Lenovo</v>
      </c>
      <c r="R118" t="str">
        <f t="shared" si="12"/>
        <v>AMD Hexa-Core Ryzen 5</v>
      </c>
      <c r="S118" t="str">
        <f t="shared" si="6"/>
        <v>32 GB</v>
      </c>
    </row>
    <row r="119" spans="1:19">
      <c r="A119" t="str">
        <f>LEFT(B119, LEN(B119)-15)</f>
        <v>Asus ROG Zephyrus G15 GA503RM-LN143WS Laptop (AMD Octa Core Ryzen 7/16 GB/1 TB SSD/Windows 11/6 GB)</v>
      </c>
      <c r="B119" t="s">
        <v>298</v>
      </c>
      <c r="C119" s="1">
        <v>94990</v>
      </c>
      <c r="D119" s="1">
        <v>7</v>
      </c>
      <c r="E119" s="2">
        <v>98</v>
      </c>
      <c r="F119" s="2" t="str" cm="1">
        <f t="array" ref="F119">_xlfn.IFS(AND(101&gt;E119, E119&gt;69), "Top-Tier", AND(70&gt;E119, E119&gt;39), "Mid-Tier", 40&gt;E119, "Low-Tier")</f>
        <v>Top-Tier</v>
      </c>
      <c r="G119" s="4">
        <v>44743</v>
      </c>
      <c r="H119" t="s">
        <v>299</v>
      </c>
      <c r="I119" t="s">
        <v>33</v>
      </c>
      <c r="J119" t="s">
        <v>72</v>
      </c>
      <c r="K119" t="s">
        <v>252</v>
      </c>
      <c r="L119" t="s">
        <v>24</v>
      </c>
      <c r="M119" t="s">
        <v>253</v>
      </c>
      <c r="N119" t="s">
        <v>31</v>
      </c>
      <c r="P119" s="3">
        <v>85</v>
      </c>
      <c r="Q119" t="str">
        <f>LEFT(B119, 4)</f>
        <v>Asus</v>
      </c>
      <c r="R119" t="str">
        <f t="shared" si="12"/>
        <v>AMD Hexa-Core Ryzen 5</v>
      </c>
      <c r="S119" t="str">
        <f t="shared" si="6"/>
        <v>16 GB</v>
      </c>
    </row>
    <row r="120" spans="1:19">
      <c r="A120" t="str">
        <f>LEFT(B120, LEN(B120)-15)</f>
        <v>Asus ROG Flow Z13 GZ301ZE-LD064WS Laptop (Core i9 12th Gen/16 GB/1 TB SSD/Windows 11/4 GB)</v>
      </c>
      <c r="B120" t="s">
        <v>300</v>
      </c>
      <c r="C120" s="1">
        <v>179990</v>
      </c>
      <c r="D120" s="1">
        <v>7</v>
      </c>
      <c r="E120" s="2">
        <v>98</v>
      </c>
      <c r="F120" s="2" t="str" cm="1">
        <f t="array" ref="F120">_xlfn.IFS(AND(101&gt;E120, E120&gt;69), "Top-Tier", AND(70&gt;E120, E120&gt;39), "Mid-Tier", 40&gt;E120, "Low-Tier")</f>
        <v>Top-Tier</v>
      </c>
      <c r="G120" s="4">
        <v>44713</v>
      </c>
      <c r="H120" t="s">
        <v>301</v>
      </c>
      <c r="I120" t="s">
        <v>33</v>
      </c>
      <c r="J120" t="s">
        <v>167</v>
      </c>
      <c r="K120" t="s">
        <v>296</v>
      </c>
      <c r="L120" t="s">
        <v>24</v>
      </c>
      <c r="M120" t="s">
        <v>283</v>
      </c>
      <c r="Q120" t="str">
        <f>LEFT(B120, 4)</f>
        <v>Asus</v>
      </c>
      <c r="R120" t="str">
        <f t="shared" si="12"/>
        <v>AMD Hexa-Core Ryzen 5</v>
      </c>
      <c r="S120" t="str">
        <f t="shared" si="6"/>
        <v>16 GB</v>
      </c>
    </row>
    <row r="121" spans="1:19">
      <c r="A121" t="str">
        <f>LEFT(B121, LEN(B121)-15)</f>
        <v>Apple MacBook Air M2 MC7X4HN/A Ultrabook (Apple M2/16 GB/256 GB SSD/macOS Sequoia)</v>
      </c>
      <c r="B121" t="s">
        <v>302</v>
      </c>
      <c r="C121" s="1">
        <v>77990</v>
      </c>
      <c r="D121" s="1">
        <v>28</v>
      </c>
      <c r="E121" s="2">
        <v>96</v>
      </c>
      <c r="F121" s="2" t="str" cm="1">
        <f t="array" ref="F121">_xlfn.IFS(AND(101&gt;E121, E121&gt;69), "Top-Tier", AND(70&gt;E121, E121&gt;39), "Mid-Tier", 40&gt;E121, "Low-Tier")</f>
        <v>Top-Tier</v>
      </c>
      <c r="G121" s="4">
        <v>45597</v>
      </c>
      <c r="H121" t="s">
        <v>301</v>
      </c>
      <c r="I121" t="s">
        <v>21</v>
      </c>
      <c r="J121" t="s">
        <v>22</v>
      </c>
      <c r="K121" t="s">
        <v>39</v>
      </c>
      <c r="L121" t="s">
        <v>24</v>
      </c>
      <c r="M121" t="s">
        <v>40</v>
      </c>
      <c r="P121" s="3">
        <v>81</v>
      </c>
      <c r="Q121" t="str">
        <f>LEFT(B121, 5)</f>
        <v>Apple</v>
      </c>
      <c r="R121" t="str">
        <f t="shared" si="12"/>
        <v>AMD Hexa-Core Ryzen 5</v>
      </c>
      <c r="S121" t="str">
        <f t="shared" si="6"/>
        <v>16 GB</v>
      </c>
    </row>
    <row r="122" spans="1:19">
      <c r="A122" t="str">
        <f>LEFT(B122, LEN(B122)-15)</f>
        <v>Asus VivoBook 14 X1407CA-LY102WS Laptop (Core Ultra 5/16 GB/512 GB SSD/Windows 11)</v>
      </c>
      <c r="B122" t="s">
        <v>303</v>
      </c>
      <c r="C122" s="1">
        <v>69990</v>
      </c>
      <c r="D122" s="1">
        <v>16</v>
      </c>
      <c r="E122" s="2">
        <v>96</v>
      </c>
      <c r="F122" s="2" t="str" cm="1">
        <f t="array" ref="F122">_xlfn.IFS(AND(101&gt;E122, E122&gt;69), "Top-Tier", AND(70&gt;E122, E122&gt;39), "Mid-Tier", 40&gt;E122, "Low-Tier")</f>
        <v>Top-Tier</v>
      </c>
      <c r="G122" s="4">
        <v>45689</v>
      </c>
      <c r="H122" t="s">
        <v>304</v>
      </c>
      <c r="I122" t="s">
        <v>33</v>
      </c>
      <c r="J122" t="s">
        <v>54</v>
      </c>
      <c r="K122" t="s">
        <v>94</v>
      </c>
      <c r="L122" t="s">
        <v>24</v>
      </c>
      <c r="M122" t="s">
        <v>95</v>
      </c>
      <c r="N122" t="s">
        <v>31</v>
      </c>
      <c r="P122" s="3">
        <v>85</v>
      </c>
      <c r="Q122" t="str">
        <f>LEFT(B122, 4)</f>
        <v>Asus</v>
      </c>
      <c r="R122" t="str">
        <f t="shared" si="12"/>
        <v>AMD Hexa-Core Ryzen 5</v>
      </c>
      <c r="S122" t="str">
        <f t="shared" si="6"/>
        <v>16 GB</v>
      </c>
    </row>
    <row r="123" spans="1:19">
      <c r="A123" t="str">
        <f>LEFT(B123, LEN(B123)-15)</f>
        <v>Asus VivoBook 16 X1607CA-MB139WS Laptop (Core Ultra 5/16 GB/512 GB SSD/Windows 11)</v>
      </c>
      <c r="B123" t="s">
        <v>305</v>
      </c>
      <c r="C123" s="1">
        <v>70990</v>
      </c>
      <c r="D123" s="1">
        <v>9</v>
      </c>
      <c r="E123" s="2">
        <v>96</v>
      </c>
      <c r="F123" s="2" t="str" cm="1">
        <f t="array" ref="F123">_xlfn.IFS(AND(101&gt;E123, E123&gt;69), "Top-Tier", AND(70&gt;E123, E123&gt;39), "Mid-Tier", 40&gt;E123, "Low-Tier")</f>
        <v>Top-Tier</v>
      </c>
      <c r="G123" s="4">
        <v>45689</v>
      </c>
      <c r="H123" t="s">
        <v>304</v>
      </c>
      <c r="I123" t="s">
        <v>33</v>
      </c>
      <c r="J123" t="s">
        <v>54</v>
      </c>
      <c r="K123" t="s">
        <v>155</v>
      </c>
      <c r="L123" t="s">
        <v>24</v>
      </c>
      <c r="M123" t="s">
        <v>52</v>
      </c>
      <c r="N123" t="s">
        <v>31</v>
      </c>
      <c r="P123" s="3">
        <v>85</v>
      </c>
      <c r="Q123" t="str">
        <f>LEFT(B123, 4)</f>
        <v>Asus</v>
      </c>
      <c r="R123" t="str">
        <f t="shared" si="12"/>
        <v>AMD Hexa-Core Ryzen 5</v>
      </c>
      <c r="S123" t="str">
        <f t="shared" si="6"/>
        <v>16 GB</v>
      </c>
    </row>
    <row r="124" spans="1:19">
      <c r="A124" t="str">
        <f>LEFT(B124, LEN(B124)-15)</f>
        <v>Asus VivoBook 16 X1607CA-MB142WS Laptop (Core Ultra 5/16 GB/512 GB SSD/Windows 11)</v>
      </c>
      <c r="B124" t="s">
        <v>306</v>
      </c>
      <c r="C124" s="1">
        <v>75990</v>
      </c>
      <c r="D124" s="1">
        <v>9</v>
      </c>
      <c r="E124" s="2">
        <v>96</v>
      </c>
      <c r="F124" s="2" t="str" cm="1">
        <f t="array" ref="F124">_xlfn.IFS(AND(101&gt;E124, E124&gt;69), "Top-Tier", AND(70&gt;E124, E124&gt;39), "Mid-Tier", 40&gt;E124, "Low-Tier")</f>
        <v>Top-Tier</v>
      </c>
      <c r="G124" s="4">
        <v>45658</v>
      </c>
      <c r="H124" t="s">
        <v>304</v>
      </c>
      <c r="I124" t="s">
        <v>33</v>
      </c>
      <c r="J124" t="s">
        <v>54</v>
      </c>
      <c r="K124" t="s">
        <v>155</v>
      </c>
      <c r="L124" t="s">
        <v>24</v>
      </c>
      <c r="M124" t="s">
        <v>52</v>
      </c>
      <c r="N124" t="s">
        <v>31</v>
      </c>
      <c r="P124" s="3">
        <v>84</v>
      </c>
      <c r="Q124" t="str">
        <f>LEFT(B124, 4)</f>
        <v>Asus</v>
      </c>
      <c r="R124" t="str">
        <f t="shared" si="12"/>
        <v>AMD Hexa-Core Ryzen 5</v>
      </c>
      <c r="S124" t="str">
        <f t="shared" si="6"/>
        <v>16 GB</v>
      </c>
    </row>
    <row r="125" spans="1:19">
      <c r="A125" t="str">
        <f>LEFT(B125, LEN(B125)-15)</f>
        <v>Apple MacBook Air M3 MC8Q4HN/A Ultrabook (Apple M3/24 GB/512 GB SSD/macOS Sequoia)</v>
      </c>
      <c r="B125" t="s">
        <v>307</v>
      </c>
      <c r="C125" s="1">
        <v>147990</v>
      </c>
      <c r="D125" s="1">
        <v>4</v>
      </c>
      <c r="E125" s="2">
        <v>96</v>
      </c>
      <c r="F125" s="2" t="str" cm="1">
        <f t="array" ref="F125">_xlfn.IFS(AND(101&gt;E125, E125&gt;69), "Top-Tier", AND(70&gt;E125, E125&gt;39), "Mid-Tier", 40&gt;E125, "Low-Tier")</f>
        <v>Top-Tier</v>
      </c>
      <c r="G125" s="4">
        <v>45597</v>
      </c>
      <c r="H125" t="s">
        <v>304</v>
      </c>
      <c r="I125" t="s">
        <v>21</v>
      </c>
      <c r="J125" t="s">
        <v>28</v>
      </c>
      <c r="K125" t="s">
        <v>39</v>
      </c>
      <c r="L125" t="s">
        <v>24</v>
      </c>
      <c r="M125" t="s">
        <v>40</v>
      </c>
      <c r="P125" s="3">
        <v>85</v>
      </c>
      <c r="Q125" t="str">
        <f>LEFT(B125, 5)</f>
        <v>Apple</v>
      </c>
      <c r="R125" t="str">
        <f t="shared" si="12"/>
        <v>AMD Hexa-Core Ryzen 5</v>
      </c>
      <c r="S125" t="str">
        <f t="shared" si="6"/>
        <v>24 GB</v>
      </c>
    </row>
    <row r="126" spans="1:19">
      <c r="A126" t="str">
        <f>LEFT(B126, LEN(B126)-15)</f>
        <v>MSI Crosshair 16 HX D14VGKG-668IN Laptop (Core i7 14th Gen/32 GB/1 TB SSD/Windows 11/8 GB)</v>
      </c>
      <c r="B126" t="s">
        <v>308</v>
      </c>
      <c r="C126" s="1">
        <v>172990</v>
      </c>
      <c r="D126" s="1">
        <v>5</v>
      </c>
      <c r="E126" s="2">
        <v>96</v>
      </c>
      <c r="F126" s="2" t="str" cm="1">
        <f t="array" ref="F126">_xlfn.IFS(AND(101&gt;E126, E126&gt;69), "Top-Tier", AND(70&gt;E126, E126&gt;39), "Mid-Tier", 40&gt;E126, "Low-Tier")</f>
        <v>Top-Tier</v>
      </c>
      <c r="G126" s="4">
        <v>45536</v>
      </c>
      <c r="H126" t="s">
        <v>309</v>
      </c>
      <c r="I126" t="s">
        <v>33</v>
      </c>
      <c r="J126" t="s">
        <v>144</v>
      </c>
      <c r="K126" t="s">
        <v>117</v>
      </c>
      <c r="L126" t="s">
        <v>24</v>
      </c>
      <c r="N126" t="s">
        <v>31</v>
      </c>
      <c r="Q126" t="str">
        <f>LEFT(B126, 3)</f>
        <v>MSI</v>
      </c>
      <c r="R126" t="str">
        <f t="shared" si="12"/>
        <v>AMD Hexa-Core Ryzen 5</v>
      </c>
      <c r="S126" t="str">
        <f t="shared" si="6"/>
        <v>32 GB</v>
      </c>
    </row>
    <row r="127" spans="1:19">
      <c r="A127" t="str">
        <f>LEFT(B127, LEN(B127)-15)</f>
        <v>Apple MacBook Pro M4 MW2W3HN/A Ultrabook (Apple M4/16 GB/512 GB SSD/macOS Sequoia)</v>
      </c>
      <c r="B127" t="s">
        <v>310</v>
      </c>
      <c r="C127" s="1">
        <v>162990</v>
      </c>
      <c r="D127" s="1">
        <v>8</v>
      </c>
      <c r="E127" s="2">
        <v>96</v>
      </c>
      <c r="F127" s="2" t="str" cm="1">
        <f t="array" ref="F127">_xlfn.IFS(AND(101&gt;E127, E127&gt;69), "Top-Tier", AND(70&gt;E127, E127&gt;39), "Mid-Tier", 40&gt;E127, "Low-Tier")</f>
        <v>Top-Tier</v>
      </c>
      <c r="G127" s="4">
        <v>45597</v>
      </c>
      <c r="H127" t="s">
        <v>309</v>
      </c>
      <c r="I127" t="s">
        <v>21</v>
      </c>
      <c r="J127" t="s">
        <v>286</v>
      </c>
      <c r="K127" t="s">
        <v>29</v>
      </c>
      <c r="L127" t="s">
        <v>24</v>
      </c>
      <c r="M127" t="s">
        <v>30</v>
      </c>
      <c r="N127" t="s">
        <v>31</v>
      </c>
      <c r="P127" s="3">
        <v>86</v>
      </c>
      <c r="Q127" t="str">
        <f>LEFT(B127, 5)</f>
        <v>Apple</v>
      </c>
      <c r="R127" t="str">
        <f t="shared" si="12"/>
        <v>AMD Hexa-Core Ryzen 5</v>
      </c>
      <c r="S127" t="str">
        <f t="shared" si="6"/>
        <v>16 GB</v>
      </c>
    </row>
    <row r="128" spans="1:19">
      <c r="A128" t="str">
        <f>LEFT(B128, LEN(B128)-15)</f>
        <v>MSI Sword 16 HX B13VFKG-653IN Laptop (Core i7 13th Gen/16 GB/1 TB SSD/Windows 11/8 GB)</v>
      </c>
      <c r="B128" t="s">
        <v>311</v>
      </c>
      <c r="C128" s="1">
        <v>107990</v>
      </c>
      <c r="D128" s="1">
        <v>96</v>
      </c>
      <c r="E128" s="2">
        <v>96</v>
      </c>
      <c r="F128" s="2" t="str" cm="1">
        <f t="array" ref="F128">_xlfn.IFS(AND(101&gt;E128, E128&gt;69), "Top-Tier", AND(70&gt;E128, E128&gt;39), "Mid-Tier", 40&gt;E128, "Low-Tier")</f>
        <v>Top-Tier</v>
      </c>
      <c r="G128" s="4">
        <v>45536</v>
      </c>
      <c r="H128" t="s">
        <v>309</v>
      </c>
      <c r="I128" t="s">
        <v>33</v>
      </c>
      <c r="J128" t="s">
        <v>72</v>
      </c>
      <c r="K128" t="s">
        <v>155</v>
      </c>
      <c r="L128" t="s">
        <v>24</v>
      </c>
      <c r="N128" t="s">
        <v>31</v>
      </c>
      <c r="P128" s="3">
        <v>84</v>
      </c>
      <c r="Q128" t="str">
        <f>LEFT(B128, 3)</f>
        <v>MSI</v>
      </c>
      <c r="R128" t="str">
        <f t="shared" si="12"/>
        <v>AMD Hexa-Core Ryzen 5</v>
      </c>
      <c r="S128" t="str">
        <f t="shared" si="6"/>
        <v>16 GB</v>
      </c>
    </row>
    <row r="129" spans="1:19">
      <c r="A129" t="str">
        <f>LEFT(B129, LEN(B129)-15)</f>
        <v>Infinix INBook Y3 Max YL613 (71008301498) Laptop (Core i7 12th Gen/16 GB/512 GB SSD/Windows 11)</v>
      </c>
      <c r="B129" t="s">
        <v>312</v>
      </c>
      <c r="C129" s="1">
        <v>39990</v>
      </c>
      <c r="D129" s="1">
        <v>9</v>
      </c>
      <c r="E129" s="2">
        <v>96</v>
      </c>
      <c r="F129" s="2" t="str" cm="1">
        <f t="array" ref="F129">_xlfn.IFS(AND(101&gt;E129, E129&gt;69), "Top-Tier", AND(70&gt;E129, E129&gt;39), "Mid-Tier", 40&gt;E129, "Low-Tier")</f>
        <v>Top-Tier</v>
      </c>
      <c r="G129" s="4">
        <v>45505</v>
      </c>
      <c r="H129" t="s">
        <v>309</v>
      </c>
      <c r="I129" t="s">
        <v>33</v>
      </c>
      <c r="J129" t="s">
        <v>214</v>
      </c>
      <c r="K129" t="s">
        <v>155</v>
      </c>
      <c r="L129" t="s">
        <v>24</v>
      </c>
      <c r="M129" t="s">
        <v>95</v>
      </c>
      <c r="N129" t="s">
        <v>31</v>
      </c>
      <c r="O129" t="s">
        <v>261</v>
      </c>
      <c r="P129" s="3">
        <v>80</v>
      </c>
      <c r="Q129" t="str">
        <f>LEFT(B129, 7)</f>
        <v>Infinix</v>
      </c>
      <c r="R129" t="str">
        <f t="shared" si="12"/>
        <v>AMD Hexa-Core Ryzen 5</v>
      </c>
      <c r="S129" t="str">
        <f t="shared" si="6"/>
        <v>16 GB</v>
      </c>
    </row>
    <row r="130" spans="1:19">
      <c r="A130" t="str">
        <f>LEFT(B130, LEN(B130)-15)</f>
        <v>MSI GE75 Raider 9SG-610IN Laptop (Core i7 9th Gen/16 GB/1 TB 1 TB SSD/Windows 10/8 GB)</v>
      </c>
      <c r="B130" t="s">
        <v>313</v>
      </c>
      <c r="C130" s="1">
        <v>189990</v>
      </c>
      <c r="D130" s="1">
        <v>22</v>
      </c>
      <c r="E130" s="2">
        <v>96</v>
      </c>
      <c r="F130" s="2" t="str" cm="1">
        <f t="array" ref="F130">_xlfn.IFS(AND(101&gt;E130, E130&gt;69), "Top-Tier", AND(70&gt;E130, E130&gt;39), "Mid-Tier", 40&gt;E130, "Low-Tier")</f>
        <v>Top-Tier</v>
      </c>
      <c r="G130" s="4">
        <v>43586</v>
      </c>
      <c r="H130" t="s">
        <v>314</v>
      </c>
      <c r="I130" t="s">
        <v>248</v>
      </c>
      <c r="J130" t="s">
        <v>315</v>
      </c>
      <c r="K130" t="s">
        <v>249</v>
      </c>
      <c r="L130" t="s">
        <v>24</v>
      </c>
      <c r="N130" t="s">
        <v>31</v>
      </c>
      <c r="Q130" t="str">
        <f>LEFT(B130, 3)</f>
        <v>MSI</v>
      </c>
      <c r="R130" t="str">
        <f t="shared" si="12"/>
        <v>AMD Hexa-Core Ryzen 5</v>
      </c>
      <c r="S130" t="str">
        <f t="shared" si="6"/>
        <v>16 GB</v>
      </c>
    </row>
    <row r="131" spans="1:19">
      <c r="A131" t="str">
        <f>LEFT(B131, LEN(B131)-15)</f>
        <v>Samsung Galaxy Book 4 Pro NP960XGK-KG2IN Laptop (Core Ultra 7/16 GB/512 GB SSD/Windows 11)</v>
      </c>
      <c r="B131" t="s">
        <v>316</v>
      </c>
      <c r="C131" s="1">
        <v>144990</v>
      </c>
      <c r="D131" s="1">
        <v>17</v>
      </c>
      <c r="E131" s="2">
        <v>96</v>
      </c>
      <c r="F131" s="2" t="str" cm="1">
        <f t="array" ref="F131">_xlfn.IFS(AND(101&gt;E131, E131&gt;69), "Top-Tier", AND(70&gt;E131, E131&gt;39), "Mid-Tier", 40&gt;E131, "Low-Tier")</f>
        <v>Top-Tier</v>
      </c>
      <c r="G131" s="4">
        <v>45323</v>
      </c>
      <c r="H131" t="s">
        <v>314</v>
      </c>
      <c r="I131" t="s">
        <v>33</v>
      </c>
      <c r="J131" t="s">
        <v>63</v>
      </c>
      <c r="K131" t="s">
        <v>169</v>
      </c>
      <c r="L131" t="s">
        <v>24</v>
      </c>
      <c r="M131" t="s">
        <v>317</v>
      </c>
      <c r="N131" t="s">
        <v>31</v>
      </c>
      <c r="P131" s="3">
        <v>85</v>
      </c>
      <c r="Q131" t="str">
        <f>LEFT(B131, 7)</f>
        <v>Samsung</v>
      </c>
      <c r="R131" t="str">
        <f t="shared" si="12"/>
        <v>AMD Hexa-Core Ryzen 5</v>
      </c>
      <c r="S131" t="str">
        <f t="shared" ref="S131:S194" si="13">LEFT(J131, 5)</f>
        <v>16 GB</v>
      </c>
    </row>
    <row r="132" spans="1:19">
      <c r="A132" t="str">
        <f>LEFT(B132, LEN(B132)-15)</f>
        <v>Asus VivoBook Pro 15 OLED M3500QC-L1711WS Laptop (AMD Octa Core Ryzen 7/16 GB/1 TB SSD/Windows 11/4 GB)</v>
      </c>
      <c r="B132" t="s">
        <v>318</v>
      </c>
      <c r="C132" s="1">
        <v>69665</v>
      </c>
      <c r="D132" s="1">
        <v>4</v>
      </c>
      <c r="E132" s="2">
        <v>96</v>
      </c>
      <c r="F132" s="2" t="str" cm="1">
        <f t="array" ref="F132">_xlfn.IFS(AND(101&gt;E132, E132&gt;69), "Top-Tier", AND(70&gt;E132, E132&gt;39), "Mid-Tier", 40&gt;E132, "Low-Tier")</f>
        <v>Top-Tier</v>
      </c>
      <c r="G132" s="4">
        <v>45200</v>
      </c>
      <c r="H132" t="s">
        <v>314</v>
      </c>
      <c r="I132" t="s">
        <v>33</v>
      </c>
      <c r="J132" t="s">
        <v>184</v>
      </c>
      <c r="K132" t="s">
        <v>215</v>
      </c>
      <c r="L132" t="s">
        <v>24</v>
      </c>
      <c r="M132" t="s">
        <v>52</v>
      </c>
      <c r="N132" t="s">
        <v>31</v>
      </c>
      <c r="P132" s="3">
        <v>86</v>
      </c>
      <c r="Q132" t="str">
        <f>LEFT(B132, 4)</f>
        <v>Asus</v>
      </c>
      <c r="R132" t="str">
        <f t="shared" ref="R132:R159" si="14">LEFT(H132, 21)</f>
        <v>AMD Hexa-Core Ryzen 5</v>
      </c>
      <c r="S132" t="str">
        <f t="shared" si="13"/>
        <v>16 GB</v>
      </c>
    </row>
    <row r="133" spans="1:19">
      <c r="A133" t="str">
        <f>LEFT(B133, LEN(B133)-15)</f>
        <v>MSI Bravo 15 B7ED-011IN Laptop (AMD Octa Core Ryzen 7/16 GB/512 GB SSD/Windows 11/4 GB)</v>
      </c>
      <c r="B133" t="s">
        <v>319</v>
      </c>
      <c r="C133" s="1">
        <v>75990</v>
      </c>
      <c r="D133" s="1">
        <v>9</v>
      </c>
      <c r="E133" s="2">
        <v>96</v>
      </c>
      <c r="F133" s="2" t="str" cm="1">
        <f t="array" ref="F133">_xlfn.IFS(AND(101&gt;E133, E133&gt;69), "Top-Tier", AND(70&gt;E133, E133&gt;39), "Mid-Tier", 40&gt;E133, "Low-Tier")</f>
        <v>Top-Tier</v>
      </c>
      <c r="G133" s="4">
        <v>45200</v>
      </c>
      <c r="H133" t="s">
        <v>320</v>
      </c>
      <c r="I133" t="s">
        <v>33</v>
      </c>
      <c r="J133" t="s">
        <v>54</v>
      </c>
      <c r="K133" t="s">
        <v>51</v>
      </c>
      <c r="L133" t="s">
        <v>24</v>
      </c>
      <c r="N133" t="s">
        <v>31</v>
      </c>
      <c r="P133" s="3">
        <v>80</v>
      </c>
      <c r="Q133" t="str">
        <f>LEFT(B133, 3)</f>
        <v>MSI</v>
      </c>
      <c r="R133" t="str">
        <f t="shared" si="14"/>
        <v>AMD Hexa-Core Ryzen 5</v>
      </c>
      <c r="S133" t="str">
        <f t="shared" si="13"/>
        <v>16 GB</v>
      </c>
    </row>
    <row r="134" spans="1:19">
      <c r="A134" t="str">
        <f>LEFT(B134, LEN(B134)-15)</f>
        <v>MSI Katana 17 B12VFK-673IN Laptop (Core i7 12th Gen/16 GB/1 TB SSD/Windows 11/8 GB)</v>
      </c>
      <c r="B134" t="s">
        <v>321</v>
      </c>
      <c r="C134" s="1">
        <v>127796</v>
      </c>
      <c r="D134" s="1">
        <v>33</v>
      </c>
      <c r="E134" s="2">
        <v>96</v>
      </c>
      <c r="F134" s="2" t="str" cm="1">
        <f t="array" ref="F134">_xlfn.IFS(AND(101&gt;E134, E134&gt;69), "Top-Tier", AND(70&gt;E134, E134&gt;39), "Mid-Tier", 40&gt;E134, "Low-Tier")</f>
        <v>Top-Tier</v>
      </c>
      <c r="G134" s="4">
        <v>45139</v>
      </c>
      <c r="H134" t="s">
        <v>320</v>
      </c>
      <c r="I134" t="s">
        <v>33</v>
      </c>
      <c r="J134" t="s">
        <v>72</v>
      </c>
      <c r="K134" t="s">
        <v>322</v>
      </c>
      <c r="L134" t="s">
        <v>24</v>
      </c>
      <c r="N134" t="s">
        <v>31</v>
      </c>
      <c r="P134" s="3">
        <v>86</v>
      </c>
      <c r="Q134" t="str">
        <f>LEFT(B134, 3)</f>
        <v>MSI</v>
      </c>
      <c r="R134" t="str">
        <f t="shared" si="14"/>
        <v>AMD Hexa-Core Ryzen 5</v>
      </c>
      <c r="S134" t="str">
        <f t="shared" si="13"/>
        <v>16 GB</v>
      </c>
    </row>
    <row r="135" spans="1:19">
      <c r="A135" t="str">
        <f>LEFT(B135, LEN(B135)-15)</f>
        <v>Apple MacBook Pro M2 Pro MNWD3HN/A Ultrabook (Apple M2 Pro/16 GB/1 TB SSD/macOS Ventura)</v>
      </c>
      <c r="B135" t="s">
        <v>323</v>
      </c>
      <c r="C135" s="1">
        <v>248490</v>
      </c>
      <c r="D135" s="1">
        <v>6</v>
      </c>
      <c r="E135" s="2">
        <v>96</v>
      </c>
      <c r="F135" s="2" t="str" cm="1">
        <f t="array" ref="F135">_xlfn.IFS(AND(101&gt;E135, E135&gt;69), "Top-Tier", AND(70&gt;E135, E135&gt;39), "Mid-Tier", 40&gt;E135, "Low-Tier")</f>
        <v>Top-Tier</v>
      </c>
      <c r="G135" s="4">
        <v>45078</v>
      </c>
      <c r="H135" t="s">
        <v>320</v>
      </c>
      <c r="I135" t="s">
        <v>207</v>
      </c>
      <c r="J135" t="s">
        <v>293</v>
      </c>
      <c r="K135" t="s">
        <v>68</v>
      </c>
      <c r="L135" t="s">
        <v>24</v>
      </c>
      <c r="M135" t="s">
        <v>69</v>
      </c>
      <c r="P135" s="3">
        <v>78</v>
      </c>
      <c r="Q135" t="str">
        <f>LEFT(B135, 5)</f>
        <v>Apple</v>
      </c>
      <c r="R135" t="str">
        <f t="shared" si="14"/>
        <v>AMD Hexa-Core Ryzen 5</v>
      </c>
      <c r="S135" t="str">
        <f t="shared" si="13"/>
        <v>16 GB</v>
      </c>
    </row>
    <row r="136" spans="1:19">
      <c r="A136" t="str">
        <f>LEFT(B136, LEN(B136)-15)</f>
        <v>HP Spectre x360 OLED 13.5-ef2034TU (7Y6U1PA) Laptop (Core i7 13th Gen/32 GB/1 TB SSD/Windows 11)</v>
      </c>
      <c r="B136" t="s">
        <v>324</v>
      </c>
      <c r="C136" s="1">
        <v>149990</v>
      </c>
      <c r="D136" s="1">
        <v>4</v>
      </c>
      <c r="E136" s="2">
        <v>96</v>
      </c>
      <c r="F136" s="2" t="str" cm="1">
        <f t="array" ref="F136">_xlfn.IFS(AND(101&gt;E136, E136&gt;69), "Top-Tier", AND(70&gt;E136, E136&gt;39), "Mid-Tier", 40&gt;E136, "Low-Tier")</f>
        <v>Top-Tier</v>
      </c>
      <c r="G136" s="4">
        <v>45017</v>
      </c>
      <c r="H136" t="s">
        <v>320</v>
      </c>
      <c r="I136" t="s">
        <v>33</v>
      </c>
      <c r="J136" t="s">
        <v>325</v>
      </c>
      <c r="K136" t="s">
        <v>326</v>
      </c>
      <c r="L136" t="s">
        <v>24</v>
      </c>
      <c r="M136" t="s">
        <v>178</v>
      </c>
      <c r="P136" s="3">
        <v>79</v>
      </c>
      <c r="Q136" t="str">
        <f>LEFT(B136, 2)</f>
        <v>HP</v>
      </c>
      <c r="R136" t="str">
        <f t="shared" si="14"/>
        <v>AMD Hexa-Core Ryzen 5</v>
      </c>
      <c r="S136" t="str">
        <f t="shared" si="13"/>
        <v>32 GB</v>
      </c>
    </row>
    <row r="137" spans="1:19">
      <c r="A137" t="str">
        <f>LEFT(B137, LEN(B137)-15)</f>
        <v>Asus Zenbook 14 OLED UX3402VA-KM541WS Laptop (Core i5 13th Gen/16 GB/512 GB SSD/Windows 11)</v>
      </c>
      <c r="B137" t="s">
        <v>327</v>
      </c>
      <c r="C137" s="1">
        <v>74990</v>
      </c>
      <c r="D137" s="1">
        <v>39</v>
      </c>
      <c r="E137" s="2">
        <v>96</v>
      </c>
      <c r="F137" s="2" t="str" cm="1">
        <f t="array" ref="F137">_xlfn.IFS(AND(101&gt;E137, E137&gt;69), "Top-Tier", AND(70&gt;E137, E137&gt;39), "Mid-Tier", 40&gt;E137, "Low-Tier")</f>
        <v>Top-Tier</v>
      </c>
      <c r="G137" s="4">
        <v>45017</v>
      </c>
      <c r="H137" t="s">
        <v>320</v>
      </c>
      <c r="I137" t="s">
        <v>33</v>
      </c>
      <c r="J137" t="s">
        <v>121</v>
      </c>
      <c r="K137" t="s">
        <v>81</v>
      </c>
      <c r="L137" t="s">
        <v>24</v>
      </c>
      <c r="M137" t="s">
        <v>178</v>
      </c>
      <c r="N137" t="s">
        <v>31</v>
      </c>
      <c r="P137" s="3">
        <v>77</v>
      </c>
      <c r="Q137" t="str">
        <f>LEFT(B137, 4)</f>
        <v>Asus</v>
      </c>
      <c r="R137" t="str">
        <f t="shared" si="14"/>
        <v>AMD Hexa-Core Ryzen 5</v>
      </c>
      <c r="S137" t="str">
        <f t="shared" si="13"/>
        <v>16 GB</v>
      </c>
    </row>
    <row r="138" spans="1:19">
      <c r="A138" t="str">
        <f>LEFT(B138, LEN(B138)-15)</f>
        <v>HP Spectre x360 OLED Touch 13.5-ef2033TU (7Y6T9PA) Laptop (Core i7 13th Gen/16 GB/1 TB SSD/Windows 11)</v>
      </c>
      <c r="B138" t="s">
        <v>328</v>
      </c>
      <c r="C138" s="1">
        <v>149990</v>
      </c>
      <c r="D138" s="1">
        <v>4</v>
      </c>
      <c r="E138" s="2">
        <v>96</v>
      </c>
      <c r="F138" s="2" t="str" cm="1">
        <f t="array" ref="F138">_xlfn.IFS(AND(101&gt;E138, E138&gt;69), "Top-Tier", AND(70&gt;E138, E138&gt;39), "Mid-Tier", 40&gt;E138, "Low-Tier")</f>
        <v>Top-Tier</v>
      </c>
      <c r="G138" s="4">
        <v>45017</v>
      </c>
      <c r="H138" t="s">
        <v>320</v>
      </c>
      <c r="I138" t="s">
        <v>33</v>
      </c>
      <c r="J138" t="s">
        <v>329</v>
      </c>
      <c r="K138" t="s">
        <v>326</v>
      </c>
      <c r="L138" t="s">
        <v>24</v>
      </c>
      <c r="M138" t="s">
        <v>178</v>
      </c>
      <c r="P138" s="3">
        <v>79</v>
      </c>
      <c r="Q138" t="str">
        <f>LEFT(B138, 2)</f>
        <v>HP</v>
      </c>
      <c r="R138" t="str">
        <f t="shared" si="14"/>
        <v>AMD Hexa-Core Ryzen 5</v>
      </c>
      <c r="S138" t="str">
        <f t="shared" si="13"/>
        <v>16 GB</v>
      </c>
    </row>
    <row r="139" spans="1:19">
      <c r="A139" t="str">
        <f>LEFT(B139, LEN(B139)-15)</f>
        <v>Apple MacBook Pro M2 Pro MPHH3HN/A Ultrabook (Apple M2 Pro/16 GB/512 GB SSD/macOS Ventura)</v>
      </c>
      <c r="B139" t="s">
        <v>330</v>
      </c>
      <c r="C139" s="1">
        <v>184008</v>
      </c>
      <c r="D139" s="1">
        <v>22</v>
      </c>
      <c r="E139" s="2">
        <v>96</v>
      </c>
      <c r="F139" s="2" t="str" cm="1">
        <f t="array" ref="F139">_xlfn.IFS(AND(101&gt;E139, E139&gt;69), "Top-Tier", AND(70&gt;E139, E139&gt;39), "Mid-Tier", 40&gt;E139, "Low-Tier")</f>
        <v>Top-Tier</v>
      </c>
      <c r="G139" s="4">
        <v>44927</v>
      </c>
      <c r="H139" t="s">
        <v>320</v>
      </c>
      <c r="I139" t="s">
        <v>207</v>
      </c>
      <c r="J139" t="s">
        <v>208</v>
      </c>
      <c r="K139" t="s">
        <v>29</v>
      </c>
      <c r="L139" t="s">
        <v>24</v>
      </c>
      <c r="M139" t="s">
        <v>30</v>
      </c>
      <c r="N139" t="s">
        <v>31</v>
      </c>
      <c r="P139" s="3">
        <v>77</v>
      </c>
      <c r="Q139" t="str">
        <f>LEFT(B139, 5)</f>
        <v>Apple</v>
      </c>
      <c r="R139" t="str">
        <f t="shared" si="14"/>
        <v>AMD Hexa-Core Ryzen 5</v>
      </c>
      <c r="S139" t="str">
        <f t="shared" si="13"/>
        <v>16 GB</v>
      </c>
    </row>
    <row r="140" spans="1:19">
      <c r="A140" t="str">
        <f>LEFT(B140, LEN(B140)-15)</f>
        <v>Dell Inspiron 15 3520 (D560877WIN9S) Laptop (Core i5 12th Gen/8 GB/1 TB 256 GB SSD/Windows 11/2 GB)</v>
      </c>
      <c r="B140" t="s">
        <v>331</v>
      </c>
      <c r="C140" s="1">
        <v>79990</v>
      </c>
      <c r="D140" s="1">
        <v>6</v>
      </c>
      <c r="E140" s="2">
        <v>96</v>
      </c>
      <c r="F140" s="2" t="str" cm="1">
        <f t="array" ref="F140">_xlfn.IFS(AND(101&gt;E140, E140&gt;69), "Top-Tier", AND(70&gt;E140, E140&gt;39), "Mid-Tier", 40&gt;E140, "Low-Tier")</f>
        <v>Top-Tier</v>
      </c>
      <c r="G140" s="4">
        <v>44896</v>
      </c>
      <c r="H140" t="s">
        <v>320</v>
      </c>
      <c r="I140" t="s">
        <v>33</v>
      </c>
      <c r="J140" t="s">
        <v>332</v>
      </c>
      <c r="K140" t="s">
        <v>51</v>
      </c>
      <c r="L140" t="s">
        <v>24</v>
      </c>
      <c r="M140" t="s">
        <v>253</v>
      </c>
      <c r="N140" t="s">
        <v>31</v>
      </c>
      <c r="P140" s="3">
        <v>76</v>
      </c>
      <c r="Q140" t="str">
        <f>LEFT(B140, 4)</f>
        <v>Dell</v>
      </c>
      <c r="R140" t="str">
        <f t="shared" si="14"/>
        <v>AMD Hexa-Core Ryzen 5</v>
      </c>
      <c r="S140" t="str">
        <f t="shared" si="13"/>
        <v xml:space="preserve">8 GB </v>
      </c>
    </row>
    <row r="141" spans="1:19">
      <c r="A141" t="str">
        <f>LEFT(B141, LEN(B141)-15)</f>
        <v>Asus VivoBook 15 X1502ZA-EJ515WS Laptop (Core i5 12th Gen/8 GB/512 GB SSD/Windows 11)</v>
      </c>
      <c r="B141" t="s">
        <v>333</v>
      </c>
      <c r="C141" s="1">
        <v>47990</v>
      </c>
      <c r="D141" s="1">
        <v>24</v>
      </c>
      <c r="E141" s="2">
        <v>96</v>
      </c>
      <c r="F141" s="2" t="str" cm="1">
        <f t="array" ref="F141">_xlfn.IFS(AND(101&gt;E141, E141&gt;69), "Top-Tier", AND(70&gt;E141, E141&gt;39), "Mid-Tier", 40&gt;E141, "Low-Tier")</f>
        <v>Top-Tier</v>
      </c>
      <c r="G141" s="4">
        <v>44866</v>
      </c>
      <c r="H141" t="s">
        <v>320</v>
      </c>
      <c r="I141" t="s">
        <v>33</v>
      </c>
      <c r="J141" t="s">
        <v>50</v>
      </c>
      <c r="K141" t="s">
        <v>159</v>
      </c>
      <c r="L141" t="s">
        <v>24</v>
      </c>
      <c r="M141" t="s">
        <v>253</v>
      </c>
      <c r="N141" t="s">
        <v>31</v>
      </c>
      <c r="O141" t="s">
        <v>254</v>
      </c>
      <c r="P141" s="3">
        <v>74</v>
      </c>
      <c r="Q141" t="str">
        <f>LEFT(B141, 4)</f>
        <v>Asus</v>
      </c>
      <c r="R141" t="str">
        <f t="shared" si="14"/>
        <v>AMD Hexa-Core Ryzen 5</v>
      </c>
      <c r="S141" t="str">
        <f t="shared" si="13"/>
        <v xml:space="preserve">8 GB </v>
      </c>
    </row>
    <row r="142" spans="1:19">
      <c r="A142" t="str">
        <f>LEFT(B142, LEN(B142)-15)</f>
        <v>Dell Inspiron 15 3520 (D560924WIN9G) Laptop (Core i5 12th Gen/8 GB/512 GB SSD/Windows 11)</v>
      </c>
      <c r="B142" t="s">
        <v>334</v>
      </c>
      <c r="C142" s="1">
        <v>50990</v>
      </c>
      <c r="D142" s="1">
        <v>13</v>
      </c>
      <c r="E142" s="2">
        <v>96</v>
      </c>
      <c r="F142" s="2" t="str" cm="1">
        <f t="array" ref="F142">_xlfn.IFS(AND(101&gt;E142, E142&gt;69), "Top-Tier", AND(70&gt;E142, E142&gt;39), "Mid-Tier", 40&gt;E142, "Low-Tier")</f>
        <v>Top-Tier</v>
      </c>
      <c r="G142" s="4">
        <v>44835</v>
      </c>
      <c r="H142" t="s">
        <v>320</v>
      </c>
      <c r="I142" t="s">
        <v>33</v>
      </c>
      <c r="J142" t="s">
        <v>50</v>
      </c>
      <c r="K142" t="s">
        <v>51</v>
      </c>
      <c r="L142" t="s">
        <v>24</v>
      </c>
      <c r="M142" t="s">
        <v>237</v>
      </c>
      <c r="N142" t="s">
        <v>31</v>
      </c>
      <c r="P142" s="3">
        <v>73</v>
      </c>
      <c r="Q142" t="str">
        <f>LEFT(B142, 4)</f>
        <v>Dell</v>
      </c>
      <c r="R142" t="str">
        <f t="shared" si="14"/>
        <v>AMD Hexa-Core Ryzen 5</v>
      </c>
      <c r="S142" t="str">
        <f t="shared" si="13"/>
        <v xml:space="preserve">8 GB </v>
      </c>
    </row>
    <row r="143" spans="1:19">
      <c r="A143" t="str">
        <f>LEFT(B143, LEN(B143)-15)</f>
        <v>Asus ROG Flow X16 GV601RM-M6055WS Laptop (AMD Octa Core Ryzen 7/16 GB/1 TB SSD/Windows 11/6 GB)</v>
      </c>
      <c r="B143" t="s">
        <v>335</v>
      </c>
      <c r="C143" s="1">
        <v>149990</v>
      </c>
      <c r="D143" s="1">
        <v>4</v>
      </c>
      <c r="E143" s="2">
        <v>96</v>
      </c>
      <c r="F143" s="2" t="str" cm="1">
        <f t="array" ref="F143">_xlfn.IFS(AND(101&gt;E143, E143&gt;69), "Top-Tier", AND(70&gt;E143, E143&gt;39), "Mid-Tier", 40&gt;E143, "Low-Tier")</f>
        <v>Top-Tier</v>
      </c>
      <c r="G143" s="4">
        <v>44805</v>
      </c>
      <c r="H143" t="s">
        <v>320</v>
      </c>
      <c r="I143" t="s">
        <v>33</v>
      </c>
      <c r="J143" t="s">
        <v>72</v>
      </c>
      <c r="K143" t="s">
        <v>117</v>
      </c>
      <c r="L143" t="s">
        <v>24</v>
      </c>
      <c r="M143" t="s">
        <v>336</v>
      </c>
      <c r="N143" t="s">
        <v>31</v>
      </c>
      <c r="P143" s="3">
        <v>83</v>
      </c>
      <c r="Q143" t="str">
        <f>LEFT(B143, 4)</f>
        <v>Asus</v>
      </c>
      <c r="R143" t="str">
        <f t="shared" si="14"/>
        <v>AMD Hexa-Core Ryzen 5</v>
      </c>
      <c r="S143" t="str">
        <f t="shared" si="13"/>
        <v>16 GB</v>
      </c>
    </row>
    <row r="144" spans="1:19">
      <c r="A144" t="str">
        <f>LEFT(B144, LEN(B144)-15)</f>
        <v>Acer Aspire 3 A314-35 Laptop (Intel Pentium Quad Core/8 GB/256 GB SSD/Windows 11) (UN.K0SSI.041)</v>
      </c>
      <c r="B144" t="s">
        <v>337</v>
      </c>
      <c r="C144" s="1">
        <v>34780</v>
      </c>
      <c r="D144" s="1">
        <v>5</v>
      </c>
      <c r="E144" s="2">
        <v>96</v>
      </c>
      <c r="F144" s="2" t="str" cm="1">
        <f t="array" ref="F144">_xlfn.IFS(AND(101&gt;E144, E144&gt;69), "Top-Tier", AND(70&gt;E144, E144&gt;39), "Mid-Tier", 40&gt;E144, "Low-Tier")</f>
        <v>Top-Tier</v>
      </c>
      <c r="G144" s="4">
        <v>44805</v>
      </c>
      <c r="H144" t="s">
        <v>320</v>
      </c>
      <c r="I144" t="s">
        <v>33</v>
      </c>
      <c r="J144" t="s">
        <v>338</v>
      </c>
      <c r="K144" t="s">
        <v>224</v>
      </c>
      <c r="L144" t="s">
        <v>24</v>
      </c>
      <c r="M144" t="s">
        <v>52</v>
      </c>
      <c r="N144" t="s">
        <v>31</v>
      </c>
      <c r="Q144" t="str">
        <f>LEFT(B144, 4)</f>
        <v>Acer</v>
      </c>
      <c r="R144" t="str">
        <f t="shared" si="14"/>
        <v>AMD Hexa-Core Ryzen 5</v>
      </c>
      <c r="S144" t="str">
        <f t="shared" si="13"/>
        <v xml:space="preserve">8 GB </v>
      </c>
    </row>
    <row r="145" spans="1:19">
      <c r="A145" t="str">
        <f>LEFT(B145, LEN(B145)-15)</f>
        <v>Asus TUF Dash F15 FX517ZR-HQ030WS Laptop (Core i7 12th Gen/16 GB/1 TB SSD/Windows 11/8 GB)</v>
      </c>
      <c r="B145" t="s">
        <v>339</v>
      </c>
      <c r="C145" s="1">
        <v>103817</v>
      </c>
      <c r="D145" s="1">
        <v>43</v>
      </c>
      <c r="E145" s="2">
        <v>96</v>
      </c>
      <c r="F145" s="2" t="str" cm="1">
        <f t="array" ref="F145">_xlfn.IFS(AND(101&gt;E145, E145&gt;69), "Top-Tier", AND(70&gt;E145, E145&gt;39), "Mid-Tier", 40&gt;E145, "Low-Tier")</f>
        <v>Top-Tier</v>
      </c>
      <c r="G145" s="4">
        <v>44713</v>
      </c>
      <c r="H145" t="s">
        <v>320</v>
      </c>
      <c r="I145" t="s">
        <v>33</v>
      </c>
      <c r="J145" t="s">
        <v>72</v>
      </c>
      <c r="K145" t="s">
        <v>256</v>
      </c>
      <c r="L145" t="s">
        <v>24</v>
      </c>
      <c r="M145" t="s">
        <v>253</v>
      </c>
      <c r="N145" t="s">
        <v>31</v>
      </c>
      <c r="P145" s="3">
        <v>86</v>
      </c>
      <c r="Q145" t="str">
        <f>LEFT(B145, 4)</f>
        <v>Asus</v>
      </c>
      <c r="R145" t="str">
        <f t="shared" si="14"/>
        <v>AMD Hexa-Core Ryzen 5</v>
      </c>
      <c r="S145" t="str">
        <f t="shared" si="13"/>
        <v>16 GB</v>
      </c>
    </row>
    <row r="146" spans="1:19">
      <c r="A146" t="str">
        <f>LEFT(B146, LEN(B146)-15)</f>
        <v>Apple MacBook Air M2 MC7W4HN/A Ultrabook (Apple M2/16 GB/256 GB SSD/macOS Sequoia)</v>
      </c>
      <c r="B146" t="s">
        <v>340</v>
      </c>
      <c r="C146" s="1">
        <v>77990</v>
      </c>
      <c r="D146" s="1">
        <v>19250</v>
      </c>
      <c r="E146" s="2">
        <v>94</v>
      </c>
      <c r="F146" s="2" t="str" cm="1">
        <f t="array" ref="F146">_xlfn.IFS(AND(101&gt;E146, E146&gt;69), "Top-Tier", AND(70&gt;E146, E146&gt;39), "Mid-Tier", 40&gt;E146, "Low-Tier")</f>
        <v>Top-Tier</v>
      </c>
      <c r="G146" s="4">
        <v>45597</v>
      </c>
      <c r="H146" t="s">
        <v>320</v>
      </c>
      <c r="I146" t="s">
        <v>21</v>
      </c>
      <c r="J146" t="s">
        <v>22</v>
      </c>
      <c r="K146" t="s">
        <v>39</v>
      </c>
      <c r="L146" t="s">
        <v>24</v>
      </c>
      <c r="M146" t="s">
        <v>40</v>
      </c>
      <c r="P146" s="3">
        <v>81</v>
      </c>
      <c r="Q146" t="str">
        <f>LEFT(B146, 5)</f>
        <v>Apple</v>
      </c>
      <c r="R146" t="str">
        <f t="shared" si="14"/>
        <v>AMD Hexa-Core Ryzen 5</v>
      </c>
      <c r="S146" t="str">
        <f t="shared" si="13"/>
        <v>16 GB</v>
      </c>
    </row>
    <row r="147" spans="1:19">
      <c r="A147" t="str">
        <f>LEFT(B147, LEN(B147)-15)</f>
        <v>Apple MacBook Air M3 MXCU3HN/A Ultrabook (Apple M3/16 GB/512 GB SSD/macOS Sonoma)</v>
      </c>
      <c r="B147" t="s">
        <v>341</v>
      </c>
      <c r="C147" s="1">
        <v>127990</v>
      </c>
      <c r="D147" s="1">
        <v>425</v>
      </c>
      <c r="E147" s="2">
        <v>94</v>
      </c>
      <c r="F147" s="2" t="str" cm="1">
        <f t="array" ref="F147">_xlfn.IFS(AND(101&gt;E147, E147&gt;69), "Top-Tier", AND(70&gt;E147, E147&gt;39), "Mid-Tier", 40&gt;E147, "Low-Tier")</f>
        <v>Top-Tier</v>
      </c>
      <c r="G147" s="4">
        <v>45597</v>
      </c>
      <c r="H147" t="s">
        <v>320</v>
      </c>
      <c r="I147" t="s">
        <v>189</v>
      </c>
      <c r="J147" t="s">
        <v>286</v>
      </c>
      <c r="K147" t="s">
        <v>39</v>
      </c>
      <c r="L147" t="s">
        <v>24</v>
      </c>
      <c r="M147" t="s">
        <v>40</v>
      </c>
      <c r="P147" s="3">
        <v>84</v>
      </c>
      <c r="Q147" t="str">
        <f>LEFT(B147, 5)</f>
        <v>Apple</v>
      </c>
      <c r="R147" t="str">
        <f t="shared" si="14"/>
        <v>AMD Hexa-Core Ryzen 5</v>
      </c>
      <c r="S147" t="str">
        <f t="shared" si="13"/>
        <v>16 GB</v>
      </c>
    </row>
    <row r="148" spans="1:19">
      <c r="A148" t="str">
        <f>LEFT(B148, LEN(B148)-15)</f>
        <v>Apple MacBook Air M3 MC8G4HN/A Ultrabook (Apple M3/16 GB/256 GB SSD/macOS Sequoia)</v>
      </c>
      <c r="B148" t="s">
        <v>342</v>
      </c>
      <c r="C148" s="1">
        <v>105990</v>
      </c>
      <c r="D148" s="1">
        <v>605</v>
      </c>
      <c r="E148" s="2">
        <v>94</v>
      </c>
      <c r="F148" s="2" t="str" cm="1">
        <f t="array" ref="F148">_xlfn.IFS(AND(101&gt;E148, E148&gt;69), "Top-Tier", AND(70&gt;E148, E148&gt;39), "Mid-Tier", 40&gt;E148, "Low-Tier")</f>
        <v>Top-Tier</v>
      </c>
      <c r="G148" s="4">
        <v>45597</v>
      </c>
      <c r="H148" t="s">
        <v>343</v>
      </c>
      <c r="I148" t="s">
        <v>21</v>
      </c>
      <c r="J148" t="s">
        <v>22</v>
      </c>
      <c r="K148" t="s">
        <v>39</v>
      </c>
      <c r="L148" t="s">
        <v>24</v>
      </c>
      <c r="M148" t="s">
        <v>40</v>
      </c>
      <c r="P148" s="3">
        <v>83</v>
      </c>
      <c r="Q148" t="str">
        <f>LEFT(B148, 5)</f>
        <v>Apple</v>
      </c>
      <c r="R148" t="str">
        <f t="shared" si="14"/>
        <v>AMD Hexa-Core Ryzen 5</v>
      </c>
      <c r="S148" t="str">
        <f t="shared" si="13"/>
        <v>16 GB</v>
      </c>
    </row>
    <row r="149" spans="1:19">
      <c r="A149" t="str">
        <f>LEFT(B149, LEN(B149)-15)</f>
        <v>Apple MacBook Air M3 MC8K4HN/A Ultrabook (Apple M3/16 GB/256 GB SSD/macOS Sequoia)</v>
      </c>
      <c r="B149" t="s">
        <v>344</v>
      </c>
      <c r="C149" s="1">
        <v>104700</v>
      </c>
      <c r="D149" s="1">
        <v>607</v>
      </c>
      <c r="E149" s="2">
        <v>94</v>
      </c>
      <c r="F149" s="2" t="str" cm="1">
        <f t="array" ref="F149">_xlfn.IFS(AND(101&gt;E149, E149&gt;69), "Top-Tier", AND(70&gt;E149, E149&gt;39), "Mid-Tier", 40&gt;E149, "Low-Tier")</f>
        <v>Top-Tier</v>
      </c>
      <c r="G149" s="4">
        <v>45597</v>
      </c>
      <c r="H149" t="s">
        <v>345</v>
      </c>
      <c r="I149" t="s">
        <v>21</v>
      </c>
      <c r="J149" t="s">
        <v>22</v>
      </c>
      <c r="K149" t="s">
        <v>39</v>
      </c>
      <c r="L149" t="s">
        <v>24</v>
      </c>
      <c r="M149" t="s">
        <v>40</v>
      </c>
      <c r="P149" s="3">
        <v>83</v>
      </c>
      <c r="Q149" t="str">
        <f>LEFT(B149, 5)</f>
        <v>Apple</v>
      </c>
      <c r="R149" t="str">
        <f t="shared" si="14"/>
        <v>AMD Hexa-Core Ryzen 5</v>
      </c>
      <c r="S149" t="str">
        <f t="shared" si="13"/>
        <v>16 GB</v>
      </c>
    </row>
    <row r="150" spans="1:19">
      <c r="A150" t="str">
        <f>LEFT(B150, LEN(B150)-15)</f>
        <v>Apple MacBook Air M3 MC8J4HN/A Ultrabook (Apple M3/16 GB/256 GB SSD/macOS Sequoia)</v>
      </c>
      <c r="B150" t="s">
        <v>346</v>
      </c>
      <c r="C150" s="1">
        <v>109990</v>
      </c>
      <c r="D150" s="1">
        <v>600</v>
      </c>
      <c r="E150" s="2">
        <v>94</v>
      </c>
      <c r="F150" s="2" t="str" cm="1">
        <f t="array" ref="F150">_xlfn.IFS(AND(101&gt;E150, E150&gt;69), "Top-Tier", AND(70&gt;E150, E150&gt;39), "Mid-Tier", 40&gt;E150, "Low-Tier")</f>
        <v>Top-Tier</v>
      </c>
      <c r="G150" s="4">
        <v>45597</v>
      </c>
      <c r="H150" t="s">
        <v>345</v>
      </c>
      <c r="I150" t="s">
        <v>21</v>
      </c>
      <c r="J150" t="s">
        <v>22</v>
      </c>
      <c r="K150" t="s">
        <v>39</v>
      </c>
      <c r="L150" t="s">
        <v>24</v>
      </c>
      <c r="M150" t="s">
        <v>40</v>
      </c>
      <c r="P150" s="3">
        <v>83</v>
      </c>
      <c r="Q150" t="str">
        <f>LEFT(B150, 5)</f>
        <v>Apple</v>
      </c>
      <c r="R150" t="str">
        <f t="shared" si="14"/>
        <v>AMD Hexa-Core Ryzen 5</v>
      </c>
      <c r="S150" t="str">
        <f t="shared" si="13"/>
        <v>16 GB</v>
      </c>
    </row>
    <row r="151" spans="1:19">
      <c r="A151" t="str">
        <f>LEFT(B151, LEN(B151)-15)</f>
        <v>Apple MacBook Air M3 MC8H4HN/A Ultrabook (Apple M3/16 GB/256 GB SSD/macOS Sequoia)</v>
      </c>
      <c r="B151" t="s">
        <v>347</v>
      </c>
      <c r="C151" s="1">
        <v>105990</v>
      </c>
      <c r="D151" s="1">
        <v>597</v>
      </c>
      <c r="E151" s="2">
        <v>94</v>
      </c>
      <c r="F151" s="2" t="str" cm="1">
        <f t="array" ref="F151">_xlfn.IFS(AND(101&gt;E151, E151&gt;69), "Top-Tier", AND(70&gt;E151, E151&gt;39), "Mid-Tier", 40&gt;E151, "Low-Tier")</f>
        <v>Top-Tier</v>
      </c>
      <c r="G151" s="4">
        <v>45597</v>
      </c>
      <c r="H151" t="s">
        <v>345</v>
      </c>
      <c r="I151" t="s">
        <v>21</v>
      </c>
      <c r="J151" t="s">
        <v>22</v>
      </c>
      <c r="K151" t="s">
        <v>39</v>
      </c>
      <c r="L151" t="s">
        <v>24</v>
      </c>
      <c r="M151" t="s">
        <v>40</v>
      </c>
      <c r="P151" s="3">
        <v>83</v>
      </c>
      <c r="Q151" t="str">
        <f>LEFT(B151, 5)</f>
        <v>Apple</v>
      </c>
      <c r="R151" t="str">
        <f t="shared" si="14"/>
        <v>AMD Hexa-Core Ryzen 5</v>
      </c>
      <c r="S151" t="str">
        <f t="shared" si="13"/>
        <v>16 GB</v>
      </c>
    </row>
    <row r="152" spans="1:19">
      <c r="A152" t="str">
        <f>LEFT(B152, LEN(B152)-15)</f>
        <v>Lenovo IdeaPad Slim 3 15ABR8 (82XM00QDIN) Laptop (AMD Hexa Core Ryzen 5/16 GB/512 GB SSD/Windows 11)</v>
      </c>
      <c r="B152" t="s">
        <v>348</v>
      </c>
      <c r="C152" s="1">
        <v>39940</v>
      </c>
      <c r="D152" s="1">
        <v>13</v>
      </c>
      <c r="E152" s="2">
        <v>94</v>
      </c>
      <c r="F152" s="2" t="str" cm="1">
        <f t="array" ref="F152">_xlfn.IFS(AND(101&gt;E152, E152&gt;69), "Top-Tier", AND(70&gt;E152, E152&gt;39), "Mid-Tier", 40&gt;E152, "Low-Tier")</f>
        <v>Top-Tier</v>
      </c>
      <c r="G152" s="4">
        <v>45717</v>
      </c>
      <c r="H152" t="s">
        <v>345</v>
      </c>
      <c r="I152" t="s">
        <v>33</v>
      </c>
      <c r="J152" t="s">
        <v>34</v>
      </c>
      <c r="K152" t="s">
        <v>217</v>
      </c>
      <c r="L152" t="s">
        <v>24</v>
      </c>
      <c r="M152" t="s">
        <v>95</v>
      </c>
      <c r="N152" t="s">
        <v>31</v>
      </c>
      <c r="P152" s="3">
        <v>75</v>
      </c>
      <c r="Q152" t="str">
        <f>LEFT(B152, 6)</f>
        <v>Lenovo</v>
      </c>
      <c r="R152" t="str">
        <f t="shared" si="14"/>
        <v>AMD Hexa-Core Ryzen 5</v>
      </c>
      <c r="S152" t="str">
        <f t="shared" si="13"/>
        <v>16 GB</v>
      </c>
    </row>
    <row r="153" spans="1:19">
      <c r="A153" t="str">
        <f>LEFT(B153, LEN(B153)-15)</f>
        <v>Asus TUF Gaming A14 FA401WV-RG475WS Laptop (AMD Dodeca Core Ryzen AI 9 HX/16 GB/1 TB SSD/Windows 11/8 GB)</v>
      </c>
      <c r="B153" t="s">
        <v>349</v>
      </c>
      <c r="C153" s="1">
        <v>154990</v>
      </c>
      <c r="D153" s="1">
        <v>15</v>
      </c>
      <c r="E153" s="2">
        <v>94</v>
      </c>
      <c r="F153" s="2" t="str" cm="1">
        <f t="array" ref="F153">_xlfn.IFS(AND(101&gt;E153, E153&gt;69), "Top-Tier", AND(70&gt;E153, E153&gt;39), "Mid-Tier", 40&gt;E153, "Low-Tier")</f>
        <v>Top-Tier</v>
      </c>
      <c r="G153" s="4">
        <v>45717</v>
      </c>
      <c r="H153" t="s">
        <v>345</v>
      </c>
      <c r="I153" t="s">
        <v>33</v>
      </c>
      <c r="J153" t="s">
        <v>42</v>
      </c>
      <c r="K153" t="s">
        <v>221</v>
      </c>
      <c r="L153" t="s">
        <v>24</v>
      </c>
      <c r="M153" t="s">
        <v>52</v>
      </c>
      <c r="N153" t="s">
        <v>31</v>
      </c>
      <c r="Q153" t="str">
        <f>LEFT(B153, 4)</f>
        <v>Asus</v>
      </c>
      <c r="R153" t="str">
        <f t="shared" si="14"/>
        <v>AMD Hexa-Core Ryzen 5</v>
      </c>
      <c r="S153" t="str">
        <f t="shared" si="13"/>
        <v>16 GB</v>
      </c>
    </row>
    <row r="154" spans="1:19">
      <c r="A154" t="str">
        <f>LEFT(B154, LEN(B154)-15)</f>
        <v>Apple MacBook Pro M4 MX2X3HN/A Ultrabook (Apple M4 Pro/24 GB/512 GB SSD/macOS Sequoia)</v>
      </c>
      <c r="B154" t="s">
        <v>350</v>
      </c>
      <c r="C154" s="1">
        <v>239990</v>
      </c>
      <c r="D154" s="1">
        <v>6</v>
      </c>
      <c r="E154" s="2">
        <v>94</v>
      </c>
      <c r="F154" s="2" t="str" cm="1">
        <f t="array" ref="F154">_xlfn.IFS(AND(101&gt;E154, E154&gt;69), "Top-Tier", AND(70&gt;E154, E154&gt;39), "Mid-Tier", 40&gt;E154, "Low-Tier")</f>
        <v>Top-Tier</v>
      </c>
      <c r="G154" s="4">
        <v>45597</v>
      </c>
      <c r="H154" t="s">
        <v>351</v>
      </c>
      <c r="I154" t="s">
        <v>21</v>
      </c>
      <c r="J154" t="s">
        <v>28</v>
      </c>
      <c r="K154" t="s">
        <v>68</v>
      </c>
      <c r="L154" t="s">
        <v>24</v>
      </c>
      <c r="M154" t="s">
        <v>69</v>
      </c>
      <c r="N154" t="s">
        <v>31</v>
      </c>
      <c r="Q154" t="str">
        <f>LEFT(B154, 5)</f>
        <v>Apple</v>
      </c>
      <c r="R154" t="str">
        <f t="shared" si="14"/>
        <v>AMD Hexa-Core Ryzen 5</v>
      </c>
      <c r="S154" t="str">
        <f t="shared" si="13"/>
        <v>24 GB</v>
      </c>
    </row>
    <row r="155" spans="1:19">
      <c r="A155" t="str">
        <f>LEFT(B155, LEN(B155)-15)</f>
        <v>Lenovo Ideapad Slim 3 (81W1005CIN) Laptop (AMD Quad Core Ryzen 5/8 GB/1 TB 128 GB SSD/Windows 10)</v>
      </c>
      <c r="B155" t="s">
        <v>352</v>
      </c>
      <c r="C155" s="1">
        <v>57290</v>
      </c>
      <c r="D155" s="1">
        <v>23</v>
      </c>
      <c r="E155" s="2">
        <v>94</v>
      </c>
      <c r="F155" s="2" t="str" cm="1">
        <f t="array" ref="F155">_xlfn.IFS(AND(101&gt;E155, E155&gt;69), "Top-Tier", AND(70&gt;E155, E155&gt;39), "Mid-Tier", 40&gt;E155, "Low-Tier")</f>
        <v>Top-Tier</v>
      </c>
      <c r="G155" s="4">
        <v>44166</v>
      </c>
      <c r="H155" t="s">
        <v>351</v>
      </c>
      <c r="I155" t="s">
        <v>248</v>
      </c>
      <c r="J155" t="s">
        <v>332</v>
      </c>
      <c r="K155" t="s">
        <v>249</v>
      </c>
      <c r="L155" t="s">
        <v>24</v>
      </c>
      <c r="M155" t="s">
        <v>253</v>
      </c>
      <c r="N155" t="s">
        <v>31</v>
      </c>
      <c r="O155" t="s">
        <v>152</v>
      </c>
      <c r="Q155" t="str">
        <f>LEFT(B155, 6)</f>
        <v>Lenovo</v>
      </c>
      <c r="R155" t="str">
        <f t="shared" si="14"/>
        <v>AMD Hexa-Core Ryzen 5</v>
      </c>
      <c r="S155" t="str">
        <f t="shared" si="13"/>
        <v xml:space="preserve">8 GB </v>
      </c>
    </row>
    <row r="156" spans="1:19">
      <c r="A156" t="str">
        <f>LEFT(B156, LEN(B156)-15)</f>
        <v>Acer Aspire 3 A324-53 (UN.34RSI.009) Laptop (Core i3 13th Gen/16 GB/512 GB SSD/Windows 11)</v>
      </c>
      <c r="B156" t="s">
        <v>353</v>
      </c>
      <c r="C156" s="1">
        <v>33990</v>
      </c>
      <c r="D156" s="1">
        <v>3</v>
      </c>
      <c r="E156" s="2">
        <v>94</v>
      </c>
      <c r="F156" s="2" t="str" cm="1">
        <f t="array" ref="F156">_xlfn.IFS(AND(101&gt;E156, E156&gt;69), "Top-Tier", AND(70&gt;E156, E156&gt;39), "Mid-Tier", 40&gt;E156, "Low-Tier")</f>
        <v>Top-Tier</v>
      </c>
      <c r="G156" s="4">
        <v>45597</v>
      </c>
      <c r="H156" t="s">
        <v>351</v>
      </c>
      <c r="I156" t="s">
        <v>33</v>
      </c>
      <c r="J156" t="s">
        <v>34</v>
      </c>
      <c r="K156" t="s">
        <v>354</v>
      </c>
      <c r="L156" t="s">
        <v>24</v>
      </c>
      <c r="M156" t="s">
        <v>336</v>
      </c>
      <c r="N156" t="s">
        <v>31</v>
      </c>
      <c r="P156" s="3">
        <v>78</v>
      </c>
      <c r="Q156" t="str">
        <f>LEFT(B156, 4)</f>
        <v>Acer</v>
      </c>
      <c r="R156" t="str">
        <f t="shared" si="14"/>
        <v>AMD Hexa-Core Ryzen 5</v>
      </c>
      <c r="S156" t="str">
        <f t="shared" si="13"/>
        <v>16 GB</v>
      </c>
    </row>
    <row r="157" spans="1:19">
      <c r="A157" t="str">
        <f>LEFT(B157, LEN(B157)-15)</f>
        <v>Acer Nitro 5 AN515-52-52CB (NH.Q3XSI.002) Laptop (Core i5 8th Gen/8 GB/1 TB 128 GB SSD/Windows 10/6 GB)</v>
      </c>
      <c r="B157" t="s">
        <v>355</v>
      </c>
      <c r="C157" s="1">
        <v>74990</v>
      </c>
      <c r="D157" s="1">
        <v>56</v>
      </c>
      <c r="E157" s="2">
        <v>94</v>
      </c>
      <c r="F157" s="2" t="str" cm="1">
        <f t="array" ref="F157">_xlfn.IFS(AND(101&gt;E157, E157&gt;69), "Top-Tier", AND(70&gt;E157, E157&gt;39), "Mid-Tier", 40&gt;E157, "Low-Tier")</f>
        <v>Top-Tier</v>
      </c>
      <c r="G157" s="4">
        <v>43647</v>
      </c>
      <c r="H157" t="s">
        <v>351</v>
      </c>
      <c r="I157" t="s">
        <v>248</v>
      </c>
      <c r="J157" t="s">
        <v>332</v>
      </c>
      <c r="K157" t="s">
        <v>249</v>
      </c>
      <c r="L157" t="s">
        <v>24</v>
      </c>
      <c r="N157" t="s">
        <v>31</v>
      </c>
      <c r="O157" t="s">
        <v>152</v>
      </c>
      <c r="Q157" t="str">
        <f>LEFT(B157, 4)</f>
        <v>Acer</v>
      </c>
      <c r="R157" t="str">
        <f t="shared" si="14"/>
        <v>AMD Hexa-Core Ryzen 5</v>
      </c>
      <c r="S157" t="str">
        <f t="shared" si="13"/>
        <v xml:space="preserve">8 GB </v>
      </c>
    </row>
    <row r="158" spans="1:19">
      <c r="A158" t="str">
        <f>LEFT(B158, LEN(B158)-15)</f>
        <v>Samsung Galaxy Book 4 NP750XGK-KG3IN Laptop (Core 7 Series 1 /16 GB/512 GB SSD/Windows 11)</v>
      </c>
      <c r="B158" t="s">
        <v>356</v>
      </c>
      <c r="C158" s="1">
        <v>72999</v>
      </c>
      <c r="D158" s="1">
        <v>19</v>
      </c>
      <c r="E158" s="2">
        <v>94</v>
      </c>
      <c r="F158" s="2" t="str" cm="1">
        <f t="array" ref="F158">_xlfn.IFS(AND(101&gt;E158, E158&gt;69), "Top-Tier", AND(70&gt;E158, E158&gt;39), "Mid-Tier", 40&gt;E158, "Low-Tier")</f>
        <v>Top-Tier</v>
      </c>
      <c r="G158" s="4">
        <v>45352</v>
      </c>
      <c r="H158" t="s">
        <v>351</v>
      </c>
      <c r="I158" t="s">
        <v>33</v>
      </c>
      <c r="J158" t="s">
        <v>214</v>
      </c>
      <c r="K158" t="s">
        <v>51</v>
      </c>
      <c r="L158" t="s">
        <v>24</v>
      </c>
      <c r="M158" t="s">
        <v>357</v>
      </c>
      <c r="N158" t="s">
        <v>31</v>
      </c>
      <c r="P158" s="3">
        <v>81</v>
      </c>
      <c r="Q158" t="str">
        <f>LEFT(B158, 7)</f>
        <v>Samsung</v>
      </c>
      <c r="R158" t="str">
        <f t="shared" si="14"/>
        <v>AMD Hexa-Core Ryzen 5</v>
      </c>
      <c r="S158" t="str">
        <f t="shared" si="13"/>
        <v>16 GB</v>
      </c>
    </row>
    <row r="159" spans="1:19">
      <c r="A159" t="str">
        <f>LEFT(B159, LEN(B159)-15)</f>
        <v>HP OMEN Transcend 14-fb0089TX (9U867PA) Laptop (Core Ultra 7/16 GB/1 TB SSD/Windows 11/8 GB)</v>
      </c>
      <c r="B159" t="s">
        <v>358</v>
      </c>
      <c r="C159" s="1">
        <v>125990</v>
      </c>
      <c r="D159" s="1">
        <v>7</v>
      </c>
      <c r="E159" s="2">
        <v>94</v>
      </c>
      <c r="F159" s="2" t="str" cm="1">
        <f t="array" ref="F159">_xlfn.IFS(AND(101&gt;E159, E159&gt;69), "Top-Tier", AND(70&gt;E159, E159&gt;39), "Mid-Tier", 40&gt;E159, "Low-Tier")</f>
        <v>Top-Tier</v>
      </c>
      <c r="G159" s="4">
        <v>45352</v>
      </c>
      <c r="H159" t="s">
        <v>351</v>
      </c>
      <c r="I159" t="s">
        <v>33</v>
      </c>
      <c r="J159" t="s">
        <v>42</v>
      </c>
      <c r="K159" t="s">
        <v>81</v>
      </c>
      <c r="L159" t="s">
        <v>24</v>
      </c>
      <c r="M159" t="s">
        <v>95</v>
      </c>
      <c r="N159" t="s">
        <v>31</v>
      </c>
      <c r="Q159" t="str">
        <f>LEFT(B159, 2)</f>
        <v>HP</v>
      </c>
      <c r="R159" t="str">
        <f t="shared" si="14"/>
        <v>AMD Hexa-Core Ryzen 5</v>
      </c>
      <c r="S159" t="str">
        <f t="shared" si="13"/>
        <v>16 GB</v>
      </c>
    </row>
    <row r="160" spans="1:19">
      <c r="A160" t="str">
        <f>LEFT(B160, LEN(B160)-15)</f>
        <v>Apple MacBook Air M3 MRYQ3HN/A Ultrabook (Apple M3/8 GB/512 GB SSD/macOS Sonoma)</v>
      </c>
      <c r="B160" t="s">
        <v>359</v>
      </c>
      <c r="C160" s="1">
        <v>144900</v>
      </c>
      <c r="D160" s="1">
        <v>127</v>
      </c>
      <c r="E160" s="2">
        <v>94</v>
      </c>
      <c r="F160" s="2" t="str" cm="1">
        <f t="array" ref="F160">_xlfn.IFS(AND(101&gt;E160, E160&gt;69), "Top-Tier", AND(70&gt;E160, E160&gt;39), "Mid-Tier", 40&gt;E160, "Low-Tier")</f>
        <v>Top-Tier</v>
      </c>
      <c r="G160" s="4">
        <v>45352</v>
      </c>
      <c r="H160" t="s">
        <v>351</v>
      </c>
      <c r="I160" t="s">
        <v>189</v>
      </c>
      <c r="J160" t="s">
        <v>360</v>
      </c>
      <c r="K160" t="s">
        <v>23</v>
      </c>
      <c r="L160" t="s">
        <v>24</v>
      </c>
      <c r="M160" t="s">
        <v>25</v>
      </c>
      <c r="P160" s="3">
        <v>84</v>
      </c>
      <c r="Q160" t="str">
        <f>LEFT(B160, 5)</f>
        <v>Apple</v>
      </c>
      <c r="R160" t="str">
        <f>LEFT(H160, 21)</f>
        <v>AMD Hexa-Core Ryzen 5</v>
      </c>
      <c r="S160" t="str">
        <f t="shared" si="13"/>
        <v xml:space="preserve">8 GB </v>
      </c>
    </row>
    <row r="161" spans="1:19">
      <c r="A161" t="str">
        <f>LEFT(B161, LEN(B161)-15)</f>
        <v>Apple MacBook Air M3 MRXU3HN/A Ultrabook (Apple M3/8 GB/512 GB SSD/macOS Sonoma)</v>
      </c>
      <c r="B161" t="s">
        <v>361</v>
      </c>
      <c r="C161" s="1">
        <v>125990</v>
      </c>
      <c r="D161" s="1">
        <v>127</v>
      </c>
      <c r="E161" s="2">
        <v>94</v>
      </c>
      <c r="F161" s="2" t="str" cm="1">
        <f t="array" ref="F161">_xlfn.IFS(AND(101&gt;E161, E161&gt;69), "Top-Tier", AND(70&gt;E161, E161&gt;39), "Mid-Tier", 40&gt;E161, "Low-Tier")</f>
        <v>Top-Tier</v>
      </c>
      <c r="G161" s="4">
        <v>45352</v>
      </c>
      <c r="H161" t="s">
        <v>351</v>
      </c>
      <c r="I161" t="s">
        <v>189</v>
      </c>
      <c r="J161" t="s">
        <v>360</v>
      </c>
      <c r="K161" t="s">
        <v>39</v>
      </c>
      <c r="L161" t="s">
        <v>24</v>
      </c>
      <c r="M161" t="s">
        <v>40</v>
      </c>
      <c r="P161" s="3">
        <v>84</v>
      </c>
      <c r="Q161" t="str">
        <f>LEFT(B161, 5)</f>
        <v>Apple</v>
      </c>
      <c r="R161" t="str">
        <f t="shared" ref="R161:R181" si="15">LEFT(H161, 21)</f>
        <v>AMD Hexa-Core Ryzen 5</v>
      </c>
      <c r="S161" t="str">
        <f t="shared" si="13"/>
        <v xml:space="preserve">8 GB </v>
      </c>
    </row>
    <row r="162" spans="1:19">
      <c r="A162" t="str">
        <f>LEFT(B162, LEN(B162)-15)</f>
        <v>Apple MacBook Air M3 MRXR3HN/A Ultrabook (Apple M3/8 GB/512 GB SSD/macOS Sonoma)</v>
      </c>
      <c r="B162" t="s">
        <v>362</v>
      </c>
      <c r="C162" s="1">
        <v>134900</v>
      </c>
      <c r="D162" s="1">
        <v>127</v>
      </c>
      <c r="E162" s="2">
        <v>94</v>
      </c>
      <c r="F162" s="2" t="str" cm="1">
        <f t="array" ref="F162">_xlfn.IFS(AND(101&gt;E162, E162&gt;69), "Top-Tier", AND(70&gt;E162, E162&gt;39), "Mid-Tier", 40&gt;E162, "Low-Tier")</f>
        <v>Top-Tier</v>
      </c>
      <c r="G162" s="4">
        <v>45352</v>
      </c>
      <c r="H162" t="s">
        <v>351</v>
      </c>
      <c r="I162" t="s">
        <v>189</v>
      </c>
      <c r="J162" t="s">
        <v>360</v>
      </c>
      <c r="K162" t="s">
        <v>39</v>
      </c>
      <c r="L162" t="s">
        <v>24</v>
      </c>
      <c r="M162" t="s">
        <v>40</v>
      </c>
      <c r="P162" s="3">
        <v>84</v>
      </c>
      <c r="Q162" t="str">
        <f>LEFT(B162, 5)</f>
        <v>Apple</v>
      </c>
      <c r="R162" t="str">
        <f t="shared" si="15"/>
        <v>AMD Hexa-Core Ryzen 5</v>
      </c>
      <c r="S162" t="str">
        <f t="shared" si="13"/>
        <v xml:space="preserve">8 GB </v>
      </c>
    </row>
    <row r="163" spans="1:19">
      <c r="A163" t="str">
        <f>LEFT(B163, LEN(B163)-15)</f>
        <v>Apple MacBook Air M3 MRXN3HN/A Ultrabook (Apple M3/8 GB/256 GB SSD/macOS Sonoma)</v>
      </c>
      <c r="B163" t="s">
        <v>363</v>
      </c>
      <c r="C163" s="1">
        <v>114900</v>
      </c>
      <c r="D163" s="1">
        <v>127</v>
      </c>
      <c r="E163" s="2">
        <v>94</v>
      </c>
      <c r="F163" s="2" t="str" cm="1">
        <f t="array" ref="F163">_xlfn.IFS(AND(101&gt;E163, E163&gt;69), "Top-Tier", AND(70&gt;E163, E163&gt;39), "Mid-Tier", 40&gt;E163, "Low-Tier")</f>
        <v>Top-Tier</v>
      </c>
      <c r="G163" s="4">
        <v>45352</v>
      </c>
      <c r="H163" t="s">
        <v>364</v>
      </c>
      <c r="I163" t="s">
        <v>189</v>
      </c>
      <c r="J163" t="s">
        <v>365</v>
      </c>
      <c r="K163" t="s">
        <v>39</v>
      </c>
      <c r="L163" t="s">
        <v>24</v>
      </c>
      <c r="M163" t="s">
        <v>40</v>
      </c>
      <c r="P163" s="3">
        <v>83</v>
      </c>
      <c r="Q163" t="str">
        <f>LEFT(B163, 5)</f>
        <v>Apple</v>
      </c>
      <c r="R163" t="str">
        <f t="shared" si="15"/>
        <v>AMD Hexa-Core Ryzen 5</v>
      </c>
      <c r="S163" t="str">
        <f t="shared" si="13"/>
        <v xml:space="preserve">8 GB </v>
      </c>
    </row>
    <row r="164" spans="1:19">
      <c r="A164" t="str">
        <f>LEFT(B164, LEN(B164)-15)</f>
        <v>Apple MacBook Air M3 MRYV3HN/A Ultrabook (Apple M3/8 GB/512 GB SSD/macOS Sonoma)</v>
      </c>
      <c r="B164" t="s">
        <v>366</v>
      </c>
      <c r="C164" s="1">
        <v>139990</v>
      </c>
      <c r="D164" s="1">
        <v>127</v>
      </c>
      <c r="E164" s="2">
        <v>94</v>
      </c>
      <c r="F164" s="2" t="str" cm="1">
        <f t="array" ref="F164">_xlfn.IFS(AND(101&gt;E164, E164&gt;69), "Top-Tier", AND(70&gt;E164, E164&gt;39), "Mid-Tier", 40&gt;E164, "Low-Tier")</f>
        <v>Top-Tier</v>
      </c>
      <c r="G164" s="4">
        <v>45352</v>
      </c>
      <c r="H164" t="s">
        <v>367</v>
      </c>
      <c r="I164" t="s">
        <v>189</v>
      </c>
      <c r="J164" t="s">
        <v>360</v>
      </c>
      <c r="K164" t="s">
        <v>23</v>
      </c>
      <c r="L164" t="s">
        <v>24</v>
      </c>
      <c r="M164" t="s">
        <v>25</v>
      </c>
      <c r="P164" s="3">
        <v>84</v>
      </c>
      <c r="Q164" t="str">
        <f>LEFT(B164, 5)</f>
        <v>Apple</v>
      </c>
      <c r="R164" t="str">
        <f t="shared" si="15"/>
        <v>AMD Hexa-Core Ryzen 5</v>
      </c>
      <c r="S164" t="str">
        <f t="shared" si="13"/>
        <v xml:space="preserve">8 GB </v>
      </c>
    </row>
    <row r="165" spans="1:19">
      <c r="A165" t="str">
        <f>LEFT(B165, LEN(B165)-15)</f>
        <v>Apple MacBook Air M3 MRXQ3HN/A Ultrabook (Apple M3/8 GB/256 GB SSD/macOS Sonoma)</v>
      </c>
      <c r="B165" t="s">
        <v>368</v>
      </c>
      <c r="C165" s="1">
        <v>114900</v>
      </c>
      <c r="D165" s="1">
        <v>127</v>
      </c>
      <c r="E165" s="2">
        <v>94</v>
      </c>
      <c r="F165" s="2" t="str" cm="1">
        <f t="array" ref="F165">_xlfn.IFS(AND(101&gt;E165, E165&gt;69), "Top-Tier", AND(70&gt;E165, E165&gt;39), "Mid-Tier", 40&gt;E165, "Low-Tier")</f>
        <v>Top-Tier</v>
      </c>
      <c r="G165" s="4">
        <v>45352</v>
      </c>
      <c r="H165" t="s">
        <v>367</v>
      </c>
      <c r="I165" t="s">
        <v>189</v>
      </c>
      <c r="J165" t="s">
        <v>365</v>
      </c>
      <c r="K165" t="s">
        <v>39</v>
      </c>
      <c r="L165" t="s">
        <v>24</v>
      </c>
      <c r="M165" t="s">
        <v>40</v>
      </c>
      <c r="P165" s="3">
        <v>83</v>
      </c>
      <c r="Q165" t="str">
        <f>LEFT(B165, 5)</f>
        <v>Apple</v>
      </c>
      <c r="R165" t="str">
        <f t="shared" si="15"/>
        <v>AMD Hexa-Core Ryzen 5</v>
      </c>
      <c r="S165" t="str">
        <f t="shared" si="13"/>
        <v xml:space="preserve">8 GB </v>
      </c>
    </row>
    <row r="166" spans="1:19">
      <c r="A166" t="str">
        <f>LEFT(B166, LEN(B166)-15)</f>
        <v>Apple MacBook Air M3 MRXT3HN/A Ultrabook (Apple M3/8 GB/256 GB SSD/macOS Sonoma)</v>
      </c>
      <c r="B166" t="s">
        <v>369</v>
      </c>
      <c r="C166" s="1">
        <v>95600</v>
      </c>
      <c r="D166" s="1">
        <v>127</v>
      </c>
      <c r="E166" s="2">
        <v>94</v>
      </c>
      <c r="F166" s="2" t="str" cm="1">
        <f t="array" ref="F166">_xlfn.IFS(AND(101&gt;E166, E166&gt;69), "Top-Tier", AND(70&gt;E166, E166&gt;39), "Mid-Tier", 40&gt;E166, "Low-Tier")</f>
        <v>Top-Tier</v>
      </c>
      <c r="G166" s="4">
        <v>45352</v>
      </c>
      <c r="H166" t="s">
        <v>367</v>
      </c>
      <c r="I166" t="s">
        <v>189</v>
      </c>
      <c r="J166" t="s">
        <v>365</v>
      </c>
      <c r="K166" t="s">
        <v>39</v>
      </c>
      <c r="L166" t="s">
        <v>24</v>
      </c>
      <c r="M166" t="s">
        <v>40</v>
      </c>
      <c r="P166" s="3">
        <v>83</v>
      </c>
      <c r="Q166" t="str">
        <f>LEFT(B166, 5)</f>
        <v>Apple</v>
      </c>
      <c r="R166" t="str">
        <f t="shared" si="15"/>
        <v>AMD Hexa-Core Ryzen 5</v>
      </c>
      <c r="S166" t="str">
        <f t="shared" si="13"/>
        <v xml:space="preserve">8 GB </v>
      </c>
    </row>
    <row r="167" spans="1:19">
      <c r="A167" t="str">
        <f>LEFT(B167, LEN(B167)-15)</f>
        <v>Apple MacBook Air M3 MRXP3HN/A Ultrabook (Apple M3/8 GB/512 GB SSD/macOS Sonoma)</v>
      </c>
      <c r="B167" t="s">
        <v>370</v>
      </c>
      <c r="C167" s="1">
        <v>113900</v>
      </c>
      <c r="D167" s="1">
        <v>127</v>
      </c>
      <c r="E167" s="2">
        <v>94</v>
      </c>
      <c r="F167" s="2" t="str" cm="1">
        <f t="array" ref="F167">_xlfn.IFS(AND(101&gt;E167, E167&gt;69), "Top-Tier", AND(70&gt;E167, E167&gt;39), "Mid-Tier", 40&gt;E167, "Low-Tier")</f>
        <v>Top-Tier</v>
      </c>
      <c r="G167" s="4">
        <v>45352</v>
      </c>
      <c r="H167" t="s">
        <v>367</v>
      </c>
      <c r="I167" t="s">
        <v>189</v>
      </c>
      <c r="J167" t="s">
        <v>360</v>
      </c>
      <c r="K167" t="s">
        <v>39</v>
      </c>
      <c r="L167" t="s">
        <v>24</v>
      </c>
      <c r="M167" t="s">
        <v>40</v>
      </c>
      <c r="P167" s="3">
        <v>84</v>
      </c>
      <c r="Q167" t="str">
        <f>LEFT(B167, 5)</f>
        <v>Apple</v>
      </c>
      <c r="R167" t="str">
        <f t="shared" si="15"/>
        <v>AMD Hexa-Core Ryzen 5</v>
      </c>
      <c r="S167" t="str">
        <f t="shared" si="13"/>
        <v xml:space="preserve">8 GB </v>
      </c>
    </row>
    <row r="168" spans="1:19">
      <c r="A168" t="str">
        <f>LEFT(B168, LEN(B168)-15)</f>
        <v>Apple MacBook Air M3 MRYM3HN/A Ultrabook (Apple M3/8 GB/256 GB SSD/macOS Sonoma)</v>
      </c>
      <c r="B168" t="s">
        <v>371</v>
      </c>
      <c r="C168" s="1">
        <v>139990</v>
      </c>
      <c r="D168" s="1">
        <v>127</v>
      </c>
      <c r="E168" s="2">
        <v>94</v>
      </c>
      <c r="F168" s="2" t="str" cm="1">
        <f t="array" ref="F168">_xlfn.IFS(AND(101&gt;E168, E168&gt;69), "Top-Tier", AND(70&gt;E168, E168&gt;39), "Mid-Tier", 40&gt;E168, "Low-Tier")</f>
        <v>Top-Tier</v>
      </c>
      <c r="G168" s="4">
        <v>45352</v>
      </c>
      <c r="H168" t="s">
        <v>367</v>
      </c>
      <c r="I168" t="s">
        <v>189</v>
      </c>
      <c r="J168" t="s">
        <v>365</v>
      </c>
      <c r="K168" t="s">
        <v>23</v>
      </c>
      <c r="L168" t="s">
        <v>24</v>
      </c>
      <c r="M168" t="s">
        <v>25</v>
      </c>
      <c r="P168" s="3">
        <v>83</v>
      </c>
      <c r="Q168" t="str">
        <f>LEFT(B168, 5)</f>
        <v>Apple</v>
      </c>
      <c r="R168" t="str">
        <f t="shared" si="15"/>
        <v>AMD Hexa-Core Ryzen 5</v>
      </c>
      <c r="S168" t="str">
        <f t="shared" si="13"/>
        <v xml:space="preserve">8 GB </v>
      </c>
    </row>
    <row r="169" spans="1:19">
      <c r="A169" t="str">
        <f>LEFT(B169, LEN(B169)-15)</f>
        <v>Apple MacBook Air M3 MRYT3HN/A Ultrabook (Apple M3/8 GB/512 GB SSD/macOS Sonoma)</v>
      </c>
      <c r="B169" t="s">
        <v>372</v>
      </c>
      <c r="C169" s="1">
        <v>139990</v>
      </c>
      <c r="D169" s="1">
        <v>127</v>
      </c>
      <c r="E169" s="2">
        <v>94</v>
      </c>
      <c r="F169" s="2" t="str" cm="1">
        <f t="array" ref="F169">_xlfn.IFS(AND(101&gt;E169, E169&gt;69), "Top-Tier", AND(70&gt;E169, E169&gt;39), "Mid-Tier", 40&gt;E169, "Low-Tier")</f>
        <v>Top-Tier</v>
      </c>
      <c r="G169" s="4">
        <v>45352</v>
      </c>
      <c r="H169" t="s">
        <v>367</v>
      </c>
      <c r="I169" t="s">
        <v>189</v>
      </c>
      <c r="J169" t="s">
        <v>360</v>
      </c>
      <c r="K169" t="s">
        <v>23</v>
      </c>
      <c r="L169" t="s">
        <v>24</v>
      </c>
      <c r="M169" t="s">
        <v>25</v>
      </c>
      <c r="P169" s="3">
        <v>84</v>
      </c>
      <c r="Q169" t="str">
        <f>LEFT(B169, 5)</f>
        <v>Apple</v>
      </c>
      <c r="R169" t="str">
        <f t="shared" si="15"/>
        <v>AMD Hexa-Core Ryzen 5</v>
      </c>
      <c r="S169" t="str">
        <f t="shared" si="13"/>
        <v xml:space="preserve">8 GB </v>
      </c>
    </row>
    <row r="170" spans="1:19">
      <c r="A170" t="str">
        <f>LEFT(B170, LEN(B170)-15)</f>
        <v>Apple MacBook Air M3 MRYN3HN/A Ultrabook (Apple M3/8 GB/512 GB SSD/macOS Sonoma)</v>
      </c>
      <c r="B170" t="s">
        <v>373</v>
      </c>
      <c r="C170" s="1">
        <v>144990</v>
      </c>
      <c r="D170" s="1">
        <v>127</v>
      </c>
      <c r="E170" s="2">
        <v>94</v>
      </c>
      <c r="F170" s="2" t="str" cm="1">
        <f t="array" ref="F170">_xlfn.IFS(AND(101&gt;E170, E170&gt;69), "Top-Tier", AND(70&gt;E170, E170&gt;39), "Mid-Tier", 40&gt;E170, "Low-Tier")</f>
        <v>Top-Tier</v>
      </c>
      <c r="G170" s="4">
        <v>45352</v>
      </c>
      <c r="H170" t="s">
        <v>367</v>
      </c>
      <c r="I170" t="s">
        <v>189</v>
      </c>
      <c r="J170" t="s">
        <v>360</v>
      </c>
      <c r="K170" t="s">
        <v>23</v>
      </c>
      <c r="L170" t="s">
        <v>24</v>
      </c>
      <c r="M170" t="s">
        <v>25</v>
      </c>
      <c r="P170" s="3">
        <v>84</v>
      </c>
      <c r="Q170" t="str">
        <f>LEFT(B170, 5)</f>
        <v>Apple</v>
      </c>
      <c r="R170" t="str">
        <f t="shared" si="15"/>
        <v>AMD Hexa-Core Ryzen 5</v>
      </c>
      <c r="S170" t="str">
        <f t="shared" si="13"/>
        <v xml:space="preserve">8 GB </v>
      </c>
    </row>
    <row r="171" spans="1:19">
      <c r="A171" t="str">
        <f>LEFT(B171, LEN(B171)-15)</f>
        <v>Apple MacBook Air M3 MRYP3HN/A Ultrabook (Apple M3/8 GB/256 GB SSD/macOS Sonoma)</v>
      </c>
      <c r="B171" t="s">
        <v>374</v>
      </c>
      <c r="C171" s="1">
        <v>139990</v>
      </c>
      <c r="D171" s="1">
        <v>127</v>
      </c>
      <c r="E171" s="2">
        <v>94</v>
      </c>
      <c r="F171" s="2" t="str" cm="1">
        <f t="array" ref="F171">_xlfn.IFS(AND(101&gt;E171, E171&gt;69), "Top-Tier", AND(70&gt;E171, E171&gt;39), "Mid-Tier", 40&gt;E171, "Low-Tier")</f>
        <v>Top-Tier</v>
      </c>
      <c r="G171" s="4">
        <v>45352</v>
      </c>
      <c r="H171" t="s">
        <v>375</v>
      </c>
      <c r="I171" t="s">
        <v>189</v>
      </c>
      <c r="J171" t="s">
        <v>365</v>
      </c>
      <c r="K171" t="s">
        <v>23</v>
      </c>
      <c r="L171" t="s">
        <v>24</v>
      </c>
      <c r="M171" t="s">
        <v>25</v>
      </c>
      <c r="P171" s="3">
        <v>83</v>
      </c>
      <c r="Q171" t="str">
        <f>LEFT(B171, 5)</f>
        <v>Apple</v>
      </c>
      <c r="R171" t="str">
        <f t="shared" si="15"/>
        <v>AMD Hexa-Core Ryzen 5</v>
      </c>
      <c r="S171" t="str">
        <f t="shared" si="13"/>
        <v xml:space="preserve">8 GB </v>
      </c>
    </row>
    <row r="172" spans="1:19">
      <c r="A172" t="str">
        <f>LEFT(B172, LEN(B172)-15)</f>
        <v>Apple MacBook Air M3 MRXW3HN/A Ultrabook (Apple M3/8 GB/512 GB SSD/macOS Sonoma)</v>
      </c>
      <c r="B172" t="s">
        <v>376</v>
      </c>
      <c r="C172" s="1">
        <v>126890</v>
      </c>
      <c r="D172" s="1">
        <v>127</v>
      </c>
      <c r="E172" s="2">
        <v>94</v>
      </c>
      <c r="F172" s="2" t="str" cm="1">
        <f t="array" ref="F172">_xlfn.IFS(AND(101&gt;E172, E172&gt;69), "Top-Tier", AND(70&gt;E172, E172&gt;39), "Mid-Tier", 40&gt;E172, "Low-Tier")</f>
        <v>Top-Tier</v>
      </c>
      <c r="G172" s="4">
        <v>45352</v>
      </c>
      <c r="H172" t="s">
        <v>375</v>
      </c>
      <c r="I172" t="s">
        <v>189</v>
      </c>
      <c r="J172" t="s">
        <v>360</v>
      </c>
      <c r="K172" t="s">
        <v>39</v>
      </c>
      <c r="L172" t="s">
        <v>24</v>
      </c>
      <c r="M172" t="s">
        <v>40</v>
      </c>
      <c r="P172" s="3">
        <v>84</v>
      </c>
      <c r="Q172" t="str">
        <f>LEFT(B172, 5)</f>
        <v>Apple</v>
      </c>
      <c r="R172" t="str">
        <f t="shared" si="15"/>
        <v>AMD Hexa-Core Ryzen 5</v>
      </c>
      <c r="S172" t="str">
        <f t="shared" si="13"/>
        <v xml:space="preserve">8 GB </v>
      </c>
    </row>
    <row r="173" spans="1:19">
      <c r="A173" t="str">
        <f>LEFT(B173, LEN(B173)-15)</f>
        <v>Apple MacBook Pro M3 MTL83HN/A Ultrabook (Apple M3/8 GB/1 TB SSD/macOS Sonoma)</v>
      </c>
      <c r="B173" t="s">
        <v>377</v>
      </c>
      <c r="C173" s="1">
        <v>169900</v>
      </c>
      <c r="D173" s="1">
        <v>23</v>
      </c>
      <c r="E173" s="2">
        <v>94</v>
      </c>
      <c r="F173" s="2" t="str" cm="1">
        <f t="array" ref="F173">_xlfn.IFS(AND(101&gt;E173, E173&gt;69), "Top-Tier", AND(70&gt;E173, E173&gt;39), "Mid-Tier", 40&gt;E173, "Low-Tier")</f>
        <v>Top-Tier</v>
      </c>
      <c r="G173" s="4">
        <v>45231</v>
      </c>
      <c r="H173" t="s">
        <v>375</v>
      </c>
      <c r="I173" t="s">
        <v>189</v>
      </c>
      <c r="J173" t="s">
        <v>378</v>
      </c>
      <c r="K173" t="s">
        <v>191</v>
      </c>
      <c r="L173" t="s">
        <v>24</v>
      </c>
      <c r="M173" t="s">
        <v>30</v>
      </c>
      <c r="N173" t="s">
        <v>31</v>
      </c>
      <c r="P173" s="3">
        <v>77</v>
      </c>
      <c r="Q173" t="str">
        <f>LEFT(B173, 5)</f>
        <v>Apple</v>
      </c>
      <c r="R173" t="str">
        <f t="shared" si="15"/>
        <v>AMD Hexa-Core Ryzen 5</v>
      </c>
      <c r="S173" t="str">
        <f t="shared" si="13"/>
        <v xml:space="preserve">8 GB </v>
      </c>
    </row>
    <row r="174" spans="1:19">
      <c r="A174" t="str">
        <f>LEFT(B174, LEN(B174)-15)</f>
        <v>Lenovo Ideapad Flex 5i 14IRU8 (82Y0004TIN) Laptop (Core i7 13th Gen/16 GB/512 GB SSD/Windows 11)</v>
      </c>
      <c r="B174" t="s">
        <v>379</v>
      </c>
      <c r="C174" s="1">
        <v>79990</v>
      </c>
      <c r="D174" s="1">
        <v>18</v>
      </c>
      <c r="E174" s="2">
        <v>94</v>
      </c>
      <c r="F174" s="2" t="str" cm="1">
        <f t="array" ref="F174">_xlfn.IFS(AND(101&gt;E174, E174&gt;69), "Top-Tier", AND(70&gt;E174, E174&gt;39), "Mid-Tier", 40&gt;E174, "Low-Tier")</f>
        <v>Top-Tier</v>
      </c>
      <c r="G174" s="4">
        <v>45200</v>
      </c>
      <c r="H174" t="s">
        <v>380</v>
      </c>
      <c r="I174" t="s">
        <v>33</v>
      </c>
      <c r="J174" t="s">
        <v>214</v>
      </c>
      <c r="K174" t="s">
        <v>94</v>
      </c>
      <c r="L174" t="s">
        <v>24</v>
      </c>
      <c r="M174" t="s">
        <v>381</v>
      </c>
      <c r="N174" t="s">
        <v>31</v>
      </c>
      <c r="P174" s="3">
        <v>77</v>
      </c>
      <c r="Q174" t="str">
        <f>LEFT(B174, 6)</f>
        <v>Lenovo</v>
      </c>
      <c r="R174" t="str">
        <f t="shared" si="15"/>
        <v>AMD Hexa-Core Ryzen 5</v>
      </c>
      <c r="S174" t="str">
        <f t="shared" si="13"/>
        <v>16 GB</v>
      </c>
    </row>
    <row r="175" spans="1:19">
      <c r="A175" t="str">
        <f>LEFT(B175, LEN(B175)-15)</f>
        <v>Dell Inspiron 15 3530 (IN3530NC2R9001ORS1) Laptop (Core i7 13th Gen/16 GB/512 GB SSD/Windows 11)</v>
      </c>
      <c r="B175" t="s">
        <v>382</v>
      </c>
      <c r="C175" s="1">
        <v>67490</v>
      </c>
      <c r="D175" s="1">
        <v>15</v>
      </c>
      <c r="E175" s="2">
        <v>94</v>
      </c>
      <c r="F175" s="2" t="str" cm="1">
        <f t="array" ref="F175">_xlfn.IFS(AND(101&gt;E175, E175&gt;69), "Top-Tier", AND(70&gt;E175, E175&gt;39), "Mid-Tier", 40&gt;E175, "Low-Tier")</f>
        <v>Top-Tier</v>
      </c>
      <c r="G175" s="4">
        <v>45170</v>
      </c>
      <c r="H175" t="s">
        <v>383</v>
      </c>
      <c r="I175" t="s">
        <v>33</v>
      </c>
      <c r="J175" t="s">
        <v>34</v>
      </c>
      <c r="K175" t="s">
        <v>51</v>
      </c>
      <c r="L175" t="s">
        <v>24</v>
      </c>
      <c r="N175" t="s">
        <v>31</v>
      </c>
      <c r="P175" s="3">
        <v>79</v>
      </c>
      <c r="Q175" t="str">
        <f>LEFT(B175, 4)</f>
        <v>Dell</v>
      </c>
      <c r="R175" t="str">
        <f t="shared" si="15"/>
        <v>AMD Hexa-Core Ryzen 5</v>
      </c>
      <c r="S175" t="str">
        <f t="shared" si="13"/>
        <v>16 GB</v>
      </c>
    </row>
    <row r="176" spans="1:19">
      <c r="A176" t="str">
        <f>LEFT(B176, LEN(B176)-15)</f>
        <v>HP Pavilion 14-ek1074TU (8C5H5PA) Laptop (Core i5 13th Gen/16 GB/512 GB SSD/Windows 11)</v>
      </c>
      <c r="B176" t="s">
        <v>384</v>
      </c>
      <c r="C176" s="1">
        <v>70990</v>
      </c>
      <c r="D176" s="1">
        <v>6</v>
      </c>
      <c r="E176" s="2">
        <v>94</v>
      </c>
      <c r="F176" s="2" t="str" cm="1">
        <f t="array" ref="F176">_xlfn.IFS(AND(101&gt;E176, E176&gt;69), "Top-Tier", AND(70&gt;E176, E176&gt;39), "Mid-Tier", 40&gt;E176, "Low-Tier")</f>
        <v>Top-Tier</v>
      </c>
      <c r="G176" s="4">
        <v>45139</v>
      </c>
      <c r="H176" t="s">
        <v>385</v>
      </c>
      <c r="I176" t="s">
        <v>33</v>
      </c>
      <c r="J176" t="s">
        <v>34</v>
      </c>
      <c r="K176" t="s">
        <v>149</v>
      </c>
      <c r="L176" t="s">
        <v>24</v>
      </c>
      <c r="M176" t="s">
        <v>95</v>
      </c>
      <c r="N176" t="s">
        <v>31</v>
      </c>
      <c r="P176" s="3">
        <v>76</v>
      </c>
      <c r="Q176" t="str">
        <f>LEFT(B176, 2)</f>
        <v>HP</v>
      </c>
      <c r="R176" t="str">
        <f t="shared" si="15"/>
        <v>AMD Hexa-Core Ryzen 5</v>
      </c>
      <c r="S176" t="str">
        <f t="shared" si="13"/>
        <v>16 GB</v>
      </c>
    </row>
    <row r="177" spans="1:19">
      <c r="A177" t="str">
        <f>LEFT(B177, LEN(B177)-15)</f>
        <v>MSI Pulse 17 B13VFK-667IN Laptop (Core i7 13th Gen/8 GB/1 TB SSD/Windows 11/8 GB)</v>
      </c>
      <c r="B177" t="s">
        <v>386</v>
      </c>
      <c r="C177" s="1">
        <v>142991</v>
      </c>
      <c r="D177" s="1">
        <v>26</v>
      </c>
      <c r="E177" s="2">
        <v>94</v>
      </c>
      <c r="F177" s="2" t="str" cm="1">
        <f t="array" ref="F177">_xlfn.IFS(AND(101&gt;E177, E177&gt;69), "Top-Tier", AND(70&gt;E177, E177&gt;39), "Mid-Tier", 40&gt;E177, "Low-Tier")</f>
        <v>Top-Tier</v>
      </c>
      <c r="G177" s="4">
        <v>45139</v>
      </c>
      <c r="H177" t="s">
        <v>387</v>
      </c>
      <c r="I177" t="s">
        <v>33</v>
      </c>
      <c r="J177" t="s">
        <v>388</v>
      </c>
      <c r="K177" t="s">
        <v>226</v>
      </c>
      <c r="L177" t="s">
        <v>24</v>
      </c>
      <c r="N177" t="s">
        <v>31</v>
      </c>
      <c r="P177" s="3">
        <v>86</v>
      </c>
      <c r="Q177" t="str">
        <f>LEFT(B177, 3)</f>
        <v>MSI</v>
      </c>
      <c r="R177" t="str">
        <f t="shared" si="15"/>
        <v>AMD Hexa-Core Ryzen 5</v>
      </c>
      <c r="S177" t="str">
        <f t="shared" si="13"/>
        <v xml:space="preserve">8 GB </v>
      </c>
    </row>
    <row r="178" spans="1:19">
      <c r="A178" t="str">
        <f>LEFT(B178, LEN(B178)-15)</f>
        <v>MSI Stealth 15 A13VF-074IN Laptop (Core i7 13th Gen/16 GB/1 TB SSD/Windows 11/8 GB)</v>
      </c>
      <c r="B178" t="s">
        <v>389</v>
      </c>
      <c r="C178" s="1">
        <v>142113</v>
      </c>
      <c r="D178" s="1">
        <v>3</v>
      </c>
      <c r="E178" s="2">
        <v>94</v>
      </c>
      <c r="F178" s="2" t="str" cm="1">
        <f t="array" ref="F178">_xlfn.IFS(AND(101&gt;E178, E178&gt;69), "Top-Tier", AND(70&gt;E178, E178&gt;39), "Mid-Tier", 40&gt;E178, "Low-Tier")</f>
        <v>Top-Tier</v>
      </c>
      <c r="G178" s="4">
        <v>44986</v>
      </c>
      <c r="H178" t="s">
        <v>387</v>
      </c>
      <c r="I178" t="s">
        <v>33</v>
      </c>
      <c r="J178" t="s">
        <v>72</v>
      </c>
      <c r="K178" t="s">
        <v>390</v>
      </c>
      <c r="L178" t="s">
        <v>24</v>
      </c>
      <c r="M178" t="s">
        <v>52</v>
      </c>
      <c r="N178" t="s">
        <v>31</v>
      </c>
      <c r="Q178" t="str">
        <f>LEFT(B178, 3)</f>
        <v>MSI</v>
      </c>
      <c r="R178" t="str">
        <f t="shared" si="15"/>
        <v>AMD Hexa-Core Ryzen 5</v>
      </c>
      <c r="S178" t="str">
        <f t="shared" si="13"/>
        <v>16 GB</v>
      </c>
    </row>
    <row r="179" spans="1:19">
      <c r="A179" t="str">
        <f>LEFT(B179, LEN(B179)-15)</f>
        <v>MSI Pulse 15 B13VFK-293IN Laptop (Core i7 13th Gen/16 GB/1 TB SSD/Windows 11/8 GB)</v>
      </c>
      <c r="B179" t="s">
        <v>391</v>
      </c>
      <c r="C179" s="1">
        <v>133999</v>
      </c>
      <c r="D179" s="1">
        <v>15</v>
      </c>
      <c r="E179" s="2">
        <v>94</v>
      </c>
      <c r="F179" s="2" t="str" cm="1">
        <f t="array" ref="F179">_xlfn.IFS(AND(101&gt;E179, E179&gt;69), "Top-Tier", AND(70&gt;E179, E179&gt;39), "Mid-Tier", 40&gt;E179, "Low-Tier")</f>
        <v>Top-Tier</v>
      </c>
      <c r="G179" s="4">
        <v>44958</v>
      </c>
      <c r="H179" t="s">
        <v>392</v>
      </c>
      <c r="I179" t="s">
        <v>33</v>
      </c>
      <c r="J179" t="s">
        <v>72</v>
      </c>
      <c r="K179" t="s">
        <v>159</v>
      </c>
      <c r="L179" t="s">
        <v>24</v>
      </c>
      <c r="N179" t="s">
        <v>31</v>
      </c>
      <c r="Q179" t="str">
        <f>LEFT(B179, 3)</f>
        <v>MSI</v>
      </c>
      <c r="R179" t="str">
        <f t="shared" si="15"/>
        <v>AMD Hexa-Core Ryzen 5</v>
      </c>
      <c r="S179" t="str">
        <f t="shared" si="13"/>
        <v>16 GB</v>
      </c>
    </row>
    <row r="180" spans="1:19">
      <c r="A180" t="str">
        <f>LEFT(B180, LEN(B180)-15)</f>
        <v>MSI Katana 15 B13VFK-296IN Laptop (Core i7 13th Gen/16 GB/1 TB SSD/Windows 11/8 GB)</v>
      </c>
      <c r="B180" t="s">
        <v>393</v>
      </c>
      <c r="C180" s="1">
        <v>112999</v>
      </c>
      <c r="D180" s="1">
        <v>9</v>
      </c>
      <c r="E180" s="2">
        <v>94</v>
      </c>
      <c r="F180" s="2" t="str" cm="1">
        <f t="array" ref="F180">_xlfn.IFS(AND(101&gt;E180, E180&gt;69), "Top-Tier", AND(70&gt;E180, E180&gt;39), "Mid-Tier", 40&gt;E180, "Low-Tier")</f>
        <v>Top-Tier</v>
      </c>
      <c r="G180" s="4">
        <v>44958</v>
      </c>
      <c r="H180" t="s">
        <v>394</v>
      </c>
      <c r="I180" t="s">
        <v>33</v>
      </c>
      <c r="J180" t="s">
        <v>72</v>
      </c>
      <c r="K180" t="s">
        <v>395</v>
      </c>
      <c r="L180" t="s">
        <v>24</v>
      </c>
      <c r="N180" t="s">
        <v>31</v>
      </c>
      <c r="P180" s="3">
        <v>86</v>
      </c>
      <c r="Q180" t="str">
        <f>LEFT(B180, 3)</f>
        <v>MSI</v>
      </c>
      <c r="R180" t="str">
        <f t="shared" si="15"/>
        <v>AMD Hexa-Core Ryzen 5</v>
      </c>
      <c r="S180" t="str">
        <f t="shared" si="13"/>
        <v>16 GB</v>
      </c>
    </row>
    <row r="181" spans="1:19">
      <c r="A181" t="str">
        <f>LEFT(B181, LEN(B181)-15)</f>
        <v>HP 15s-du3595TU (67V46PA) Laptop (Core i3 11th Gen/8 GB/256 GB SSD/Windows 11)</v>
      </c>
      <c r="B181" t="s">
        <v>396</v>
      </c>
      <c r="C181" s="1">
        <v>32990</v>
      </c>
      <c r="D181" s="1">
        <v>7</v>
      </c>
      <c r="E181" s="2">
        <v>94</v>
      </c>
      <c r="F181" s="2" t="str" cm="1">
        <f t="array" ref="F181">_xlfn.IFS(AND(101&gt;E181, E181&gt;69), "Top-Tier", AND(70&gt;E181, E181&gt;39), "Mid-Tier", 40&gt;E181, "Low-Tier")</f>
        <v>Top-Tier</v>
      </c>
      <c r="G181" s="4">
        <v>44927</v>
      </c>
      <c r="H181" t="s">
        <v>397</v>
      </c>
      <c r="I181" t="s">
        <v>33</v>
      </c>
      <c r="J181" t="s">
        <v>338</v>
      </c>
      <c r="K181" t="s">
        <v>51</v>
      </c>
      <c r="L181" t="s">
        <v>24</v>
      </c>
      <c r="M181" t="s">
        <v>52</v>
      </c>
      <c r="N181" t="s">
        <v>31</v>
      </c>
      <c r="Q181" t="str">
        <f>LEFT(B181, 2)</f>
        <v>HP</v>
      </c>
      <c r="R181" t="str">
        <f>LEFT(H181, 22)</f>
        <v>AMD Hexa-Core Ryzen AI</v>
      </c>
      <c r="S181" t="str">
        <f t="shared" si="13"/>
        <v xml:space="preserve">8 GB </v>
      </c>
    </row>
    <row r="182" spans="1:19">
      <c r="A182" t="str">
        <f>LEFT(B182, LEN(B182)-15)</f>
        <v>Apple MacBook Pro M2 Pro MNW93HN/A Ultrabook (Apple M2 Pro/16 GB/1 TB SSD/macOS Ventura)</v>
      </c>
      <c r="B182" t="s">
        <v>398</v>
      </c>
      <c r="C182" s="1">
        <v>248490</v>
      </c>
      <c r="D182" s="1">
        <v>15</v>
      </c>
      <c r="E182" s="2">
        <v>94</v>
      </c>
      <c r="F182" s="2" t="str" cm="1">
        <f t="array" ref="F182">_xlfn.IFS(AND(101&gt;E182, E182&gt;69), "Top-Tier", AND(70&gt;E182, E182&gt;39), "Mid-Tier", 40&gt;E182, "Low-Tier")</f>
        <v>Top-Tier</v>
      </c>
      <c r="G182" s="4">
        <v>44927</v>
      </c>
      <c r="H182" t="s">
        <v>399</v>
      </c>
      <c r="I182" t="s">
        <v>207</v>
      </c>
      <c r="J182" t="s">
        <v>293</v>
      </c>
      <c r="K182" t="s">
        <v>400</v>
      </c>
      <c r="L182" t="s">
        <v>24</v>
      </c>
      <c r="N182" t="s">
        <v>31</v>
      </c>
      <c r="P182" s="3">
        <v>76</v>
      </c>
      <c r="Q182" t="str">
        <f>LEFT(B182, 5)</f>
        <v>Apple</v>
      </c>
      <c r="R182" t="str">
        <f>LEFT(H182, 25)</f>
        <v>AMD Hexadeca-Core Ryzen 9</v>
      </c>
      <c r="S182" t="str">
        <f t="shared" si="13"/>
        <v>16 GB</v>
      </c>
    </row>
    <row r="183" spans="1:19">
      <c r="A183" t="str">
        <f>LEFT(B183, LEN(B183)-15)</f>
        <v>Microsoft Surface Pro 9 Intel Evo (QEZ-00031) Laptop (Core i5 12th Gen/8 GB/256 GB SSD/Windows 11)</v>
      </c>
      <c r="B183" t="s">
        <v>401</v>
      </c>
      <c r="C183" s="1">
        <v>87999</v>
      </c>
      <c r="D183" s="1">
        <v>12</v>
      </c>
      <c r="E183" s="2">
        <v>94</v>
      </c>
      <c r="F183" s="2" t="str" cm="1">
        <f t="array" ref="F183">_xlfn.IFS(AND(101&gt;E183, E183&gt;69), "Top-Tier", AND(70&gt;E183, E183&gt;39), "Mid-Tier", 40&gt;E183, "Low-Tier")</f>
        <v>Top-Tier</v>
      </c>
      <c r="G183" s="4">
        <v>44866</v>
      </c>
      <c r="H183" t="s">
        <v>402</v>
      </c>
      <c r="I183" t="s">
        <v>33</v>
      </c>
      <c r="J183" t="s">
        <v>239</v>
      </c>
      <c r="K183" t="s">
        <v>240</v>
      </c>
      <c r="L183" t="s">
        <v>24</v>
      </c>
      <c r="M183" t="s">
        <v>241</v>
      </c>
      <c r="P183" s="3">
        <v>75</v>
      </c>
      <c r="Q183" t="str">
        <f>LEFT(B183, 9)</f>
        <v>Microsoft</v>
      </c>
      <c r="R183" t="str">
        <f>LEFT(H184, 21)</f>
        <v>AMD Octa-Core Ryzen 7</v>
      </c>
      <c r="S183" t="str">
        <f t="shared" si="13"/>
        <v xml:space="preserve">8 GB </v>
      </c>
    </row>
    <row r="184" spans="1:19">
      <c r="A184" t="str">
        <f>LEFT(B184, LEN(B184)-15)</f>
        <v>HP Victus 15-fb0050AX (6F9V1PA) Laptop (AMD Hexa Core Ryzen 5/8 GB/512 GB SSD/Windows 11/4 GB)</v>
      </c>
      <c r="B184" t="s">
        <v>403</v>
      </c>
      <c r="C184" s="1">
        <v>57999</v>
      </c>
      <c r="D184" s="1">
        <v>26</v>
      </c>
      <c r="E184" s="2">
        <v>94</v>
      </c>
      <c r="F184" s="2" t="str" cm="1">
        <f t="array" ref="F184">_xlfn.IFS(AND(101&gt;E184, E184&gt;69), "Top-Tier", AND(70&gt;E184, E184&gt;39), "Mid-Tier", 40&gt;E184, "Low-Tier")</f>
        <v>Top-Tier</v>
      </c>
      <c r="G184" s="4">
        <v>44774</v>
      </c>
      <c r="H184" t="s">
        <v>402</v>
      </c>
      <c r="I184" t="s">
        <v>33</v>
      </c>
      <c r="J184" t="s">
        <v>50</v>
      </c>
      <c r="K184" t="s">
        <v>51</v>
      </c>
      <c r="L184" t="s">
        <v>24</v>
      </c>
      <c r="N184" t="s">
        <v>31</v>
      </c>
      <c r="P184" s="3">
        <v>79</v>
      </c>
      <c r="Q184" t="str">
        <f>LEFT(B184, 2)</f>
        <v>HP</v>
      </c>
      <c r="R184" t="str">
        <f>LEFT(H184, 21)</f>
        <v>AMD Octa-Core Ryzen 7</v>
      </c>
      <c r="S184" t="str">
        <f t="shared" si="13"/>
        <v xml:space="preserve">8 GB </v>
      </c>
    </row>
    <row r="185" spans="1:19">
      <c r="A185" t="str">
        <f>LEFT(B185, LEN(B185)-15)</f>
        <v>Apple MacBook Pro M2 MNEH3HN/A Ultrabook (Apple M2/8 GB/256 GB SSD/macOS Monterey)</v>
      </c>
      <c r="B185" t="s">
        <v>404</v>
      </c>
      <c r="C185" s="1">
        <v>121990</v>
      </c>
      <c r="D185" s="1">
        <v>407</v>
      </c>
      <c r="E185" s="2">
        <v>94</v>
      </c>
      <c r="F185" s="2" t="str" cm="1">
        <f t="array" ref="F185">_xlfn.IFS(AND(101&gt;E185, E185&gt;69), "Top-Tier", AND(70&gt;E185, E185&gt;39), "Mid-Tier", 40&gt;E185, "Low-Tier")</f>
        <v>Top-Tier</v>
      </c>
      <c r="G185" s="4">
        <v>44713</v>
      </c>
      <c r="H185" t="s">
        <v>402</v>
      </c>
      <c r="I185" t="s">
        <v>405</v>
      </c>
      <c r="J185" t="s">
        <v>239</v>
      </c>
      <c r="K185" t="s">
        <v>406</v>
      </c>
      <c r="L185" t="s">
        <v>24</v>
      </c>
      <c r="M185" t="s">
        <v>407</v>
      </c>
      <c r="O185" t="s">
        <v>261</v>
      </c>
      <c r="P185" s="3">
        <v>75</v>
      </c>
      <c r="Q185" t="str">
        <f>LEFT(B185, 5)</f>
        <v>Apple</v>
      </c>
      <c r="R185" t="str">
        <f t="shared" ref="R185:R202" si="16">LEFT(H185, 21)</f>
        <v>AMD Octa-Core Ryzen 7</v>
      </c>
      <c r="S185" t="str">
        <f t="shared" si="13"/>
        <v xml:space="preserve">8 GB </v>
      </c>
    </row>
    <row r="186" spans="1:19">
      <c r="A186" t="str">
        <f>LEFT(B186, LEN(B186)-15)</f>
        <v>Apple MacBook Air M4 MC6T4HN/A Ultrabook (Apple M4/16 GB/256 GB SSD/macOS Sequoia)</v>
      </c>
      <c r="B186" t="s">
        <v>408</v>
      </c>
      <c r="C186" s="1">
        <v>94990</v>
      </c>
      <c r="D186" s="1">
        <v>68</v>
      </c>
      <c r="E186" s="2">
        <v>92</v>
      </c>
      <c r="F186" s="2" t="str" cm="1">
        <f t="array" ref="F186">_xlfn.IFS(AND(101&gt;E186, E186&gt;69), "Top-Tier", AND(70&gt;E186, E186&gt;39), "Mid-Tier", 40&gt;E186, "Low-Tier")</f>
        <v>Top-Tier</v>
      </c>
      <c r="G186" s="4">
        <v>45717</v>
      </c>
      <c r="H186" t="s">
        <v>409</v>
      </c>
      <c r="I186" t="s">
        <v>21</v>
      </c>
      <c r="J186" t="s">
        <v>22</v>
      </c>
      <c r="K186" t="s">
        <v>410</v>
      </c>
      <c r="L186" t="s">
        <v>24</v>
      </c>
      <c r="M186" t="s">
        <v>40</v>
      </c>
      <c r="P186" s="3">
        <v>85</v>
      </c>
      <c r="Q186" t="str">
        <f>LEFT(B186, 5)</f>
        <v>Apple</v>
      </c>
      <c r="R186" t="str">
        <f t="shared" si="16"/>
        <v>AMD Octa-Core Ryzen 7</v>
      </c>
      <c r="S186" t="str">
        <f t="shared" si="13"/>
        <v>16 GB</v>
      </c>
    </row>
    <row r="187" spans="1:19">
      <c r="A187" t="str">
        <f>LEFT(B187, LEN(B187)-15)</f>
        <v>Apple MacBook Air M4 MW123HN/A Ultrabook (Apple M4/16 GB/256 GB SSD/macOS Sequoia)</v>
      </c>
      <c r="B187" t="s">
        <v>411</v>
      </c>
      <c r="C187" s="1">
        <v>94990</v>
      </c>
      <c r="D187" s="1">
        <v>68</v>
      </c>
      <c r="E187" s="2">
        <v>92</v>
      </c>
      <c r="F187" s="2" t="str" cm="1">
        <f t="array" ref="F187">_xlfn.IFS(AND(101&gt;E187, E187&gt;69), "Top-Tier", AND(70&gt;E187, E187&gt;39), "Mid-Tier", 40&gt;E187, "Low-Tier")</f>
        <v>Top-Tier</v>
      </c>
      <c r="G187" s="4">
        <v>45717</v>
      </c>
      <c r="H187" t="s">
        <v>409</v>
      </c>
      <c r="I187" t="s">
        <v>21</v>
      </c>
      <c r="J187" t="s">
        <v>22</v>
      </c>
      <c r="K187" t="s">
        <v>410</v>
      </c>
      <c r="L187" t="s">
        <v>24</v>
      </c>
      <c r="M187" t="s">
        <v>40</v>
      </c>
      <c r="P187" s="3">
        <v>84</v>
      </c>
      <c r="Q187" t="str">
        <f>LEFT(B187, 5)</f>
        <v>Apple</v>
      </c>
      <c r="R187" t="str">
        <f t="shared" si="16"/>
        <v>AMD Octa-Core Ryzen 7</v>
      </c>
      <c r="S187" t="str">
        <f t="shared" si="13"/>
        <v>16 GB</v>
      </c>
    </row>
    <row r="188" spans="1:19">
      <c r="A188" t="str">
        <f>LEFT(B188, LEN(B188)-15)</f>
        <v>Apple MacBook Air M4 MC6C4HN/A Ultrabook (Apple M4/24 GB/512 GB SSD/macOS Sequoia)</v>
      </c>
      <c r="B188" t="s">
        <v>412</v>
      </c>
      <c r="C188" s="1">
        <v>134990</v>
      </c>
      <c r="D188" s="1">
        <v>68</v>
      </c>
      <c r="E188" s="2">
        <v>92</v>
      </c>
      <c r="F188" s="2" t="str" cm="1">
        <f t="array" ref="F188">_xlfn.IFS(AND(101&gt;E188, E188&gt;69), "Top-Tier", AND(70&gt;E188, E188&gt;39), "Mid-Tier", 40&gt;E188, "Low-Tier")</f>
        <v>Top-Tier</v>
      </c>
      <c r="G188" s="4">
        <v>45717</v>
      </c>
      <c r="H188" t="s">
        <v>409</v>
      </c>
      <c r="I188" t="s">
        <v>21</v>
      </c>
      <c r="J188" t="s">
        <v>28</v>
      </c>
      <c r="K188" t="s">
        <v>410</v>
      </c>
      <c r="L188" t="s">
        <v>24</v>
      </c>
      <c r="M188" t="s">
        <v>40</v>
      </c>
      <c r="P188" s="3">
        <v>86</v>
      </c>
      <c r="Q188" t="str">
        <f>LEFT(B188, 5)</f>
        <v>Apple</v>
      </c>
      <c r="R188" t="str">
        <f t="shared" si="16"/>
        <v>AMD Octa-Core Ryzen 7</v>
      </c>
      <c r="S188" t="str">
        <f t="shared" si="13"/>
        <v>24 GB</v>
      </c>
    </row>
    <row r="189" spans="1:19">
      <c r="A189" t="str">
        <f>LEFT(B189, LEN(B189)-15)</f>
        <v>Apple MacBook Air M4 MW133HN/A Ultrabook (Apple M4/16 GB/512 GB SSD/macOS Sequoia)</v>
      </c>
      <c r="B189" t="s">
        <v>413</v>
      </c>
      <c r="C189" s="1">
        <v>119900</v>
      </c>
      <c r="D189" s="1">
        <v>68</v>
      </c>
      <c r="E189" s="2">
        <v>92</v>
      </c>
      <c r="F189" s="2" t="str" cm="1">
        <f t="array" ref="F189">_xlfn.IFS(AND(101&gt;E189, E189&gt;69), "Top-Tier", AND(70&gt;E189, E189&gt;39), "Mid-Tier", 40&gt;E189, "Low-Tier")</f>
        <v>Top-Tier</v>
      </c>
      <c r="G189" s="4">
        <v>45717</v>
      </c>
      <c r="H189" t="s">
        <v>414</v>
      </c>
      <c r="I189" t="s">
        <v>21</v>
      </c>
      <c r="J189" t="s">
        <v>286</v>
      </c>
      <c r="K189" t="s">
        <v>410</v>
      </c>
      <c r="L189" t="s">
        <v>24</v>
      </c>
      <c r="M189" t="s">
        <v>40</v>
      </c>
      <c r="P189" s="3">
        <v>86</v>
      </c>
      <c r="Q189" t="str">
        <f>LEFT(B189, 5)</f>
        <v>Apple</v>
      </c>
      <c r="R189" t="str">
        <f t="shared" si="16"/>
        <v>AMD Octa-Core Ryzen 7</v>
      </c>
      <c r="S189" t="str">
        <f t="shared" si="13"/>
        <v>16 GB</v>
      </c>
    </row>
    <row r="190" spans="1:19">
      <c r="A190" t="str">
        <f>LEFT(B190, LEN(B190)-15)</f>
        <v>Apple MacBook Air M4 MC6U4HN/A Ultrabook (Apple M4/16 GB/512 GB SSD/macOS Sequoia)</v>
      </c>
      <c r="B190" t="s">
        <v>415</v>
      </c>
      <c r="C190" s="1">
        <v>119900</v>
      </c>
      <c r="D190" s="1">
        <v>68</v>
      </c>
      <c r="E190" s="2">
        <v>92</v>
      </c>
      <c r="F190" s="2" t="str" cm="1">
        <f t="array" ref="F190">_xlfn.IFS(AND(101&gt;E190, E190&gt;69), "Top-Tier", AND(70&gt;E190, E190&gt;39), "Mid-Tier", 40&gt;E190, "Low-Tier")</f>
        <v>Top-Tier</v>
      </c>
      <c r="G190" s="4">
        <v>45717</v>
      </c>
      <c r="H190" t="s">
        <v>414</v>
      </c>
      <c r="I190" t="s">
        <v>21</v>
      </c>
      <c r="J190" t="s">
        <v>286</v>
      </c>
      <c r="K190" t="s">
        <v>410</v>
      </c>
      <c r="L190" t="s">
        <v>24</v>
      </c>
      <c r="M190" t="s">
        <v>40</v>
      </c>
      <c r="P190" s="3">
        <v>86</v>
      </c>
      <c r="Q190" t="str">
        <f>LEFT(B190, 5)</f>
        <v>Apple</v>
      </c>
      <c r="R190" t="str">
        <f t="shared" si="16"/>
        <v>AMD Octa-Core Ryzen 7</v>
      </c>
      <c r="S190" t="str">
        <f t="shared" si="13"/>
        <v>16 GB</v>
      </c>
    </row>
    <row r="191" spans="1:19">
      <c r="A191" t="str">
        <f>LEFT(B191, LEN(B191)-15)</f>
        <v>Apple MacBook Air M4 MW0W3HN/A Ultrabook (Apple M4/16 GB/256 GB SSD/macOS Sequoia)</v>
      </c>
      <c r="B191" t="s">
        <v>416</v>
      </c>
      <c r="C191" s="1">
        <v>95990</v>
      </c>
      <c r="D191" s="1">
        <v>68</v>
      </c>
      <c r="E191" s="2">
        <v>92</v>
      </c>
      <c r="F191" s="2" t="str" cm="1">
        <f t="array" ref="F191">_xlfn.IFS(AND(101&gt;E191, E191&gt;69), "Top-Tier", AND(70&gt;E191, E191&gt;39), "Mid-Tier", 40&gt;E191, "Low-Tier")</f>
        <v>Top-Tier</v>
      </c>
      <c r="G191" s="4">
        <v>45717</v>
      </c>
      <c r="H191" t="s">
        <v>414</v>
      </c>
      <c r="I191" t="s">
        <v>21</v>
      </c>
      <c r="J191" t="s">
        <v>417</v>
      </c>
      <c r="K191" t="s">
        <v>410</v>
      </c>
      <c r="L191" t="s">
        <v>24</v>
      </c>
      <c r="M191" t="s">
        <v>40</v>
      </c>
      <c r="P191" s="3">
        <v>82</v>
      </c>
      <c r="Q191" t="str">
        <f>LEFT(B191, 5)</f>
        <v>Apple</v>
      </c>
      <c r="R191" t="str">
        <f t="shared" si="16"/>
        <v>AMD Octa-Core Ryzen 7</v>
      </c>
      <c r="S191" t="str">
        <f t="shared" si="13"/>
        <v>16 GB</v>
      </c>
    </row>
    <row r="192" spans="1:19">
      <c r="A192" t="str">
        <f>LEFT(B192, LEN(B192)-15)</f>
        <v>Apple MacBook Air M4 MW0X3HN/A Ultrabook (Apple M4/16 GB/512 GB SSD/macOS Sequoia)</v>
      </c>
      <c r="B192" t="s">
        <v>418</v>
      </c>
      <c r="C192" s="1">
        <v>119900</v>
      </c>
      <c r="D192" s="1">
        <v>68</v>
      </c>
      <c r="E192" s="2">
        <v>92</v>
      </c>
      <c r="F192" s="2" t="str" cm="1">
        <f t="array" ref="F192">_xlfn.IFS(AND(101&gt;E192, E192&gt;69), "Top-Tier", AND(70&gt;E192, E192&gt;39), "Mid-Tier", 40&gt;E192, "Low-Tier")</f>
        <v>Top-Tier</v>
      </c>
      <c r="G192" s="4">
        <v>45717</v>
      </c>
      <c r="H192" t="s">
        <v>414</v>
      </c>
      <c r="I192" t="s">
        <v>21</v>
      </c>
      <c r="J192" t="s">
        <v>286</v>
      </c>
      <c r="K192" t="s">
        <v>410</v>
      </c>
      <c r="L192" t="s">
        <v>24</v>
      </c>
      <c r="M192" t="s">
        <v>40</v>
      </c>
      <c r="P192" s="3">
        <v>85</v>
      </c>
      <c r="Q192" t="str">
        <f>LEFT(B192, 5)</f>
        <v>Apple</v>
      </c>
      <c r="R192" t="str">
        <f t="shared" si="16"/>
        <v>AMD Octa-Core Ryzen 7</v>
      </c>
      <c r="S192" t="str">
        <f t="shared" si="13"/>
        <v>16 GB</v>
      </c>
    </row>
    <row r="193" spans="1:19">
      <c r="A193" t="str">
        <f>LEFT(B193, LEN(B193)-15)</f>
        <v>Apple MacBook Air M4 MC654HN/A Ultrabook (Apple M4/24 GB/512 GB SSD/macOS Sequoia)</v>
      </c>
      <c r="B193" t="s">
        <v>419</v>
      </c>
      <c r="C193" s="1">
        <v>134990</v>
      </c>
      <c r="D193" s="1">
        <v>68</v>
      </c>
      <c r="E193" s="2">
        <v>92</v>
      </c>
      <c r="F193" s="2" t="str" cm="1">
        <f t="array" ref="F193">_xlfn.IFS(AND(101&gt;E193, E193&gt;69), "Top-Tier", AND(70&gt;E193, E193&gt;39), "Mid-Tier", 40&gt;E193, "Low-Tier")</f>
        <v>Top-Tier</v>
      </c>
      <c r="G193" s="4">
        <v>45717</v>
      </c>
      <c r="H193" t="s">
        <v>414</v>
      </c>
      <c r="I193" t="s">
        <v>21</v>
      </c>
      <c r="J193" t="s">
        <v>28</v>
      </c>
      <c r="K193" t="s">
        <v>410</v>
      </c>
      <c r="L193" t="s">
        <v>24</v>
      </c>
      <c r="M193" t="s">
        <v>40</v>
      </c>
      <c r="P193" s="3">
        <v>85</v>
      </c>
      <c r="Q193" t="str">
        <f>LEFT(B193, 5)</f>
        <v>Apple</v>
      </c>
      <c r="R193" t="str">
        <f t="shared" si="16"/>
        <v>AMD Octa-Core Ryzen 7</v>
      </c>
      <c r="S193" t="str">
        <f t="shared" si="13"/>
        <v>24 GB</v>
      </c>
    </row>
    <row r="194" spans="1:19">
      <c r="A194" t="str">
        <f>LEFT(B194, LEN(B194)-15)</f>
        <v>Apple MacBook Air M4 MC6V4HN/A Ultrabook (Apple M4/24 GB/512 GB SSD/macOS Sequoia)</v>
      </c>
      <c r="B194" t="s">
        <v>420</v>
      </c>
      <c r="C194" s="1">
        <v>134990</v>
      </c>
      <c r="D194" s="1">
        <v>68</v>
      </c>
      <c r="E194" s="2">
        <v>92</v>
      </c>
      <c r="F194" s="2" t="str" cm="1">
        <f t="array" ref="F194">_xlfn.IFS(AND(101&gt;E194, E194&gt;69), "Top-Tier", AND(70&gt;E194, E194&gt;39), "Mid-Tier", 40&gt;E194, "Low-Tier")</f>
        <v>Top-Tier</v>
      </c>
      <c r="G194" s="4">
        <v>45717</v>
      </c>
      <c r="H194" t="s">
        <v>421</v>
      </c>
      <c r="I194" t="s">
        <v>21</v>
      </c>
      <c r="J194" t="s">
        <v>28</v>
      </c>
      <c r="K194" t="s">
        <v>410</v>
      </c>
      <c r="L194" t="s">
        <v>24</v>
      </c>
      <c r="M194" t="s">
        <v>40</v>
      </c>
      <c r="P194" s="3">
        <v>86</v>
      </c>
      <c r="Q194" t="str">
        <f>LEFT(B194, 5)</f>
        <v>Apple</v>
      </c>
      <c r="R194" t="str">
        <f t="shared" si="16"/>
        <v>AMD Octa-Core Ryzen 7</v>
      </c>
      <c r="S194" t="str">
        <f t="shared" si="13"/>
        <v>24 GB</v>
      </c>
    </row>
    <row r="195" spans="1:19">
      <c r="A195" t="str">
        <f>LEFT(B195, LEN(B195)-15)</f>
        <v>Apple MacBook Air M4 MW0Y3HN/A Ultrabook (Apple M4/16 GB/256 GB SSD/macOS Sequoia)</v>
      </c>
      <c r="B195" t="s">
        <v>422</v>
      </c>
      <c r="C195" s="1">
        <v>95990</v>
      </c>
      <c r="D195" s="1">
        <v>68</v>
      </c>
      <c r="E195" s="2">
        <v>92</v>
      </c>
      <c r="F195" s="2" t="str" cm="1">
        <f t="array" ref="F195">_xlfn.IFS(AND(101&gt;E195, E195&gt;69), "Top-Tier", AND(70&gt;E195, E195&gt;39), "Mid-Tier", 40&gt;E195, "Low-Tier")</f>
        <v>Top-Tier</v>
      </c>
      <c r="G195" s="4">
        <v>45717</v>
      </c>
      <c r="H195" t="s">
        <v>421</v>
      </c>
      <c r="I195" t="s">
        <v>21</v>
      </c>
      <c r="J195" t="s">
        <v>22</v>
      </c>
      <c r="K195" t="s">
        <v>410</v>
      </c>
      <c r="L195" t="s">
        <v>24</v>
      </c>
      <c r="M195" t="s">
        <v>40</v>
      </c>
      <c r="P195" s="3">
        <v>84</v>
      </c>
      <c r="Q195" t="str">
        <f>LEFT(B195, 5)</f>
        <v>Apple</v>
      </c>
      <c r="R195" t="str">
        <f t="shared" si="16"/>
        <v>AMD Octa-Core Ryzen 7</v>
      </c>
      <c r="S195" t="str">
        <f t="shared" ref="S195:S258" si="17">LEFT(J195, 5)</f>
        <v>16 GB</v>
      </c>
    </row>
    <row r="196" spans="1:19">
      <c r="A196" t="str">
        <f>LEFT(B196, LEN(B196)-15)</f>
        <v>Apple MacBook Air M4 MC6A4HN/A Ultrabook (Apple M4/24 GB/512 GB SSD/macOS Sequoia)</v>
      </c>
      <c r="B196" t="s">
        <v>423</v>
      </c>
      <c r="C196" s="1">
        <v>134990</v>
      </c>
      <c r="D196" s="1">
        <v>68</v>
      </c>
      <c r="E196" s="2">
        <v>92</v>
      </c>
      <c r="F196" s="2" t="str" cm="1">
        <f t="array" ref="F196">_xlfn.IFS(AND(101&gt;E196, E196&gt;69), "Top-Tier", AND(70&gt;E196, E196&gt;39), "Mid-Tier", 40&gt;E196, "Low-Tier")</f>
        <v>Top-Tier</v>
      </c>
      <c r="G196" s="4">
        <v>45717</v>
      </c>
      <c r="H196" t="s">
        <v>421</v>
      </c>
      <c r="I196" t="s">
        <v>21</v>
      </c>
      <c r="J196" t="s">
        <v>28</v>
      </c>
      <c r="K196" t="s">
        <v>410</v>
      </c>
      <c r="L196" t="s">
        <v>24</v>
      </c>
      <c r="M196" t="s">
        <v>40</v>
      </c>
      <c r="P196" s="3">
        <v>86</v>
      </c>
      <c r="Q196" t="str">
        <f>LEFT(B196, 5)</f>
        <v>Apple</v>
      </c>
      <c r="R196" t="str">
        <f t="shared" si="16"/>
        <v>AMD Octa-Core Ryzen 7</v>
      </c>
      <c r="S196" t="str">
        <f t="shared" si="17"/>
        <v>24 GB</v>
      </c>
    </row>
    <row r="197" spans="1:19">
      <c r="A197" t="str">
        <f>LEFT(B197, LEN(B197)-15)</f>
        <v>Apple MacBook Air M4 MW103HN/A Ultrabook (Apple M4/16 GB/512 GB SSD/macOS Sequoia)</v>
      </c>
      <c r="B197" t="s">
        <v>424</v>
      </c>
      <c r="C197" s="1">
        <v>119900</v>
      </c>
      <c r="D197" s="1">
        <v>68</v>
      </c>
      <c r="E197" s="2">
        <v>92</v>
      </c>
      <c r="F197" s="2" t="str" cm="1">
        <f t="array" ref="F197">_xlfn.IFS(AND(101&gt;E197, E197&gt;69), "Top-Tier", AND(70&gt;E197, E197&gt;39), "Mid-Tier", 40&gt;E197, "Low-Tier")</f>
        <v>Top-Tier</v>
      </c>
      <c r="G197" s="4">
        <v>45717</v>
      </c>
      <c r="H197" t="s">
        <v>425</v>
      </c>
      <c r="I197" t="s">
        <v>21</v>
      </c>
      <c r="J197" t="s">
        <v>286</v>
      </c>
      <c r="K197" t="s">
        <v>410</v>
      </c>
      <c r="L197" t="s">
        <v>24</v>
      </c>
      <c r="M197" t="s">
        <v>40</v>
      </c>
      <c r="P197" s="3">
        <v>85</v>
      </c>
      <c r="Q197" t="str">
        <f>LEFT(B197, 5)</f>
        <v>Apple</v>
      </c>
      <c r="R197" t="str">
        <f t="shared" si="16"/>
        <v>AMD Octa-Core Ryzen 7</v>
      </c>
      <c r="S197" t="str">
        <f t="shared" si="17"/>
        <v>16 GB</v>
      </c>
    </row>
    <row r="198" spans="1:19">
      <c r="A198" t="str">
        <f>LEFT(B198, LEN(B198)-15)</f>
        <v>MSI Modern 14 C12MO-1401IN Laptop (Core i3 12th Gen/8 GB/512 GB SSD/Windows 11)</v>
      </c>
      <c r="B198" t="s">
        <v>426</v>
      </c>
      <c r="C198" s="1">
        <v>33490</v>
      </c>
      <c r="D198" s="1">
        <v>25</v>
      </c>
      <c r="E198" s="2">
        <v>92</v>
      </c>
      <c r="F198" s="2" t="str" cm="1">
        <f t="array" ref="F198">_xlfn.IFS(AND(101&gt;E198, E198&gt;69), "Top-Tier", AND(70&gt;E198, E198&gt;39), "Mid-Tier", 40&gt;E198, "Low-Tier")</f>
        <v>Top-Tier</v>
      </c>
      <c r="G198" s="4">
        <v>45566</v>
      </c>
      <c r="H198" t="s">
        <v>425</v>
      </c>
      <c r="I198" t="s">
        <v>33</v>
      </c>
      <c r="J198" t="s">
        <v>50</v>
      </c>
      <c r="K198" t="s">
        <v>427</v>
      </c>
      <c r="L198" t="s">
        <v>24</v>
      </c>
      <c r="M198" t="s">
        <v>428</v>
      </c>
      <c r="N198" t="s">
        <v>31</v>
      </c>
      <c r="P198" s="3">
        <v>76</v>
      </c>
      <c r="Q198" t="str">
        <f>LEFT(B198, 3)</f>
        <v>MSI</v>
      </c>
      <c r="R198" t="str">
        <f t="shared" si="16"/>
        <v>AMD Octa-Core Ryzen 7</v>
      </c>
      <c r="S198" t="str">
        <f t="shared" si="17"/>
        <v xml:space="preserve">8 GB </v>
      </c>
    </row>
    <row r="199" spans="1:19">
      <c r="A199" t="str">
        <f>LEFT(B199, LEN(B199)-15)</f>
        <v>Asus VivoBook S14 S3407VA-LY033WS Laptop (Core i5 13th Gen/16 GB/512 GB SSD/Windows 11)</v>
      </c>
      <c r="B199" t="s">
        <v>429</v>
      </c>
      <c r="C199" s="1">
        <v>67990</v>
      </c>
      <c r="D199" s="1">
        <v>13</v>
      </c>
      <c r="E199" s="2">
        <v>92</v>
      </c>
      <c r="F199" s="2" t="str" cm="1">
        <f t="array" ref="F199">_xlfn.IFS(AND(101&gt;E199, E199&gt;69), "Top-Tier", AND(70&gt;E199, E199&gt;39), "Mid-Tier", 40&gt;E199, "Low-Tier")</f>
        <v>Top-Tier</v>
      </c>
      <c r="G199" s="4">
        <v>45748</v>
      </c>
      <c r="H199" t="s">
        <v>425</v>
      </c>
      <c r="I199" t="s">
        <v>33</v>
      </c>
      <c r="J199" t="s">
        <v>54</v>
      </c>
      <c r="K199" t="s">
        <v>94</v>
      </c>
      <c r="L199" t="s">
        <v>24</v>
      </c>
      <c r="M199" t="s">
        <v>95</v>
      </c>
      <c r="N199" t="s">
        <v>31</v>
      </c>
      <c r="P199" s="3">
        <v>81</v>
      </c>
      <c r="Q199" t="str">
        <f>LEFT(B199, 4)</f>
        <v>Asus</v>
      </c>
      <c r="R199" t="str">
        <f t="shared" si="16"/>
        <v>AMD Octa-Core Ryzen 7</v>
      </c>
      <c r="S199" t="str">
        <f t="shared" si="17"/>
        <v>16 GB</v>
      </c>
    </row>
    <row r="200" spans="1:19">
      <c r="A200" t="str">
        <f>LEFT(B200, LEN(B200)-15)</f>
        <v>Asus VivoBook S14 S3407VA-LY037WS Laptop (Core i5 13th Gen/16 GB/512 GB SSD/Windows 11)</v>
      </c>
      <c r="B200" t="s">
        <v>430</v>
      </c>
      <c r="C200" s="1">
        <v>67990</v>
      </c>
      <c r="D200" s="1">
        <v>13</v>
      </c>
      <c r="E200" s="2">
        <v>92</v>
      </c>
      <c r="F200" s="2" t="str" cm="1">
        <f t="array" ref="F200">_xlfn.IFS(AND(101&gt;E200, E200&gt;69), "Top-Tier", AND(70&gt;E200, E200&gt;39), "Mid-Tier", 40&gt;E200, "Low-Tier")</f>
        <v>Top-Tier</v>
      </c>
      <c r="G200" s="4">
        <v>45748</v>
      </c>
      <c r="H200" t="s">
        <v>425</v>
      </c>
      <c r="I200" t="s">
        <v>33</v>
      </c>
      <c r="J200" t="s">
        <v>54</v>
      </c>
      <c r="K200" t="s">
        <v>94</v>
      </c>
      <c r="L200" t="s">
        <v>24</v>
      </c>
      <c r="M200" t="s">
        <v>95</v>
      </c>
      <c r="N200" t="s">
        <v>31</v>
      </c>
      <c r="P200" s="3">
        <v>81</v>
      </c>
      <c r="Q200" t="str">
        <f>LEFT(B200, 4)</f>
        <v>Asus</v>
      </c>
      <c r="R200" t="str">
        <f t="shared" si="16"/>
        <v>AMD Octa-Core Ryzen 7</v>
      </c>
      <c r="S200" t="str">
        <f t="shared" si="17"/>
        <v>16 GB</v>
      </c>
    </row>
    <row r="201" spans="1:19">
      <c r="A201" t="str">
        <f>LEFT(B201, LEN(B201)-15)</f>
        <v>Lenovo Yoga Slim 7 14ILL10 (83JX001LIN) Laptop (Core Ultra 5 Series 2 /32 GB/1 TB SSD/Windows 11)</v>
      </c>
      <c r="B201" t="s">
        <v>431</v>
      </c>
      <c r="C201" s="1">
        <v>113490</v>
      </c>
      <c r="D201" s="1">
        <v>10</v>
      </c>
      <c r="E201" s="2">
        <v>92</v>
      </c>
      <c r="F201" s="2" t="str" cm="1">
        <f t="array" ref="F201">_xlfn.IFS(AND(101&gt;E201, E201&gt;69), "Top-Tier", AND(70&gt;E201, E201&gt;39), "Mid-Tier", 40&gt;E201, "Low-Tier")</f>
        <v>Top-Tier</v>
      </c>
      <c r="G201" s="4">
        <v>45658</v>
      </c>
      <c r="H201" t="s">
        <v>432</v>
      </c>
      <c r="I201" t="s">
        <v>33</v>
      </c>
      <c r="J201" t="s">
        <v>58</v>
      </c>
      <c r="K201" t="s">
        <v>59</v>
      </c>
      <c r="L201" t="s">
        <v>24</v>
      </c>
      <c r="M201" t="s">
        <v>60</v>
      </c>
      <c r="N201" t="s">
        <v>31</v>
      </c>
      <c r="P201" s="3">
        <v>87</v>
      </c>
      <c r="Q201" t="str">
        <f>LEFT(B201, 6)</f>
        <v>Lenovo</v>
      </c>
      <c r="R201" t="str">
        <f t="shared" si="16"/>
        <v>AMD Octa-Core Ryzen 7</v>
      </c>
      <c r="S201" t="str">
        <f t="shared" si="17"/>
        <v>32 GB</v>
      </c>
    </row>
    <row r="202" spans="1:19">
      <c r="A202" t="str">
        <f>LEFT(B202, LEN(B202)-15)</f>
        <v>Lenovo Yoga Slim 7 14ILL10 (83JX001MIN) Laptop (Intel Core Ultra 7 Series 2 /32 GB/1 TB SSD/Windows 11)</v>
      </c>
      <c r="B202" t="s">
        <v>433</v>
      </c>
      <c r="C202" s="1">
        <v>153990</v>
      </c>
      <c r="D202" s="1">
        <v>10</v>
      </c>
      <c r="E202" s="2">
        <v>92</v>
      </c>
      <c r="F202" s="2" t="str" cm="1">
        <f t="array" ref="F202">_xlfn.IFS(AND(101&gt;E202, E202&gt;69), "Top-Tier", AND(70&gt;E202, E202&gt;39), "Mid-Tier", 40&gt;E202, "Low-Tier")</f>
        <v>Top-Tier</v>
      </c>
      <c r="G202" s="4">
        <v>45658</v>
      </c>
      <c r="H202" t="s">
        <v>432</v>
      </c>
      <c r="I202" t="s">
        <v>33</v>
      </c>
      <c r="J202" t="s">
        <v>58</v>
      </c>
      <c r="K202" t="s">
        <v>59</v>
      </c>
      <c r="L202" t="s">
        <v>24</v>
      </c>
      <c r="M202" t="s">
        <v>60</v>
      </c>
      <c r="N202" t="s">
        <v>31</v>
      </c>
      <c r="P202" s="3">
        <v>87</v>
      </c>
      <c r="Q202" t="str">
        <f>LEFT(B202, 6)</f>
        <v>Lenovo</v>
      </c>
      <c r="R202" t="str">
        <f t="shared" si="16"/>
        <v>AMD Octa-Core Ryzen 7</v>
      </c>
      <c r="S202" t="str">
        <f t="shared" si="17"/>
        <v>32 GB</v>
      </c>
    </row>
    <row r="203" spans="1:19">
      <c r="A203" t="str">
        <f>LEFT(B203, LEN(B203)-15)</f>
        <v>MSI Modern 14 C7M-283IN Laptop (AMD Hexa Core Ryzen 5/16 GB/512 GB SSD/Windows 11)</v>
      </c>
      <c r="B203" t="s">
        <v>434</v>
      </c>
      <c r="C203" s="1">
        <v>41990</v>
      </c>
      <c r="D203" s="1">
        <v>7</v>
      </c>
      <c r="E203" s="2">
        <v>92</v>
      </c>
      <c r="F203" s="2" t="str" cm="1">
        <f t="array" ref="F203">_xlfn.IFS(AND(101&gt;E203, E203&gt;69), "Top-Tier", AND(70&gt;E203, E203&gt;39), "Mid-Tier", 40&gt;E203, "Low-Tier")</f>
        <v>Top-Tier</v>
      </c>
      <c r="G203" s="4">
        <v>45717</v>
      </c>
      <c r="H203" t="s">
        <v>432</v>
      </c>
      <c r="I203" t="s">
        <v>33</v>
      </c>
      <c r="J203" t="s">
        <v>34</v>
      </c>
      <c r="K203" t="s">
        <v>149</v>
      </c>
      <c r="L203" t="s">
        <v>24</v>
      </c>
      <c r="M203" t="s">
        <v>428</v>
      </c>
      <c r="N203" t="s">
        <v>31</v>
      </c>
      <c r="P203" s="3">
        <v>76</v>
      </c>
      <c r="Q203" t="str">
        <f>LEFT(B203, 3)</f>
        <v>MSI</v>
      </c>
      <c r="R203" t="str">
        <f>LEFT(H203, 21)</f>
        <v>AMD Octa-Core Ryzen 7</v>
      </c>
      <c r="S203" t="str">
        <f t="shared" si="17"/>
        <v>16 GB</v>
      </c>
    </row>
    <row r="204" spans="1:19">
      <c r="A204" t="str">
        <f>LEFT(B204, LEN(B204)-15)</f>
        <v>Lenovo Legion 5 15IRX9 (83JJ000DIN) Laptop (Core i7 13th Gen/24 GB/512 GB SSD/Windows 11/8 GB)</v>
      </c>
      <c r="B204" t="s">
        <v>435</v>
      </c>
      <c r="C204" s="1">
        <v>107990</v>
      </c>
      <c r="D204" s="1">
        <v>180</v>
      </c>
      <c r="E204" s="2">
        <v>92</v>
      </c>
      <c r="F204" s="2" t="str" cm="1">
        <f t="array" ref="F204">_xlfn.IFS(AND(101&gt;E204, E204&gt;69), "Top-Tier", AND(70&gt;E204, E204&gt;39), "Mid-Tier", 40&gt;E204, "Low-Tier")</f>
        <v>Top-Tier</v>
      </c>
      <c r="G204" s="4">
        <v>45505</v>
      </c>
      <c r="H204" t="s">
        <v>432</v>
      </c>
      <c r="I204" t="s">
        <v>33</v>
      </c>
      <c r="J204" t="s">
        <v>436</v>
      </c>
      <c r="K204" t="s">
        <v>51</v>
      </c>
      <c r="L204" t="s">
        <v>24</v>
      </c>
      <c r="N204" t="s">
        <v>31</v>
      </c>
      <c r="Q204" t="str">
        <f>LEFT(B204, 6)</f>
        <v>Lenovo</v>
      </c>
      <c r="R204" t="str">
        <f t="shared" ref="R204:R231" si="18">LEFT(H204, 21)</f>
        <v>AMD Octa-Core Ryzen 7</v>
      </c>
      <c r="S204" t="str">
        <f t="shared" si="17"/>
        <v>24 GB</v>
      </c>
    </row>
    <row r="205" spans="1:19">
      <c r="A205" t="str">
        <f>LEFT(B205, LEN(B205)-15)</f>
        <v>Asus Zenbook Duo 14 Intel Evo UX482EA-HY777TS Laptop (Core i7 11th Gen/16 GB/1 TB SSD/Windows 10)</v>
      </c>
      <c r="B205" t="s">
        <v>437</v>
      </c>
      <c r="C205" s="1">
        <v>105871</v>
      </c>
      <c r="D205" s="1">
        <v>21</v>
      </c>
      <c r="E205" s="2">
        <v>92</v>
      </c>
      <c r="F205" s="2" t="str" cm="1">
        <f t="array" ref="F205">_xlfn.IFS(AND(101&gt;E205, E205&gt;69), "Top-Tier", AND(70&gt;E205, E205&gt;39), "Mid-Tier", 40&gt;E205, "Low-Tier")</f>
        <v>Top-Tier</v>
      </c>
      <c r="G205" s="4">
        <v>44287</v>
      </c>
      <c r="H205" t="s">
        <v>432</v>
      </c>
      <c r="I205" t="s">
        <v>248</v>
      </c>
      <c r="J205" t="s">
        <v>329</v>
      </c>
      <c r="K205" t="s">
        <v>149</v>
      </c>
      <c r="L205" t="s">
        <v>24</v>
      </c>
      <c r="M205" t="s">
        <v>203</v>
      </c>
      <c r="N205" t="s">
        <v>31</v>
      </c>
      <c r="O205" t="s">
        <v>152</v>
      </c>
      <c r="P205" s="3">
        <v>80</v>
      </c>
      <c r="Q205" t="str">
        <f>LEFT(B205, 4)</f>
        <v>Asus</v>
      </c>
      <c r="R205" t="str">
        <f t="shared" si="18"/>
        <v>AMD Octa-Core Ryzen 7</v>
      </c>
      <c r="S205" t="str">
        <f t="shared" si="17"/>
        <v>16 GB</v>
      </c>
    </row>
    <row r="206" spans="1:19">
      <c r="A206" t="str">
        <f>LEFT(B206, LEN(B206)-15)</f>
        <v>Acer Swift 5 SF514-52T (NX.GTMSI.015) Laptop (Core i7 8th Gen/8 GB/512 GB SSD/Windows 10)</v>
      </c>
      <c r="B206" t="s">
        <v>438</v>
      </c>
      <c r="C206" s="1">
        <v>98735</v>
      </c>
      <c r="D206" s="1">
        <v>598</v>
      </c>
      <c r="E206" s="2">
        <v>92</v>
      </c>
      <c r="F206" s="2" t="str" cm="1">
        <f t="array" ref="F206">_xlfn.IFS(AND(101&gt;E206, E206&gt;69), "Top-Tier", AND(70&gt;E206, E206&gt;39), "Mid-Tier", 40&gt;E206, "Low-Tier")</f>
        <v>Top-Tier</v>
      </c>
      <c r="H206" t="s">
        <v>432</v>
      </c>
      <c r="I206" t="s">
        <v>248</v>
      </c>
      <c r="J206" t="s">
        <v>50</v>
      </c>
      <c r="K206" t="s">
        <v>439</v>
      </c>
      <c r="L206" t="s">
        <v>24</v>
      </c>
      <c r="M206" t="s">
        <v>108</v>
      </c>
      <c r="N206" t="s">
        <v>31</v>
      </c>
      <c r="O206" t="s">
        <v>261</v>
      </c>
      <c r="Q206" t="str">
        <f>LEFT(B206, 4)</f>
        <v>Acer</v>
      </c>
      <c r="R206" t="str">
        <f t="shared" si="18"/>
        <v>AMD Octa-Core Ryzen 7</v>
      </c>
      <c r="S206" t="str">
        <f t="shared" si="17"/>
        <v xml:space="preserve">8 GB </v>
      </c>
    </row>
    <row r="207" spans="1:19">
      <c r="A207" t="str">
        <f>LEFT(B207, LEN(B207)-15)</f>
        <v>Asus ROG Strix G531GT-AL271T Laptop (Core i5 9th Gen/8 GB/1 TB SSD/Windows 10/4 GB)</v>
      </c>
      <c r="B207" t="s">
        <v>440</v>
      </c>
      <c r="C207" s="1">
        <v>71990</v>
      </c>
      <c r="D207" s="1">
        <v>204</v>
      </c>
      <c r="E207" s="2">
        <v>92</v>
      </c>
      <c r="F207" s="2" t="str" cm="1">
        <f t="array" ref="F207">_xlfn.IFS(AND(101&gt;E207, E207&gt;69), "Top-Tier", AND(70&gt;E207, E207&gt;39), "Mid-Tier", 40&gt;E207, "Low-Tier")</f>
        <v>Top-Tier</v>
      </c>
      <c r="G207" s="4">
        <v>43983</v>
      </c>
      <c r="H207" t="s">
        <v>432</v>
      </c>
      <c r="I207" t="s">
        <v>248</v>
      </c>
      <c r="J207" t="s">
        <v>98</v>
      </c>
      <c r="K207" t="s">
        <v>249</v>
      </c>
      <c r="L207" t="s">
        <v>24</v>
      </c>
      <c r="N207" t="s">
        <v>31</v>
      </c>
      <c r="P207" s="3">
        <v>74</v>
      </c>
      <c r="Q207" t="str">
        <f>LEFT(B207, 4)</f>
        <v>Asus</v>
      </c>
      <c r="R207" t="str">
        <f t="shared" si="18"/>
        <v>AMD Octa-Core Ryzen 7</v>
      </c>
      <c r="S207" t="str">
        <f t="shared" si="17"/>
        <v xml:space="preserve">8 GB </v>
      </c>
    </row>
    <row r="208" spans="1:19">
      <c r="A208" t="str">
        <f>LEFT(B208, LEN(B208)-15)</f>
        <v>Asus VivoBook 15 X512FL-EJ205T Ultrabook (Core i7 8th Gen/8 GB/512 GB SSD/Windows 10/2 GB)</v>
      </c>
      <c r="B208" t="s">
        <v>441</v>
      </c>
      <c r="C208" s="1">
        <v>65990</v>
      </c>
      <c r="D208" s="1">
        <v>23</v>
      </c>
      <c r="E208" s="2">
        <v>92</v>
      </c>
      <c r="F208" s="2" t="str" cm="1">
        <f t="array" ref="F208">_xlfn.IFS(AND(101&gt;E208, E208&gt;69), "Top-Tier", AND(70&gt;E208, E208&gt;39), "Mid-Tier", 40&gt;E208, "Low-Tier")</f>
        <v>Top-Tier</v>
      </c>
      <c r="G208" s="4">
        <v>43617</v>
      </c>
      <c r="H208" t="s">
        <v>432</v>
      </c>
      <c r="I208" t="s">
        <v>248</v>
      </c>
      <c r="J208" t="s">
        <v>50</v>
      </c>
      <c r="K208" t="s">
        <v>249</v>
      </c>
      <c r="L208" t="s">
        <v>24</v>
      </c>
      <c r="M208" t="s">
        <v>52</v>
      </c>
      <c r="N208" t="s">
        <v>31</v>
      </c>
      <c r="Q208" t="str">
        <f>LEFT(B208, 4)</f>
        <v>Asus</v>
      </c>
      <c r="R208" t="str">
        <f t="shared" si="18"/>
        <v>AMD Octa-Core Ryzen 7</v>
      </c>
      <c r="S208" t="str">
        <f t="shared" si="17"/>
        <v xml:space="preserve">8 GB </v>
      </c>
    </row>
    <row r="209" spans="1:19">
      <c r="A209" t="str">
        <f>LEFT(B209, LEN(B209)-15)</f>
        <v>Acer Swift 3 SF315-52G (NX.GZASI.002) Laptop (Core i5 8th Gen/8 GB/1 TB 128 GB SSD/Windows 10/2 GB)</v>
      </c>
      <c r="B209" t="s">
        <v>442</v>
      </c>
      <c r="C209" s="1">
        <v>64990</v>
      </c>
      <c r="D209" s="1">
        <v>481</v>
      </c>
      <c r="E209" s="2">
        <v>92</v>
      </c>
      <c r="F209" s="2" t="str" cm="1">
        <f t="array" ref="F209">_xlfn.IFS(AND(101&gt;E209, E209&gt;69), "Top-Tier", AND(70&gt;E209, E209&gt;39), "Mid-Tier", 40&gt;E209, "Low-Tier")</f>
        <v>Top-Tier</v>
      </c>
      <c r="H209" t="s">
        <v>432</v>
      </c>
      <c r="I209" t="s">
        <v>248</v>
      </c>
      <c r="J209" t="s">
        <v>332</v>
      </c>
      <c r="K209" t="s">
        <v>249</v>
      </c>
      <c r="L209" t="s">
        <v>24</v>
      </c>
      <c r="M209" t="s">
        <v>178</v>
      </c>
      <c r="N209" t="s">
        <v>31</v>
      </c>
      <c r="O209" t="s">
        <v>152</v>
      </c>
      <c r="Q209" t="str">
        <f>LEFT(B209, 4)</f>
        <v>Acer</v>
      </c>
      <c r="R209" t="str">
        <f t="shared" si="18"/>
        <v>AMD Octa-Core Ryzen 7</v>
      </c>
      <c r="S209" t="str">
        <f t="shared" si="17"/>
        <v xml:space="preserve">8 GB </v>
      </c>
    </row>
    <row r="210" spans="1:19">
      <c r="A210" t="str">
        <f>LEFT(B210, LEN(B210)-15)</f>
        <v>Dell Vostro 3530 (VN3530XR6N1002ORG1) Laptop (Core i3 13th Gen/8 GB/512 GB SSD/Windows 11)</v>
      </c>
      <c r="B210" t="s">
        <v>443</v>
      </c>
      <c r="C210" s="1">
        <v>37490</v>
      </c>
      <c r="D210" s="1">
        <v>12</v>
      </c>
      <c r="E210" s="2">
        <v>92</v>
      </c>
      <c r="F210" s="2" t="str" cm="1">
        <f t="array" ref="F210">_xlfn.IFS(AND(101&gt;E210, E210&gt;69), "Top-Tier", AND(70&gt;E210, E210&gt;39), "Mid-Tier", 40&gt;E210, "Low-Tier")</f>
        <v>Top-Tier</v>
      </c>
      <c r="G210" s="4">
        <v>45627</v>
      </c>
      <c r="H210" t="s">
        <v>432</v>
      </c>
      <c r="I210" t="s">
        <v>33</v>
      </c>
      <c r="J210" t="s">
        <v>50</v>
      </c>
      <c r="K210" t="s">
        <v>51</v>
      </c>
      <c r="L210" t="s">
        <v>24</v>
      </c>
      <c r="M210" t="s">
        <v>444</v>
      </c>
      <c r="N210" t="s">
        <v>31</v>
      </c>
      <c r="P210" s="3">
        <v>73</v>
      </c>
      <c r="Q210" t="str">
        <f>LEFT(B210, 4)</f>
        <v>Dell</v>
      </c>
      <c r="R210" t="str">
        <f t="shared" si="18"/>
        <v>AMD Octa-Core Ryzen 7</v>
      </c>
      <c r="S210" t="str">
        <f t="shared" si="17"/>
        <v xml:space="preserve">8 GB </v>
      </c>
    </row>
    <row r="211" spans="1:19">
      <c r="A211" t="str">
        <f>LEFT(B211, LEN(B211)-15)</f>
        <v>Lenovo Yoga Slim 7 Aura Edition 15ILL9 (83HM004NIN) Laptop (Core Ultra 7/32 GB/1 TB SSD/Windows 11)</v>
      </c>
      <c r="B211" t="s">
        <v>445</v>
      </c>
      <c r="C211" s="1">
        <v>147990</v>
      </c>
      <c r="D211" s="1">
        <v>10</v>
      </c>
      <c r="E211" s="2">
        <v>92</v>
      </c>
      <c r="F211" s="2" t="str" cm="1">
        <f t="array" ref="F211">_xlfn.IFS(AND(101&gt;E211, E211&gt;69), "Top-Tier", AND(70&gt;E211, E211&gt;39), "Mid-Tier", 40&gt;E211, "Low-Tier")</f>
        <v>Top-Tier</v>
      </c>
      <c r="G211" s="4">
        <v>45597</v>
      </c>
      <c r="H211" t="s">
        <v>446</v>
      </c>
      <c r="I211" t="s">
        <v>33</v>
      </c>
      <c r="J211" t="s">
        <v>58</v>
      </c>
      <c r="K211" t="s">
        <v>447</v>
      </c>
      <c r="L211" t="s">
        <v>24</v>
      </c>
      <c r="M211" t="s">
        <v>60</v>
      </c>
      <c r="N211" t="s">
        <v>31</v>
      </c>
      <c r="Q211" t="str">
        <f>LEFT(B211, 6)</f>
        <v>Lenovo</v>
      </c>
      <c r="R211" t="str">
        <f t="shared" si="18"/>
        <v>AMD Octa-Core Ryzen 7</v>
      </c>
      <c r="S211" t="str">
        <f t="shared" si="17"/>
        <v>32 GB</v>
      </c>
    </row>
    <row r="212" spans="1:19">
      <c r="A212" t="str">
        <f>LEFT(B212, LEN(B212)-15)</f>
        <v>Samsung Galaxy Book 4 Pro NP940XGK-LG2IN Laptop (Core Ultra 7/16 GB/512 GB SSD/Windows 11)</v>
      </c>
      <c r="B212" t="s">
        <v>448</v>
      </c>
      <c r="C212" s="1">
        <v>139990</v>
      </c>
      <c r="D212" s="1">
        <v>52</v>
      </c>
      <c r="E212" s="2">
        <v>92</v>
      </c>
      <c r="F212" s="2" t="str" cm="1">
        <f t="array" ref="F212">_xlfn.IFS(AND(101&gt;E212, E212&gt;69), "Top-Tier", AND(70&gt;E212, E212&gt;39), "Mid-Tier", 40&gt;E212, "Low-Tier")</f>
        <v>Top-Tier</v>
      </c>
      <c r="G212" s="4">
        <v>45474</v>
      </c>
      <c r="H212" t="s">
        <v>449</v>
      </c>
      <c r="I212" t="s">
        <v>33</v>
      </c>
      <c r="J212" t="s">
        <v>63</v>
      </c>
      <c r="K212" t="s">
        <v>450</v>
      </c>
      <c r="L212" t="s">
        <v>24</v>
      </c>
      <c r="M212" t="s">
        <v>451</v>
      </c>
      <c r="N212" t="s">
        <v>31</v>
      </c>
      <c r="P212" s="3">
        <v>86</v>
      </c>
      <c r="Q212" t="str">
        <f>LEFT(B212, 7)</f>
        <v>Samsung</v>
      </c>
      <c r="R212" t="str">
        <f t="shared" si="18"/>
        <v>AMD Octa-Core Ryzen 7</v>
      </c>
      <c r="S212" t="str">
        <f t="shared" si="17"/>
        <v>16 GB</v>
      </c>
    </row>
    <row r="213" spans="1:19">
      <c r="A213" t="str">
        <f>LEFT(B213, LEN(B213)-15)</f>
        <v>Samsung Galaxy Book 4 Pro NP940XGK-KG2IN Laptop (Intel Core Ultra 7/16 GB/512 GB SSD/Windows 11)</v>
      </c>
      <c r="B213" t="s">
        <v>452</v>
      </c>
      <c r="C213" s="1">
        <v>121799</v>
      </c>
      <c r="D213" s="1">
        <v>54</v>
      </c>
      <c r="E213" s="2">
        <v>92</v>
      </c>
      <c r="F213" s="2" t="str" cm="1">
        <f t="array" ref="F213">_xlfn.IFS(AND(101&gt;E213, E213&gt;69), "Top-Tier", AND(70&gt;E213, E213&gt;39), "Mid-Tier", 40&gt;E213, "Low-Tier")</f>
        <v>Top-Tier</v>
      </c>
      <c r="G213" s="4">
        <v>45323</v>
      </c>
      <c r="H213" t="s">
        <v>449</v>
      </c>
      <c r="I213" t="s">
        <v>33</v>
      </c>
      <c r="J213" t="s">
        <v>214</v>
      </c>
      <c r="K213" t="s">
        <v>450</v>
      </c>
      <c r="L213" t="s">
        <v>24</v>
      </c>
      <c r="M213" t="s">
        <v>451</v>
      </c>
      <c r="N213" t="s">
        <v>31</v>
      </c>
      <c r="P213" s="3">
        <v>85</v>
      </c>
      <c r="Q213" t="str">
        <f>LEFT(B213, 7)</f>
        <v>Samsung</v>
      </c>
      <c r="R213" t="str">
        <f t="shared" si="18"/>
        <v>AMD Octa-Core Ryzen 7</v>
      </c>
      <c r="S213" t="str">
        <f t="shared" si="17"/>
        <v>16 GB</v>
      </c>
    </row>
    <row r="214" spans="1:19">
      <c r="A214" t="str">
        <f>LEFT(B214, LEN(B214)-15)</f>
        <v>Acer Predator Helios 300 PH315-51-785W (NH.Q47SI.001) Laptop (Core i7 8th Gen/8 GB/2 TB 16 GB SSD/Windows 10/6 GB)</v>
      </c>
      <c r="B214" t="s">
        <v>453</v>
      </c>
      <c r="C214" s="1">
        <v>99990</v>
      </c>
      <c r="D214" s="1">
        <v>64</v>
      </c>
      <c r="E214" s="2">
        <v>92</v>
      </c>
      <c r="F214" s="2" t="str" cm="1">
        <f t="array" ref="F214">_xlfn.IFS(AND(101&gt;E214, E214&gt;69), "Top-Tier", AND(70&gt;E214, E214&gt;39), "Mid-Tier", 40&gt;E214, "Low-Tier")</f>
        <v>Top-Tier</v>
      </c>
      <c r="G214" s="4">
        <v>43617</v>
      </c>
      <c r="H214" t="s">
        <v>449</v>
      </c>
      <c r="I214" t="s">
        <v>248</v>
      </c>
      <c r="J214" t="s">
        <v>454</v>
      </c>
      <c r="K214" t="s">
        <v>249</v>
      </c>
      <c r="L214" t="s">
        <v>24</v>
      </c>
      <c r="N214" t="s">
        <v>31</v>
      </c>
      <c r="O214" t="s">
        <v>261</v>
      </c>
      <c r="Q214" t="str">
        <f>LEFT(B214, 4)</f>
        <v>Acer</v>
      </c>
      <c r="R214" t="str">
        <f t="shared" si="18"/>
        <v>AMD Octa-Core Ryzen 7</v>
      </c>
      <c r="S214" t="str">
        <f t="shared" si="17"/>
        <v xml:space="preserve">8 GB </v>
      </c>
    </row>
    <row r="215" spans="1:19">
      <c r="A215" t="str">
        <f>LEFT(B215, LEN(B215)-15)</f>
        <v>Acer Predator Helios 300 PH315-51 (NH.Q4HSI.004) Laptop (Core i7 8th Gen/16 GB/1 TB 256 GB SSD/Windows 10/6 GB)</v>
      </c>
      <c r="B215" t="s">
        <v>455</v>
      </c>
      <c r="C215" s="1">
        <v>119990</v>
      </c>
      <c r="D215" s="1">
        <v>29</v>
      </c>
      <c r="E215" s="2">
        <v>92</v>
      </c>
      <c r="F215" s="2" t="str" cm="1">
        <f t="array" ref="F215">_xlfn.IFS(AND(101&gt;E215, E215&gt;69), "Top-Tier", AND(70&gt;E215, E215&gt;39), "Mid-Tier", 40&gt;E215, "Low-Tier")</f>
        <v>Top-Tier</v>
      </c>
      <c r="G215" s="4">
        <v>43435</v>
      </c>
      <c r="H215" t="s">
        <v>449</v>
      </c>
      <c r="I215" t="s">
        <v>248</v>
      </c>
      <c r="J215" t="s">
        <v>315</v>
      </c>
      <c r="K215" t="s">
        <v>249</v>
      </c>
      <c r="L215" t="s">
        <v>24</v>
      </c>
      <c r="N215" t="s">
        <v>31</v>
      </c>
      <c r="O215" t="s">
        <v>152</v>
      </c>
      <c r="Q215" t="str">
        <f>LEFT(B215, 4)</f>
        <v>Acer</v>
      </c>
      <c r="R215" t="str">
        <f t="shared" si="18"/>
        <v>AMD Octa-Core Ryzen 7</v>
      </c>
      <c r="S215" t="str">
        <f t="shared" si="17"/>
        <v>16 GB</v>
      </c>
    </row>
    <row r="216" spans="1:19">
      <c r="A216" t="str">
        <f>LEFT(B216, LEN(B216)-15)</f>
        <v>Asus Zenbook S 14 OLED UX5406SA-PZ357WS Laptop (Core Ultra 7/32 GB/1 TB SSD/Windows 11)</v>
      </c>
      <c r="B216" t="s">
        <v>456</v>
      </c>
      <c r="C216" s="1">
        <v>152499</v>
      </c>
      <c r="D216" s="1">
        <v>10</v>
      </c>
      <c r="E216" s="2">
        <v>92</v>
      </c>
      <c r="F216" s="2" t="str" cm="1">
        <f t="array" ref="F216">_xlfn.IFS(AND(101&gt;E216, E216&gt;69), "Top-Tier", AND(70&gt;E216, E216&gt;39), "Mid-Tier", 40&gt;E216, "Low-Tier")</f>
        <v>Top-Tier</v>
      </c>
      <c r="G216" s="4">
        <v>45536</v>
      </c>
      <c r="H216" t="s">
        <v>449</v>
      </c>
      <c r="I216" t="s">
        <v>33</v>
      </c>
      <c r="J216" t="s">
        <v>457</v>
      </c>
      <c r="K216" t="s">
        <v>81</v>
      </c>
      <c r="L216" t="s">
        <v>24</v>
      </c>
      <c r="M216" t="s">
        <v>458</v>
      </c>
      <c r="N216" t="s">
        <v>31</v>
      </c>
      <c r="Q216" t="str">
        <f>LEFT(B216, 4)</f>
        <v>Asus</v>
      </c>
      <c r="R216" t="str">
        <f t="shared" si="18"/>
        <v>AMD Octa-Core Ryzen 7</v>
      </c>
      <c r="S216" t="str">
        <f t="shared" si="17"/>
        <v>32 GB</v>
      </c>
    </row>
    <row r="217" spans="1:19">
      <c r="A217" t="str">
        <f>LEFT(B217, LEN(B217)-15)</f>
        <v>Infinix GTBook GL613 Laptop (Core i5 12th Gen/16 GB/512 GB SSD/Windows 11/6 GB)</v>
      </c>
      <c r="B217" t="s">
        <v>459</v>
      </c>
      <c r="C217" s="1">
        <v>53990</v>
      </c>
      <c r="D217" s="1">
        <v>39</v>
      </c>
      <c r="E217" s="2">
        <v>92</v>
      </c>
      <c r="F217" s="2" t="str" cm="1">
        <f t="array" ref="F217">_xlfn.IFS(AND(101&gt;E217, E217&gt;69), "Top-Tier", AND(70&gt;E217, E217&gt;39), "Mid-Tier", 40&gt;E217, "Low-Tier")</f>
        <v>Top-Tier</v>
      </c>
      <c r="G217" s="4">
        <v>45413</v>
      </c>
      <c r="H217" t="s">
        <v>460</v>
      </c>
      <c r="I217" t="s">
        <v>33</v>
      </c>
      <c r="J217" t="s">
        <v>63</v>
      </c>
      <c r="K217" t="s">
        <v>155</v>
      </c>
      <c r="L217" t="s">
        <v>24</v>
      </c>
      <c r="M217" t="s">
        <v>122</v>
      </c>
      <c r="N217" t="s">
        <v>31</v>
      </c>
      <c r="Q217" t="str">
        <f>LEFT(B217, 7)</f>
        <v>Infinix</v>
      </c>
      <c r="R217" t="str">
        <f t="shared" si="18"/>
        <v>AMD Octa-Core Ryzen 7</v>
      </c>
      <c r="S217" t="str">
        <f t="shared" si="17"/>
        <v>16 GB</v>
      </c>
    </row>
    <row r="218" spans="1:19">
      <c r="A218" t="str">
        <f>LEFT(B218, LEN(B218)-15)</f>
        <v>Acer ALG AL15G-52 (UN.34CSI.002) Laptop (Core i5 12th Gen/16 GB/512 GB SSD/Windows 11/4 GB)</v>
      </c>
      <c r="B218" t="s">
        <v>461</v>
      </c>
      <c r="C218" s="1">
        <v>53999</v>
      </c>
      <c r="D218" s="1">
        <v>36</v>
      </c>
      <c r="E218" s="2">
        <v>92</v>
      </c>
      <c r="F218" s="2" t="str" cm="1">
        <f t="array" ref="F218">_xlfn.IFS(AND(101&gt;E218, E218&gt;69), "Top-Tier", AND(70&gt;E218, E218&gt;39), "Mid-Tier", 40&gt;E218, "Low-Tier")</f>
        <v>Top-Tier</v>
      </c>
      <c r="G218" s="4">
        <v>45413</v>
      </c>
      <c r="H218" t="s">
        <v>460</v>
      </c>
      <c r="I218" t="s">
        <v>33</v>
      </c>
      <c r="J218" t="s">
        <v>34</v>
      </c>
      <c r="K218" t="s">
        <v>159</v>
      </c>
      <c r="L218" t="s">
        <v>24</v>
      </c>
      <c r="N218" t="s">
        <v>31</v>
      </c>
      <c r="P218" s="3">
        <v>84</v>
      </c>
      <c r="Q218" t="str">
        <f>LEFT(B218, 4)</f>
        <v>Acer</v>
      </c>
      <c r="R218" t="str">
        <f t="shared" si="18"/>
        <v>AMD Octa-Core Ryzen 7</v>
      </c>
      <c r="S218" t="str">
        <f t="shared" si="17"/>
        <v>16 GB</v>
      </c>
    </row>
    <row r="219" spans="1:19">
      <c r="A219" t="str">
        <f>LEFT(B219, LEN(B219)-15)</f>
        <v>Apple MacBook Air M3 MRXV3HN/A Ultrabook (Apple M3/8 GB/256 GB SSD/macOS Sonoma)</v>
      </c>
      <c r="B219" t="s">
        <v>462</v>
      </c>
      <c r="C219" s="1">
        <v>104990</v>
      </c>
      <c r="D219" s="1">
        <v>594</v>
      </c>
      <c r="E219" s="2">
        <v>92</v>
      </c>
      <c r="F219" s="2" t="str" cm="1">
        <f t="array" ref="F219">_xlfn.IFS(AND(101&gt;E219, E219&gt;69), "Top-Tier", AND(70&gt;E219, E219&gt;39), "Mid-Tier", 40&gt;E219, "Low-Tier")</f>
        <v>Top-Tier</v>
      </c>
      <c r="G219" s="4">
        <v>45352</v>
      </c>
      <c r="H219" t="s">
        <v>460</v>
      </c>
      <c r="I219" t="s">
        <v>189</v>
      </c>
      <c r="J219" t="s">
        <v>365</v>
      </c>
      <c r="K219" t="s">
        <v>39</v>
      </c>
      <c r="L219" t="s">
        <v>24</v>
      </c>
      <c r="M219" t="s">
        <v>40</v>
      </c>
      <c r="P219" s="3">
        <v>82</v>
      </c>
      <c r="Q219" t="str">
        <f>LEFT(B219, 5)</f>
        <v>Apple</v>
      </c>
      <c r="R219" t="str">
        <f t="shared" si="18"/>
        <v>AMD Octa-Core Ryzen 7</v>
      </c>
      <c r="S219" t="str">
        <f t="shared" si="17"/>
        <v xml:space="preserve">8 GB </v>
      </c>
    </row>
    <row r="220" spans="1:19">
      <c r="A220" t="str">
        <f>LEFT(B220, LEN(B220)-15)</f>
        <v>Apple MacBook Pro M3 MR7J3HN/A Ultrabook (Apple M3/8 GB/512 GB SSD/macOS Sonoma)</v>
      </c>
      <c r="B220" t="s">
        <v>463</v>
      </c>
      <c r="C220" s="1">
        <v>169900</v>
      </c>
      <c r="D220" s="1">
        <v>17</v>
      </c>
      <c r="E220" s="2">
        <v>92</v>
      </c>
      <c r="F220" s="2" t="str" cm="1">
        <f t="array" ref="F220">_xlfn.IFS(AND(101&gt;E220, E220&gt;69), "Top-Tier", AND(70&gt;E220, E220&gt;39), "Mid-Tier", 40&gt;E220, "Low-Tier")</f>
        <v>Top-Tier</v>
      </c>
      <c r="G220" s="4">
        <v>45231</v>
      </c>
      <c r="H220" t="s">
        <v>464</v>
      </c>
      <c r="I220" t="s">
        <v>189</v>
      </c>
      <c r="J220" t="s">
        <v>193</v>
      </c>
      <c r="K220" t="s">
        <v>29</v>
      </c>
      <c r="L220" t="s">
        <v>24</v>
      </c>
      <c r="M220" t="s">
        <v>30</v>
      </c>
      <c r="N220" t="s">
        <v>31</v>
      </c>
      <c r="P220" s="3">
        <v>77</v>
      </c>
      <c r="Q220" t="str">
        <f>LEFT(B220, 5)</f>
        <v>Apple</v>
      </c>
      <c r="R220" t="str">
        <f t="shared" si="18"/>
        <v>AMD Octa-Core Ryzen 7</v>
      </c>
      <c r="S220" t="str">
        <f t="shared" si="17"/>
        <v xml:space="preserve">8 GB </v>
      </c>
    </row>
    <row r="221" spans="1:19">
      <c r="A221" t="str">
        <f>LEFT(B221, LEN(B221)-15)</f>
        <v>Gigabyte G5 KF-E3IN313SH Laptop (Core i5 12th Gen/8 GB/512 GB SSD/Windows 11/8 GB)</v>
      </c>
      <c r="B221" t="s">
        <v>465</v>
      </c>
      <c r="C221" s="1">
        <v>94990</v>
      </c>
      <c r="D221" s="1">
        <v>37</v>
      </c>
      <c r="E221" s="2">
        <v>92</v>
      </c>
      <c r="F221" s="2" t="str" cm="1">
        <f t="array" ref="F221">_xlfn.IFS(AND(101&gt;E221, E221&gt;69), "Top-Tier", AND(70&gt;E221, E221&gt;39), "Mid-Tier", 40&gt;E221, "Low-Tier")</f>
        <v>Top-Tier</v>
      </c>
      <c r="G221" s="4">
        <v>45170</v>
      </c>
      <c r="H221" t="s">
        <v>464</v>
      </c>
      <c r="I221" t="s">
        <v>33</v>
      </c>
      <c r="J221" t="s">
        <v>50</v>
      </c>
      <c r="K221" t="s">
        <v>466</v>
      </c>
      <c r="L221" t="s">
        <v>24</v>
      </c>
      <c r="P221" s="3">
        <v>83</v>
      </c>
      <c r="Q221" t="str">
        <f>LEFT(B221, 8)</f>
        <v>Gigabyte</v>
      </c>
      <c r="R221" t="str">
        <f t="shared" si="18"/>
        <v>AMD Octa-Core Ryzen 7</v>
      </c>
      <c r="S221" t="str">
        <f t="shared" si="17"/>
        <v xml:space="preserve">8 GB </v>
      </c>
    </row>
    <row r="222" spans="1:19">
      <c r="A222" t="str">
        <f>LEFT(B222, LEN(B222)-15)</f>
        <v>Apple MacBook Air M2 MQKR3HN/A Ultrabook (Apple M2/8 GB/256 GB SSD/macOS Ventura)</v>
      </c>
      <c r="B222" t="s">
        <v>467</v>
      </c>
      <c r="C222" s="1">
        <v>119900</v>
      </c>
      <c r="D222" s="1">
        <v>295</v>
      </c>
      <c r="E222" s="2">
        <v>92</v>
      </c>
      <c r="F222" s="2" t="str" cm="1">
        <f t="array" ref="F222">_xlfn.IFS(AND(101&gt;E222, E222&gt;69), "Top-Tier", AND(70&gt;E222, E222&gt;39), "Mid-Tier", 40&gt;E222, "Low-Tier")</f>
        <v>Top-Tier</v>
      </c>
      <c r="G222" s="4">
        <v>45078</v>
      </c>
      <c r="H222" t="s">
        <v>464</v>
      </c>
      <c r="I222" t="s">
        <v>207</v>
      </c>
      <c r="J222" t="s">
        <v>468</v>
      </c>
      <c r="K222" t="s">
        <v>23</v>
      </c>
      <c r="L222" t="s">
        <v>24</v>
      </c>
      <c r="M222" t="s">
        <v>25</v>
      </c>
      <c r="P222" s="3">
        <v>73</v>
      </c>
      <c r="Q222" t="str">
        <f>LEFT(B222, 5)</f>
        <v>Apple</v>
      </c>
      <c r="R222" t="str">
        <f t="shared" si="18"/>
        <v>AMD Octa-Core Ryzen 7</v>
      </c>
      <c r="S222" t="str">
        <f t="shared" si="17"/>
        <v xml:space="preserve">8 GB </v>
      </c>
    </row>
    <row r="223" spans="1:19">
      <c r="A223" t="str">
        <f>LEFT(B223, LEN(B223)-15)</f>
        <v>Apple MacBook Air M2 MQKX3HN/A Laptop (Apple M2/8 GB/512 GB SSD/macOS Ventura)</v>
      </c>
      <c r="B223" t="s">
        <v>469</v>
      </c>
      <c r="C223" s="1">
        <v>130994</v>
      </c>
      <c r="D223" s="1">
        <v>295</v>
      </c>
      <c r="E223" s="2">
        <v>92</v>
      </c>
      <c r="F223" s="2" t="str" cm="1">
        <f t="array" ref="F223">_xlfn.IFS(AND(101&gt;E223, E223&gt;69), "Top-Tier", AND(70&gt;E223, E223&gt;39), "Mid-Tier", 40&gt;E223, "Low-Tier")</f>
        <v>Top-Tier</v>
      </c>
      <c r="G223" s="4">
        <v>45078</v>
      </c>
      <c r="H223" t="s">
        <v>470</v>
      </c>
      <c r="I223" t="s">
        <v>207</v>
      </c>
      <c r="J223" t="s">
        <v>193</v>
      </c>
      <c r="K223" t="s">
        <v>23</v>
      </c>
      <c r="L223" t="s">
        <v>24</v>
      </c>
      <c r="M223" t="s">
        <v>25</v>
      </c>
      <c r="P223" s="3">
        <v>74</v>
      </c>
      <c r="Q223" t="str">
        <f>LEFT(B223, 5)</f>
        <v>Apple</v>
      </c>
      <c r="R223" t="str">
        <f t="shared" si="18"/>
        <v>AMD Octa-Core Ryzen 7</v>
      </c>
      <c r="S223" t="str">
        <f t="shared" si="17"/>
        <v xml:space="preserve">8 GB </v>
      </c>
    </row>
    <row r="224" spans="1:19">
      <c r="A224" t="str">
        <f>LEFT(B224, LEN(B224)-15)</f>
        <v>Asus ROG Strix G16 G614JU-N3221WS Laptop (Core i5 13th Gen/16 GB/1 TB SSD/Windows 11/6 GB)</v>
      </c>
      <c r="B224" t="s">
        <v>471</v>
      </c>
      <c r="C224" s="1">
        <v>109990</v>
      </c>
      <c r="D224" s="1">
        <v>11</v>
      </c>
      <c r="E224" s="2">
        <v>92</v>
      </c>
      <c r="F224" s="2" t="str" cm="1">
        <f t="array" ref="F224">_xlfn.IFS(AND(101&gt;E224, E224&gt;69), "Top-Tier", AND(70&gt;E224, E224&gt;39), "Mid-Tier", 40&gt;E224, "Low-Tier")</f>
        <v>Top-Tier</v>
      </c>
      <c r="G224" s="4">
        <v>45047</v>
      </c>
      <c r="H224" t="s">
        <v>470</v>
      </c>
      <c r="I224" t="s">
        <v>33</v>
      </c>
      <c r="J224" t="s">
        <v>72</v>
      </c>
      <c r="K224" t="s">
        <v>155</v>
      </c>
      <c r="L224" t="s">
        <v>24</v>
      </c>
      <c r="N224" t="s">
        <v>31</v>
      </c>
      <c r="P224" s="3">
        <v>85</v>
      </c>
      <c r="Q224" t="str">
        <f>LEFT(B224, 4)</f>
        <v>Asus</v>
      </c>
      <c r="R224" t="str">
        <f t="shared" si="18"/>
        <v>AMD Octa-Core Ryzen 7</v>
      </c>
      <c r="S224" t="str">
        <f t="shared" si="17"/>
        <v>16 GB</v>
      </c>
    </row>
    <row r="225" spans="1:19">
      <c r="A225" t="str">
        <f>LEFT(B225, LEN(B225)-15)</f>
        <v>MSI Vector GP77 13VG-055IN Laptop (Core i7 13th Gen/32 GB/1 TB SSD/Windows 11/8 GB)</v>
      </c>
      <c r="B225" t="s">
        <v>472</v>
      </c>
      <c r="C225" s="1">
        <v>195990</v>
      </c>
      <c r="D225" s="1">
        <v>5</v>
      </c>
      <c r="E225" s="2">
        <v>92</v>
      </c>
      <c r="F225" s="2" t="str" cm="1">
        <f t="array" ref="F225">_xlfn.IFS(AND(101&gt;E225, E225&gt;69), "Top-Tier", AND(70&gt;E225, E225&gt;39), "Mid-Tier", 40&gt;E225, "Low-Tier")</f>
        <v>Top-Tier</v>
      </c>
      <c r="G225" s="4">
        <v>45047</v>
      </c>
      <c r="H225" t="s">
        <v>473</v>
      </c>
      <c r="I225" t="s">
        <v>33</v>
      </c>
      <c r="J225" t="s">
        <v>144</v>
      </c>
      <c r="K225" t="s">
        <v>322</v>
      </c>
      <c r="L225" t="s">
        <v>24</v>
      </c>
      <c r="Q225" t="str">
        <f>LEFT(B225, 3)</f>
        <v>MSI</v>
      </c>
      <c r="R225" t="str">
        <f t="shared" si="18"/>
        <v>AMD Octa-Core Ryzen 7</v>
      </c>
      <c r="S225" t="str">
        <f t="shared" si="17"/>
        <v>32 GB</v>
      </c>
    </row>
    <row r="226" spans="1:19">
      <c r="A226" t="str">
        <f>LEFT(B226, LEN(B226)-15)</f>
        <v>Asus ROG Strix Scar 18 G834JY-N6056WS Laptop (Core i9 13th Gen/32 GB/2 TB SSD/Windows 11/16 GB)</v>
      </c>
      <c r="B226" t="s">
        <v>474</v>
      </c>
      <c r="C226" s="1">
        <v>359990</v>
      </c>
      <c r="D226" s="1">
        <v>7</v>
      </c>
      <c r="E226" s="2">
        <v>92</v>
      </c>
      <c r="F226" s="2" t="str" cm="1">
        <f t="array" ref="F226">_xlfn.IFS(AND(101&gt;E226, E226&gt;69), "Top-Tier", AND(70&gt;E226, E226&gt;39), "Mid-Tier", 40&gt;E226, "Low-Tier")</f>
        <v>Top-Tier</v>
      </c>
      <c r="G226" s="4">
        <v>44986</v>
      </c>
      <c r="H226" t="s">
        <v>473</v>
      </c>
      <c r="I226" t="s">
        <v>33</v>
      </c>
      <c r="J226" t="s">
        <v>172</v>
      </c>
      <c r="K226" t="s">
        <v>475</v>
      </c>
      <c r="L226" t="s">
        <v>24</v>
      </c>
      <c r="N226" t="s">
        <v>31</v>
      </c>
      <c r="Q226" t="str">
        <f>LEFT(B226, 4)</f>
        <v>Asus</v>
      </c>
      <c r="R226" t="str">
        <f t="shared" si="18"/>
        <v>AMD Octa-Core Ryzen 7</v>
      </c>
      <c r="S226" t="str">
        <f t="shared" si="17"/>
        <v>32 GB</v>
      </c>
    </row>
    <row r="227" spans="1:19">
      <c r="A227" t="str">
        <f>LEFT(B227, LEN(B227)-15)</f>
        <v>MSI Modern 14 C12M-269IN Laptop (Core i3 12th Gen/8 GB/512 GB SSD/Windows 11)</v>
      </c>
      <c r="B227" t="s">
        <v>476</v>
      </c>
      <c r="C227" s="1">
        <v>45990</v>
      </c>
      <c r="D227" s="1">
        <v>17</v>
      </c>
      <c r="E227" s="2">
        <v>92</v>
      </c>
      <c r="F227" s="2" t="str" cm="1">
        <f t="array" ref="F227">_xlfn.IFS(AND(101&gt;E227, E227&gt;69), "Top-Tier", AND(70&gt;E227, E227&gt;39), "Mid-Tier", 40&gt;E227, "Low-Tier")</f>
        <v>Top-Tier</v>
      </c>
      <c r="G227" s="4">
        <v>44927</v>
      </c>
      <c r="H227" t="s">
        <v>477</v>
      </c>
      <c r="I227" t="s">
        <v>33</v>
      </c>
      <c r="J227" t="s">
        <v>50</v>
      </c>
      <c r="K227" t="s">
        <v>149</v>
      </c>
      <c r="L227" t="s">
        <v>24</v>
      </c>
      <c r="N227" t="s">
        <v>31</v>
      </c>
      <c r="Q227" t="str">
        <f>LEFT(B227, 3)</f>
        <v>MSI</v>
      </c>
      <c r="R227" t="str">
        <f t="shared" si="18"/>
        <v>AMD Octa-Core Ryzen 7</v>
      </c>
      <c r="S227" t="str">
        <f t="shared" si="17"/>
        <v xml:space="preserve">8 GB </v>
      </c>
    </row>
    <row r="228" spans="1:19">
      <c r="A228" t="str">
        <f>LEFT(B228, LEN(B228)-15)</f>
        <v>Lenovo ThinkBook 15 G2 (20VE00JUIN) Laptop (Core i7 11th Gen/16 GB/512 GB SSD/Windows 10)</v>
      </c>
      <c r="B228" t="s">
        <v>478</v>
      </c>
      <c r="C228" s="1">
        <v>140131</v>
      </c>
      <c r="D228" s="1">
        <v>10</v>
      </c>
      <c r="E228" s="2">
        <v>92</v>
      </c>
      <c r="F228" s="2" t="str" cm="1">
        <f t="array" ref="F228">_xlfn.IFS(AND(101&gt;E228, E228&gt;69), "Top-Tier", AND(70&gt;E228, E228&gt;39), "Mid-Tier", 40&gt;E228, "Low-Tier")</f>
        <v>Top-Tier</v>
      </c>
      <c r="G228" s="4">
        <v>44866</v>
      </c>
      <c r="H228" t="s">
        <v>479</v>
      </c>
      <c r="I228" t="s">
        <v>248</v>
      </c>
      <c r="J228" t="s">
        <v>34</v>
      </c>
      <c r="K228" t="s">
        <v>480</v>
      </c>
      <c r="L228" t="s">
        <v>24</v>
      </c>
      <c r="M228" t="s">
        <v>122</v>
      </c>
      <c r="N228" t="s">
        <v>31</v>
      </c>
      <c r="O228" t="s">
        <v>291</v>
      </c>
      <c r="P228" s="3">
        <v>73</v>
      </c>
      <c r="Q228" t="str">
        <f>LEFT(B228, 6)</f>
        <v>Lenovo</v>
      </c>
      <c r="R228" t="str">
        <f t="shared" si="18"/>
        <v>AMD Octa-Core Ryzen 7</v>
      </c>
      <c r="S228" t="str">
        <f t="shared" si="17"/>
        <v>16 GB</v>
      </c>
    </row>
    <row r="229" spans="1:19">
      <c r="A229" t="str">
        <f>LEFT(B229, LEN(B229)-15)</f>
        <v>Asus VivoBook Flip 14 TM420UA-EC701TS Laptop (AMD Octa Core Ryzen 7/8 GB/512 GB SSD/Windows 10)</v>
      </c>
      <c r="B229" t="s">
        <v>481</v>
      </c>
      <c r="C229" s="1">
        <v>69990</v>
      </c>
      <c r="D229" s="1">
        <v>52</v>
      </c>
      <c r="E229" s="2">
        <v>92</v>
      </c>
      <c r="F229" s="2" t="str" cm="1">
        <f t="array" ref="F229">_xlfn.IFS(AND(101&gt;E229, E229&gt;69), "Top-Tier", AND(70&gt;E229, E229&gt;39), "Mid-Tier", 40&gt;E229, "Low-Tier")</f>
        <v>Top-Tier</v>
      </c>
      <c r="G229" s="4">
        <v>44866</v>
      </c>
      <c r="H229" t="s">
        <v>482</v>
      </c>
      <c r="I229" t="s">
        <v>248</v>
      </c>
      <c r="J229" t="s">
        <v>50</v>
      </c>
      <c r="K229" t="s">
        <v>149</v>
      </c>
      <c r="L229" t="s">
        <v>24</v>
      </c>
      <c r="M229" t="s">
        <v>483</v>
      </c>
      <c r="N229" t="s">
        <v>31</v>
      </c>
      <c r="Q229" t="str">
        <f>LEFT(B229, 4)</f>
        <v>Asus</v>
      </c>
      <c r="R229" t="str">
        <f t="shared" si="18"/>
        <v>AMD Octa-Core Ryzen 7</v>
      </c>
      <c r="S229" t="str">
        <f t="shared" si="17"/>
        <v xml:space="preserve">8 GB </v>
      </c>
    </row>
    <row r="230" spans="1:19">
      <c r="A230" t="str">
        <f>LEFT(B230, LEN(B230)-15)</f>
        <v>MSI Pulse GL66 11UDK-627IN Laptop (Core i7 11th Gen/16 GB/512 GB SSD/Windows 10/4 GB)</v>
      </c>
      <c r="B230" t="s">
        <v>484</v>
      </c>
      <c r="C230" s="1">
        <v>108990</v>
      </c>
      <c r="D230" s="1">
        <v>11</v>
      </c>
      <c r="E230" s="2">
        <v>92</v>
      </c>
      <c r="F230" s="2" t="str" cm="1">
        <f t="array" ref="F230">_xlfn.IFS(AND(101&gt;E230, E230&gt;69), "Top-Tier", AND(70&gt;E230, E230&gt;39), "Mid-Tier", 40&gt;E230, "Low-Tier")</f>
        <v>Top-Tier</v>
      </c>
      <c r="G230" s="4">
        <v>44866</v>
      </c>
      <c r="H230" t="s">
        <v>485</v>
      </c>
      <c r="I230" t="s">
        <v>248</v>
      </c>
      <c r="J230" t="s">
        <v>34</v>
      </c>
      <c r="K230" t="s">
        <v>249</v>
      </c>
      <c r="L230" t="s">
        <v>24</v>
      </c>
      <c r="N230" t="s">
        <v>31</v>
      </c>
      <c r="P230" s="3">
        <v>79</v>
      </c>
      <c r="Q230" t="str">
        <f>LEFT(B230, 3)</f>
        <v>MSI</v>
      </c>
      <c r="R230" t="str">
        <f t="shared" si="18"/>
        <v>AMD Octa-Core Ryzen 7</v>
      </c>
      <c r="S230" t="str">
        <f t="shared" si="17"/>
        <v>16 GB</v>
      </c>
    </row>
    <row r="231" spans="1:19">
      <c r="A231" t="str">
        <f>LEFT(B231, LEN(B231)-15)</f>
        <v>Asus TUF Gaming F15 FX506LHB-HN374WS Laptop (Core i5 10th Gen/16 GB/512 GB SSD/Windows 11/4 GB)</v>
      </c>
      <c r="B231" t="s">
        <v>486</v>
      </c>
      <c r="C231" s="1">
        <v>76900</v>
      </c>
      <c r="D231" s="1">
        <v>47</v>
      </c>
      <c r="E231" s="2">
        <v>92</v>
      </c>
      <c r="F231" s="2" t="str" cm="1">
        <f t="array" ref="F231">_xlfn.IFS(AND(101&gt;E231, E231&gt;69), "Top-Tier", AND(70&gt;E231, E231&gt;39), "Mid-Tier", 40&gt;E231, "Low-Tier")</f>
        <v>Top-Tier</v>
      </c>
      <c r="G231" s="4">
        <v>44774</v>
      </c>
      <c r="H231" t="s">
        <v>485</v>
      </c>
      <c r="I231" t="s">
        <v>33</v>
      </c>
      <c r="J231" t="s">
        <v>34</v>
      </c>
      <c r="K231" t="s">
        <v>159</v>
      </c>
      <c r="L231" t="s">
        <v>24</v>
      </c>
      <c r="O231" t="s">
        <v>152</v>
      </c>
      <c r="Q231" t="str">
        <f>LEFT(B231, 4)</f>
        <v>Asus</v>
      </c>
      <c r="R231" t="str">
        <f t="shared" si="18"/>
        <v>AMD Octa-Core Ryzen 7</v>
      </c>
      <c r="S231" t="str">
        <f t="shared" si="17"/>
        <v>16 GB</v>
      </c>
    </row>
    <row r="232" spans="1:19">
      <c r="A232" t="str">
        <f>LEFT(B232, LEN(B232)-15)</f>
        <v>Dell G15-5515 (D560542WIN9W) Laptop (AMD Hexa Core Ryzen 5/8 GB/512 GB SSD/Windows 10/4 GB)</v>
      </c>
      <c r="B232" t="s">
        <v>487</v>
      </c>
      <c r="C232" s="1">
        <v>77990</v>
      </c>
      <c r="D232" s="1">
        <v>217</v>
      </c>
      <c r="E232" s="2">
        <v>92</v>
      </c>
      <c r="F232" s="2" t="str" cm="1">
        <f t="array" ref="F232">_xlfn.IFS(AND(101&gt;E232, E232&gt;69), "Top-Tier", AND(70&gt;E232, E232&gt;39), "Mid-Tier", 40&gt;E232, "Low-Tier")</f>
        <v>Top-Tier</v>
      </c>
      <c r="G232" s="4">
        <v>44774</v>
      </c>
      <c r="H232" t="s">
        <v>488</v>
      </c>
      <c r="I232" t="s">
        <v>248</v>
      </c>
      <c r="J232" t="s">
        <v>50</v>
      </c>
      <c r="K232" t="s">
        <v>51</v>
      </c>
      <c r="L232" t="s">
        <v>24</v>
      </c>
      <c r="N232" t="s">
        <v>31</v>
      </c>
      <c r="P232" s="3">
        <v>79</v>
      </c>
      <c r="Q232" t="str">
        <f>LEFT(B232, 4)</f>
        <v>Dell</v>
      </c>
      <c r="R232" t="str">
        <f t="shared" ref="R232:R234" si="19">LEFT(H232, 21)</f>
        <v>AMD Octa-Core Ryzen 7</v>
      </c>
      <c r="S232" t="str">
        <f t="shared" si="17"/>
        <v xml:space="preserve">8 GB </v>
      </c>
    </row>
    <row r="233" spans="1:19">
      <c r="A233" t="str">
        <f>LEFT(B233, LEN(B233)-15)</f>
        <v>Lenovo Legion 5 Pro Gen 7 (82RG00EKIN) Laptop (AMD Octa Core Ryzen 7/32 GB/1 TB SSD/Windows 11/8 GB)</v>
      </c>
      <c r="B233" t="s">
        <v>489</v>
      </c>
      <c r="C233" s="1">
        <v>172791</v>
      </c>
      <c r="D233" s="1">
        <v>10</v>
      </c>
      <c r="E233" s="2">
        <v>92</v>
      </c>
      <c r="F233" s="2" t="str" cm="1">
        <f t="array" ref="F233">_xlfn.IFS(AND(101&gt;E233, E233&gt;69), "Top-Tier", AND(70&gt;E233, E233&gt;39), "Mid-Tier", 40&gt;E233, "Low-Tier")</f>
        <v>Top-Tier</v>
      </c>
      <c r="G233" s="4">
        <v>44743</v>
      </c>
      <c r="H233" t="s">
        <v>490</v>
      </c>
      <c r="I233" t="s">
        <v>33</v>
      </c>
      <c r="J233" t="s">
        <v>144</v>
      </c>
      <c r="K233" t="s">
        <v>117</v>
      </c>
      <c r="L233" t="s">
        <v>24</v>
      </c>
      <c r="M233" t="s">
        <v>52</v>
      </c>
      <c r="N233" t="s">
        <v>31</v>
      </c>
      <c r="P233" s="3">
        <v>87</v>
      </c>
      <c r="Q233" t="str">
        <f>LEFT(B233, 6)</f>
        <v>Lenovo</v>
      </c>
      <c r="R233" t="str">
        <f t="shared" si="19"/>
        <v>AMD Octa-Core Ryzen 7</v>
      </c>
      <c r="S233" t="str">
        <f t="shared" si="17"/>
        <v>32 GB</v>
      </c>
    </row>
    <row r="234" spans="1:19">
      <c r="A234" t="str">
        <f>LEFT(B234, LEN(B234)-15)</f>
        <v>MSI Sword 15 A12UD-471IN Laptop (Core i5 12th Gen/16 GB/512 GB SSD/Windows 11/4 GB)</v>
      </c>
      <c r="B234" t="s">
        <v>491</v>
      </c>
      <c r="C234" s="1">
        <v>75990</v>
      </c>
      <c r="D234" s="1">
        <v>88</v>
      </c>
      <c r="E234" s="2">
        <v>92</v>
      </c>
      <c r="F234" s="2" t="str" cm="1">
        <f t="array" ref="F234">_xlfn.IFS(AND(101&gt;E234, E234&gt;69), "Top-Tier", AND(70&gt;E234, E234&gt;39), "Mid-Tier", 40&gt;E234, "Low-Tier")</f>
        <v>Top-Tier</v>
      </c>
      <c r="G234" s="4">
        <v>44743</v>
      </c>
      <c r="H234" t="s">
        <v>490</v>
      </c>
      <c r="I234" t="s">
        <v>33</v>
      </c>
      <c r="J234" t="s">
        <v>34</v>
      </c>
      <c r="K234" t="s">
        <v>51</v>
      </c>
      <c r="L234" t="s">
        <v>24</v>
      </c>
      <c r="N234" t="s">
        <v>31</v>
      </c>
      <c r="P234" s="3">
        <v>82</v>
      </c>
      <c r="Q234" t="str">
        <f>LEFT(B234, 3)</f>
        <v>MSI</v>
      </c>
      <c r="R234" t="str">
        <f t="shared" si="19"/>
        <v>AMD Octa-Core Ryzen 7</v>
      </c>
      <c r="S234" t="str">
        <f t="shared" si="17"/>
        <v>16 GB</v>
      </c>
    </row>
    <row r="235" spans="1:19">
      <c r="A235" t="str">
        <f>LEFT(B235, LEN(B235)-15)</f>
        <v>Lenovo Legion 5 Pro Gen 7 (82RG009AIN) Laptop (AMD Octa Core Ryzen 7/16 GB/1 TB SSD/Windows 11/6 GB)</v>
      </c>
      <c r="B235" t="s">
        <v>492</v>
      </c>
      <c r="C235" s="1">
        <v>156999</v>
      </c>
      <c r="D235" s="1">
        <v>10</v>
      </c>
      <c r="E235" s="2">
        <v>92</v>
      </c>
      <c r="F235" s="2" t="str" cm="1">
        <f t="array" ref="F235">_xlfn.IFS(AND(101&gt;E235, E235&gt;69), "Top-Tier", AND(70&gt;E235, E235&gt;39), "Mid-Tier", 40&gt;E235, "Low-Tier")</f>
        <v>Top-Tier</v>
      </c>
      <c r="G235" s="4">
        <v>44713</v>
      </c>
      <c r="H235" t="s">
        <v>490</v>
      </c>
      <c r="I235" t="s">
        <v>33</v>
      </c>
      <c r="J235" t="s">
        <v>72</v>
      </c>
      <c r="K235" t="s">
        <v>117</v>
      </c>
      <c r="L235" t="s">
        <v>24</v>
      </c>
      <c r="N235" t="s">
        <v>31</v>
      </c>
      <c r="P235" s="3">
        <v>85</v>
      </c>
      <c r="Q235" t="str">
        <f>LEFT(B235, 6)</f>
        <v>Lenovo</v>
      </c>
      <c r="R235" t="str">
        <f>LEFT(H235, 21)</f>
        <v>AMD Octa-Core Ryzen 7</v>
      </c>
      <c r="S235" t="str">
        <f t="shared" si="17"/>
        <v>16 GB</v>
      </c>
    </row>
    <row r="236" spans="1:19">
      <c r="A236" t="str">
        <f>LEFT(B236, LEN(B236)-15)</f>
        <v>Samsung Galaxy Book 4 NP750XGJ-LG4IN Laptop (Core i3 13th Gen/8 GB/512 GB SSD/Windows 11)</v>
      </c>
      <c r="B236" t="s">
        <v>493</v>
      </c>
      <c r="C236" s="1">
        <v>36990</v>
      </c>
      <c r="D236" s="1">
        <v>4067</v>
      </c>
      <c r="E236" s="2">
        <v>90</v>
      </c>
      <c r="F236" s="2" t="str" cm="1">
        <f t="array" ref="F236">_xlfn.IFS(AND(101&gt;E236, E236&gt;69), "Top-Tier", AND(70&gt;E236, E236&gt;39), "Mid-Tier", 40&gt;E236, "Low-Tier")</f>
        <v>Top-Tier</v>
      </c>
      <c r="G236" s="4">
        <v>45536</v>
      </c>
      <c r="H236" t="s">
        <v>490</v>
      </c>
      <c r="I236" t="s">
        <v>33</v>
      </c>
      <c r="J236" t="s">
        <v>494</v>
      </c>
      <c r="K236" t="s">
        <v>466</v>
      </c>
      <c r="L236" t="s">
        <v>24</v>
      </c>
      <c r="M236" t="s">
        <v>357</v>
      </c>
      <c r="N236" t="s">
        <v>31</v>
      </c>
      <c r="P236" s="3">
        <v>72</v>
      </c>
      <c r="Q236" t="str">
        <f>LEFT(B236, 7)</f>
        <v>Samsung</v>
      </c>
      <c r="R236" t="str">
        <f>LEFT(H236, 21)</f>
        <v>AMD Octa-Core Ryzen 7</v>
      </c>
      <c r="S236" t="str">
        <f t="shared" si="17"/>
        <v xml:space="preserve">8 GB </v>
      </c>
    </row>
    <row r="237" spans="1:19">
      <c r="A237" t="str">
        <f>LEFT(B237, LEN(B237)-15)</f>
        <v>Apple MacBook Air M3 MRYR3HN/A Ultrabook (Apple M3/8 GB/256 GB SSD/macOS Sonoma)</v>
      </c>
      <c r="B237" t="s">
        <v>495</v>
      </c>
      <c r="C237" s="1">
        <v>134900</v>
      </c>
      <c r="D237" s="1">
        <v>50</v>
      </c>
      <c r="E237" s="2">
        <v>90</v>
      </c>
      <c r="F237" s="2" t="str" cm="1">
        <f t="array" ref="F237">_xlfn.IFS(AND(101&gt;E237, E237&gt;69), "Top-Tier", AND(70&gt;E237, E237&gt;39), "Mid-Tier", 40&gt;E237, "Low-Tier")</f>
        <v>Top-Tier</v>
      </c>
      <c r="G237" s="4">
        <v>45352</v>
      </c>
      <c r="H237" t="s">
        <v>490</v>
      </c>
      <c r="I237" t="s">
        <v>189</v>
      </c>
      <c r="J237" t="s">
        <v>365</v>
      </c>
      <c r="K237" t="s">
        <v>110</v>
      </c>
      <c r="L237" t="s">
        <v>24</v>
      </c>
      <c r="M237" t="s">
        <v>25</v>
      </c>
      <c r="P237" s="3">
        <v>83</v>
      </c>
      <c r="Q237" t="str">
        <f>LEFT(B237, 5)</f>
        <v>Apple</v>
      </c>
      <c r="R237" t="str">
        <f>LEFT(H237, 21)</f>
        <v>AMD Octa-Core Ryzen 7</v>
      </c>
      <c r="S237" t="str">
        <f t="shared" si="17"/>
        <v xml:space="preserve">8 GB </v>
      </c>
    </row>
    <row r="238" spans="1:19">
      <c r="A238" t="str">
        <f>LEFT(B238, LEN(B238)-15)</f>
        <v>Lenovo LOQ 15ARP9 Gen 9 (83JC0046IN) Laptop (AMD Octa Core Ryzen 7/24 GB/512 GB SSD/Windows 11/8 GB)</v>
      </c>
      <c r="B238" t="s">
        <v>496</v>
      </c>
      <c r="C238" s="1">
        <v>87990</v>
      </c>
      <c r="D238" s="1">
        <v>1009</v>
      </c>
      <c r="E238" s="2">
        <v>90</v>
      </c>
      <c r="F238" s="2" t="str" cm="1">
        <f t="array" ref="F238">_xlfn.IFS(AND(101&gt;E238, E238&gt;69), "Top-Tier", AND(70&gt;E238, E238&gt;39), "Mid-Tier", 40&gt;E238, "Low-Tier")</f>
        <v>Top-Tier</v>
      </c>
      <c r="G238" s="4">
        <v>45505</v>
      </c>
      <c r="H238" t="s">
        <v>490</v>
      </c>
      <c r="I238" t="s">
        <v>33</v>
      </c>
      <c r="J238" t="s">
        <v>436</v>
      </c>
      <c r="K238" t="s">
        <v>51</v>
      </c>
      <c r="L238" t="s">
        <v>24</v>
      </c>
      <c r="N238" t="s">
        <v>31</v>
      </c>
      <c r="Q238" t="str">
        <f>LEFT(B238, 6)</f>
        <v>Lenovo</v>
      </c>
      <c r="R238" t="str">
        <f t="shared" ref="R238:R245" si="20">LEFT(H238, 21)</f>
        <v>AMD Octa-Core Ryzen 7</v>
      </c>
      <c r="S238" t="str">
        <f t="shared" si="17"/>
        <v>24 GB</v>
      </c>
    </row>
    <row r="239" spans="1:19">
      <c r="A239" t="str">
        <f>LEFT(B239, LEN(B239)-15)</f>
        <v>Lenovo Ideapad S340 (81NB00F6IN) Laptop (AMD Quad Core Ryzen 5/8 GB/1 TB 256 GB SSD/Windows 10)</v>
      </c>
      <c r="B239" t="s">
        <v>497</v>
      </c>
      <c r="C239" s="1">
        <v>44990</v>
      </c>
      <c r="D239" s="1">
        <v>236</v>
      </c>
      <c r="E239" s="2">
        <v>90</v>
      </c>
      <c r="F239" s="2" t="str" cm="1">
        <f t="array" ref="F239">_xlfn.IFS(AND(101&gt;E239, E239&gt;69), "Top-Tier", AND(70&gt;E239, E239&gt;39), "Mid-Tier", 40&gt;E239, "Low-Tier")</f>
        <v>Top-Tier</v>
      </c>
      <c r="G239" s="4">
        <v>44044</v>
      </c>
      <c r="H239" t="s">
        <v>490</v>
      </c>
      <c r="I239" t="s">
        <v>248</v>
      </c>
      <c r="J239" t="s">
        <v>332</v>
      </c>
      <c r="K239" t="s">
        <v>439</v>
      </c>
      <c r="L239" t="s">
        <v>24</v>
      </c>
      <c r="M239" t="s">
        <v>95</v>
      </c>
      <c r="N239" t="s">
        <v>31</v>
      </c>
      <c r="Q239" t="str">
        <f>LEFT(B239, 6)</f>
        <v>Lenovo</v>
      </c>
      <c r="R239" t="str">
        <f t="shared" si="20"/>
        <v>AMD Octa-Core Ryzen 7</v>
      </c>
      <c r="S239" t="str">
        <f t="shared" si="17"/>
        <v xml:space="preserve">8 GB </v>
      </c>
    </row>
    <row r="240" spans="1:19">
      <c r="A240" t="str">
        <f>LEFT(B240, LEN(B240)-15)</f>
        <v>Lenovo LOQ 15ARP9 Gen 9 (83JC0045IN) Laptop (AMD Octa Core Ryzen 7/24 GB/512 GB SSD/Windows 11/6 GB)</v>
      </c>
      <c r="B240" t="s">
        <v>498</v>
      </c>
      <c r="C240" s="1">
        <v>79990</v>
      </c>
      <c r="D240" s="1">
        <v>1013</v>
      </c>
      <c r="E240" s="2">
        <v>90</v>
      </c>
      <c r="F240" s="2" t="str" cm="1">
        <f t="array" ref="F240">_xlfn.IFS(AND(101&gt;E240, E240&gt;69), "Top-Tier", AND(70&gt;E240, E240&gt;39), "Mid-Tier", 40&gt;E240, "Low-Tier")</f>
        <v>Top-Tier</v>
      </c>
      <c r="G240" s="4">
        <v>45505</v>
      </c>
      <c r="H240" t="s">
        <v>490</v>
      </c>
      <c r="I240" t="s">
        <v>33</v>
      </c>
      <c r="J240" t="s">
        <v>436</v>
      </c>
      <c r="K240" t="s">
        <v>51</v>
      </c>
      <c r="L240" t="s">
        <v>24</v>
      </c>
      <c r="N240" t="s">
        <v>31</v>
      </c>
      <c r="Q240" t="str">
        <f>LEFT(B240, 6)</f>
        <v>Lenovo</v>
      </c>
      <c r="R240" t="str">
        <f t="shared" si="20"/>
        <v>AMD Octa-Core Ryzen 7</v>
      </c>
      <c r="S240" t="str">
        <f t="shared" si="17"/>
        <v>24 GB</v>
      </c>
    </row>
    <row r="241" spans="1:19">
      <c r="A241" t="str">
        <f>LEFT(B241, LEN(B241)-15)</f>
        <v>Asus TUF Gaming A15 FA507NVR-LP204WS Laptop (AMD Octa Core Ryzen 7/16 GB/512 GB SSD/Windows 11/8 GB)</v>
      </c>
      <c r="B241" t="s">
        <v>499</v>
      </c>
      <c r="C241" s="1">
        <v>99990</v>
      </c>
      <c r="D241" s="1">
        <v>37</v>
      </c>
      <c r="E241" s="2">
        <v>90</v>
      </c>
      <c r="F241" s="2" t="str" cm="1">
        <f t="array" ref="F241">_xlfn.IFS(AND(101&gt;E241, E241&gt;69), "Top-Tier", AND(70&gt;E241, E241&gt;39), "Mid-Tier", 40&gt;E241, "Low-Tier")</f>
        <v>Top-Tier</v>
      </c>
      <c r="G241" s="4">
        <v>45658</v>
      </c>
      <c r="H241" t="s">
        <v>490</v>
      </c>
      <c r="I241" t="s">
        <v>33</v>
      </c>
      <c r="J241" t="s">
        <v>54</v>
      </c>
      <c r="K241" t="s">
        <v>51</v>
      </c>
      <c r="L241" t="s">
        <v>24</v>
      </c>
      <c r="N241" t="s">
        <v>31</v>
      </c>
      <c r="Q241" t="str">
        <f>LEFT(B241, 4)</f>
        <v>Asus</v>
      </c>
      <c r="R241" t="str">
        <f t="shared" si="20"/>
        <v>AMD Octa-Core Ryzen 7</v>
      </c>
      <c r="S241" t="str">
        <f t="shared" si="17"/>
        <v>16 GB</v>
      </c>
    </row>
    <row r="242" spans="1:19">
      <c r="A242" t="str">
        <f>LEFT(B242, LEN(B242)-15)</f>
        <v>HP Pavilion 15-eh1137AU (A30YHPA) Laptop (AMD Hexa Core Ryzen 5/8 GB/512 GB SSD/Windows 11)</v>
      </c>
      <c r="B242" t="s">
        <v>500</v>
      </c>
      <c r="C242" s="1">
        <v>51490</v>
      </c>
      <c r="D242" s="1">
        <v>1751</v>
      </c>
      <c r="E242" s="2">
        <v>90</v>
      </c>
      <c r="F242" s="2" t="str" cm="1">
        <f t="array" ref="F242">_xlfn.IFS(AND(101&gt;E242, E242&gt;69), "Top-Tier", AND(70&gt;E242, E242&gt;39), "Mid-Tier", 40&gt;E242, "Low-Tier")</f>
        <v>Top-Tier</v>
      </c>
      <c r="G242" s="4">
        <v>45627</v>
      </c>
      <c r="H242" t="s">
        <v>490</v>
      </c>
      <c r="I242" t="s">
        <v>33</v>
      </c>
      <c r="J242" t="s">
        <v>50</v>
      </c>
      <c r="K242" t="s">
        <v>51</v>
      </c>
      <c r="L242" t="s">
        <v>24</v>
      </c>
      <c r="N242" t="s">
        <v>31</v>
      </c>
      <c r="Q242" t="str">
        <f>LEFT(B242, 2)</f>
        <v>HP</v>
      </c>
      <c r="R242" t="str">
        <f t="shared" si="20"/>
        <v>AMD Octa-Core Ryzen 7</v>
      </c>
      <c r="S242" t="str">
        <f t="shared" si="17"/>
        <v xml:space="preserve">8 GB </v>
      </c>
    </row>
    <row r="243" spans="1:19">
      <c r="A243" t="str">
        <f>LEFT(B243, LEN(B243)-15)</f>
        <v>Asus Zenbook 14 OLED UX3405CA-PZ345WS Laptop (Core Ultra 5/16 GB/1 TB SSD/Windows 11)</v>
      </c>
      <c r="B243" t="s">
        <v>501</v>
      </c>
      <c r="C243" s="1">
        <v>107990</v>
      </c>
      <c r="D243" s="1">
        <v>17</v>
      </c>
      <c r="E243" s="2">
        <v>90</v>
      </c>
      <c r="F243" s="2" t="str" cm="1">
        <f t="array" ref="F243">_xlfn.IFS(AND(101&gt;E243, E243&gt;69), "Top-Tier", AND(70&gt;E243, E243&gt;39), "Mid-Tier", 40&gt;E243, "Low-Tier")</f>
        <v>Top-Tier</v>
      </c>
      <c r="G243" s="4">
        <v>45689</v>
      </c>
      <c r="H243" t="s">
        <v>502</v>
      </c>
      <c r="I243" t="s">
        <v>33</v>
      </c>
      <c r="J243" t="s">
        <v>42</v>
      </c>
      <c r="K243" t="s">
        <v>81</v>
      </c>
      <c r="L243" t="s">
        <v>24</v>
      </c>
      <c r="M243" t="s">
        <v>108</v>
      </c>
      <c r="N243" t="s">
        <v>31</v>
      </c>
      <c r="P243" s="3">
        <v>83</v>
      </c>
      <c r="Q243" t="str">
        <f>LEFT(B243, 4)</f>
        <v>Asus</v>
      </c>
      <c r="R243" t="str">
        <f t="shared" si="20"/>
        <v>AMD Octa-Core Ryzen 7</v>
      </c>
      <c r="S243" t="str">
        <f t="shared" si="17"/>
        <v>16 GB</v>
      </c>
    </row>
    <row r="244" spans="1:19">
      <c r="A244" t="str">
        <f>LEFT(B244, LEN(B244)-15)</f>
        <v>Asus Zenbook 14 OLED UX3405CA-PZ162WS Laptop (Core Ultra 5/16 GB/1 TB SSD/Windows 11)</v>
      </c>
      <c r="B244" t="s">
        <v>503</v>
      </c>
      <c r="C244" s="1">
        <v>107990</v>
      </c>
      <c r="D244" s="1">
        <v>17</v>
      </c>
      <c r="E244" s="2">
        <v>90</v>
      </c>
      <c r="F244" s="2" t="str" cm="1">
        <f t="array" ref="F244">_xlfn.IFS(AND(101&gt;E244, E244&gt;69), "Top-Tier", AND(70&gt;E244, E244&gt;39), "Mid-Tier", 40&gt;E244, "Low-Tier")</f>
        <v>Top-Tier</v>
      </c>
      <c r="G244" s="4">
        <v>45689</v>
      </c>
      <c r="H244" t="s">
        <v>502</v>
      </c>
      <c r="I244" t="s">
        <v>33</v>
      </c>
      <c r="J244" t="s">
        <v>42</v>
      </c>
      <c r="K244" t="s">
        <v>81</v>
      </c>
      <c r="L244" t="s">
        <v>24</v>
      </c>
      <c r="M244" t="s">
        <v>108</v>
      </c>
      <c r="N244" t="s">
        <v>31</v>
      </c>
      <c r="P244" s="3">
        <v>84</v>
      </c>
      <c r="Q244" t="str">
        <f>LEFT(B244, 4)</f>
        <v>Asus</v>
      </c>
      <c r="R244" t="str">
        <f t="shared" si="20"/>
        <v>AMD Octa-Core Ryzen 7</v>
      </c>
      <c r="S244" t="str">
        <f t="shared" si="17"/>
        <v>16 GB</v>
      </c>
    </row>
    <row r="245" spans="1:19">
      <c r="A245" t="str">
        <f>LEFT(B245, LEN(B245)-15)</f>
        <v>Asus TUF Gaming A15 FA507NVR-LP104WS Laptop (AMD Octa Core Ryzen 7/16 GB/512 GB SSD/Windows 11/8 GB)</v>
      </c>
      <c r="B245" t="s">
        <v>504</v>
      </c>
      <c r="C245" s="1">
        <v>98820</v>
      </c>
      <c r="D245" s="1">
        <v>102</v>
      </c>
      <c r="E245" s="2">
        <v>90</v>
      </c>
      <c r="F245" s="2" t="str" cm="1">
        <f t="array" ref="F245">_xlfn.IFS(AND(101&gt;E245, E245&gt;69), "Top-Tier", AND(70&gt;E245, E245&gt;39), "Mid-Tier", 40&gt;E245, "Low-Tier")</f>
        <v>Top-Tier</v>
      </c>
      <c r="G245" s="4">
        <v>45505</v>
      </c>
      <c r="H245" t="s">
        <v>505</v>
      </c>
      <c r="I245" t="s">
        <v>33</v>
      </c>
      <c r="J245" t="s">
        <v>54</v>
      </c>
      <c r="K245" t="s">
        <v>51</v>
      </c>
      <c r="L245" t="s">
        <v>24</v>
      </c>
      <c r="N245" t="s">
        <v>31</v>
      </c>
      <c r="Q245" t="str">
        <f>LEFT(B245, 4)</f>
        <v>Asus</v>
      </c>
      <c r="R245" t="str">
        <f t="shared" si="20"/>
        <v>AMD Octa-Core Ryzen 7</v>
      </c>
      <c r="S245" t="str">
        <f t="shared" si="17"/>
        <v>16 GB</v>
      </c>
    </row>
    <row r="246" spans="1:19">
      <c r="A246" t="str">
        <f>LEFT(B246, LEN(B246)-15)</f>
        <v>Apple MacBook Air M4 MC7A4HN/A Ultrabook (Apple M4/16 GB/256 GB SSD/macOS Sequoia)</v>
      </c>
      <c r="B246" t="s">
        <v>506</v>
      </c>
      <c r="C246" s="1">
        <v>117990</v>
      </c>
      <c r="D246" s="1">
        <v>14</v>
      </c>
      <c r="E246" s="2">
        <v>90</v>
      </c>
      <c r="F246" s="2" t="str" cm="1">
        <f t="array" ref="F246">_xlfn.IFS(AND(101&gt;E246, E246&gt;69), "Top-Tier", AND(70&gt;E246, E246&gt;39), "Mid-Tier", 40&gt;E246, "Low-Tier")</f>
        <v>Top-Tier</v>
      </c>
      <c r="G246" s="4">
        <v>45717</v>
      </c>
      <c r="H246" t="s">
        <v>505</v>
      </c>
      <c r="I246" t="s">
        <v>21</v>
      </c>
      <c r="J246" t="s">
        <v>22</v>
      </c>
      <c r="K246" t="s">
        <v>110</v>
      </c>
      <c r="L246" t="s">
        <v>24</v>
      </c>
      <c r="M246" t="s">
        <v>25</v>
      </c>
      <c r="P246" s="3">
        <v>85</v>
      </c>
      <c r="Q246" t="str">
        <f>LEFT(B246, 5)</f>
        <v>Apple</v>
      </c>
      <c r="R246" t="str">
        <f>LEFT(H246, 21)</f>
        <v>AMD Octa-Core Ryzen 7</v>
      </c>
      <c r="S246" t="str">
        <f t="shared" si="17"/>
        <v>16 GB</v>
      </c>
    </row>
    <row r="247" spans="1:19">
      <c r="A247" t="str">
        <f>LEFT(B247, LEN(B247)-15)</f>
        <v>Apple MacBook Air M4 MC6L4HN/A Ultrabook (Apple M4/24 GB/512 GB SSD/macOS Sequoia)</v>
      </c>
      <c r="B247" t="s">
        <v>507</v>
      </c>
      <c r="C247" s="1">
        <v>154990</v>
      </c>
      <c r="D247" s="1">
        <v>14</v>
      </c>
      <c r="E247" s="2">
        <v>90</v>
      </c>
      <c r="F247" s="2" t="str" cm="1">
        <f t="array" ref="F247">_xlfn.IFS(AND(101&gt;E247, E247&gt;69), "Top-Tier", AND(70&gt;E247, E247&gt;39), "Mid-Tier", 40&gt;E247, "Low-Tier")</f>
        <v>Top-Tier</v>
      </c>
      <c r="G247" s="4">
        <v>45717</v>
      </c>
      <c r="H247" t="s">
        <v>505</v>
      </c>
      <c r="I247" t="s">
        <v>21</v>
      </c>
      <c r="J247" t="s">
        <v>28</v>
      </c>
      <c r="K247" t="s">
        <v>110</v>
      </c>
      <c r="L247" t="s">
        <v>24</v>
      </c>
      <c r="M247" t="s">
        <v>25</v>
      </c>
      <c r="P247" s="3">
        <v>86</v>
      </c>
      <c r="Q247" t="str">
        <f>LEFT(B247, 5)</f>
        <v>Apple</v>
      </c>
      <c r="R247" t="str">
        <f>LEFT(H247, 21)</f>
        <v>AMD Octa-Core Ryzen 7</v>
      </c>
      <c r="S247" t="str">
        <f t="shared" si="17"/>
        <v>24 GB</v>
      </c>
    </row>
    <row r="248" spans="1:19">
      <c r="A248" t="str">
        <f>LEFT(B248, LEN(B248)-15)</f>
        <v>Apple MacBook Air M4 MW1J3HN/A Ultrabook (Apple M4/16 GB/256 GB SSD/macOS Sequoia)</v>
      </c>
      <c r="B248" t="s">
        <v>508</v>
      </c>
      <c r="C248" s="1">
        <v>121990</v>
      </c>
      <c r="D248" s="1">
        <v>14</v>
      </c>
      <c r="E248" s="2">
        <v>90</v>
      </c>
      <c r="F248" s="2" t="str" cm="1">
        <f t="array" ref="F248">_xlfn.IFS(AND(101&gt;E248, E248&gt;69), "Top-Tier", AND(70&gt;E248, E248&gt;39), "Mid-Tier", 40&gt;E248, "Low-Tier")</f>
        <v>Top-Tier</v>
      </c>
      <c r="G248" s="4">
        <v>45717</v>
      </c>
      <c r="H248" t="s">
        <v>505</v>
      </c>
      <c r="I248" t="s">
        <v>21</v>
      </c>
      <c r="J248" t="s">
        <v>22</v>
      </c>
      <c r="K248" t="s">
        <v>110</v>
      </c>
      <c r="L248" t="s">
        <v>24</v>
      </c>
      <c r="M248" t="s">
        <v>25</v>
      </c>
      <c r="P248" s="3">
        <v>85</v>
      </c>
      <c r="Q248" t="str">
        <f>LEFT(B248, 5)</f>
        <v>Apple</v>
      </c>
      <c r="R248" t="str">
        <f>LEFT(H248, 21)</f>
        <v>AMD Octa-Core Ryzen 7</v>
      </c>
      <c r="S248" t="str">
        <f t="shared" si="17"/>
        <v>16 GB</v>
      </c>
    </row>
    <row r="249" spans="1:19">
      <c r="A249" t="str">
        <f>LEFT(B249, LEN(B249)-15)</f>
        <v>Apple MacBook Air M4 MC7C4HN/A Ultrabook (Apple M4/16 GB/512 GB SSD/macOS Sequoia)</v>
      </c>
      <c r="B249" t="s">
        <v>509</v>
      </c>
      <c r="C249" s="1">
        <v>139990</v>
      </c>
      <c r="D249" s="1">
        <v>14</v>
      </c>
      <c r="E249" s="2">
        <v>90</v>
      </c>
      <c r="F249" s="2" t="str" cm="1">
        <f t="array" ref="F249">_xlfn.IFS(AND(101&gt;E249, E249&gt;69), "Top-Tier", AND(70&gt;E249, E249&gt;39), "Mid-Tier", 40&gt;E249, "Low-Tier")</f>
        <v>Top-Tier</v>
      </c>
      <c r="G249" s="4">
        <v>45717</v>
      </c>
      <c r="H249" t="s">
        <v>505</v>
      </c>
      <c r="I249" t="s">
        <v>21</v>
      </c>
      <c r="J249" t="s">
        <v>286</v>
      </c>
      <c r="K249" t="s">
        <v>110</v>
      </c>
      <c r="L249" t="s">
        <v>24</v>
      </c>
      <c r="M249" t="s">
        <v>25</v>
      </c>
      <c r="P249" s="3">
        <v>86</v>
      </c>
      <c r="Q249" t="str">
        <f>LEFT(B249, 5)</f>
        <v>Apple</v>
      </c>
      <c r="R249" t="str">
        <f>LEFT(H249, 21)</f>
        <v>AMD Octa-Core Ryzen 7</v>
      </c>
      <c r="S249" t="str">
        <f t="shared" si="17"/>
        <v>16 GB</v>
      </c>
    </row>
    <row r="250" spans="1:19">
      <c r="A250" t="str">
        <f>LEFT(B250, LEN(B250)-15)</f>
        <v>Apple MacBook Air M4 MW1H3HN/A Ultrabook (Apple M4/16 GB/512 GB SSD/macOS Sequoia)</v>
      </c>
      <c r="B250" t="s">
        <v>510</v>
      </c>
      <c r="C250" s="1">
        <v>139990</v>
      </c>
      <c r="D250" s="1">
        <v>14</v>
      </c>
      <c r="E250" s="2">
        <v>90</v>
      </c>
      <c r="F250" s="2" t="str" cm="1">
        <f t="array" ref="F250">_xlfn.IFS(AND(101&gt;E250, E250&gt;69), "Top-Tier", AND(70&gt;E250, E250&gt;39), "Mid-Tier", 40&gt;E250, "Low-Tier")</f>
        <v>Top-Tier</v>
      </c>
      <c r="G250" s="4">
        <v>45717</v>
      </c>
      <c r="H250" t="s">
        <v>505</v>
      </c>
      <c r="I250" t="s">
        <v>21</v>
      </c>
      <c r="J250" t="s">
        <v>286</v>
      </c>
      <c r="K250" t="s">
        <v>110</v>
      </c>
      <c r="L250" t="s">
        <v>24</v>
      </c>
      <c r="M250" t="s">
        <v>25</v>
      </c>
      <c r="P250" s="3">
        <v>86</v>
      </c>
      <c r="Q250" t="str">
        <f>LEFT(B250, 5)</f>
        <v>Apple</v>
      </c>
      <c r="R250" t="str">
        <f>LEFT(H250, 21)</f>
        <v>AMD Octa-Core Ryzen 7</v>
      </c>
      <c r="S250" t="str">
        <f t="shared" si="17"/>
        <v>16 GB</v>
      </c>
    </row>
    <row r="251" spans="1:19">
      <c r="A251" t="str">
        <f>LEFT(B251, LEN(B251)-15)</f>
        <v>Apple MacBook Air M4 MW1K3HN/A Ultrabook (Apple M4/16 GB/512 GB SSD/macOS Sequoia)</v>
      </c>
      <c r="B251" t="s">
        <v>511</v>
      </c>
      <c r="C251" s="1">
        <v>139990</v>
      </c>
      <c r="D251" s="1">
        <v>14</v>
      </c>
      <c r="E251" s="2">
        <v>90</v>
      </c>
      <c r="F251" s="2" t="str" cm="1">
        <f t="array" ref="F251">_xlfn.IFS(AND(101&gt;E251, E251&gt;69), "Top-Tier", AND(70&gt;E251, E251&gt;39), "Mid-Tier", 40&gt;E251, "Low-Tier")</f>
        <v>Top-Tier</v>
      </c>
      <c r="G251" s="4">
        <v>45717</v>
      </c>
      <c r="H251" t="s">
        <v>505</v>
      </c>
      <c r="I251" t="s">
        <v>21</v>
      </c>
      <c r="J251" t="s">
        <v>286</v>
      </c>
      <c r="K251" t="s">
        <v>110</v>
      </c>
      <c r="L251" t="s">
        <v>24</v>
      </c>
      <c r="M251" t="s">
        <v>25</v>
      </c>
      <c r="P251" s="3">
        <v>86</v>
      </c>
      <c r="Q251" t="str">
        <f>LEFT(B251, 5)</f>
        <v>Apple</v>
      </c>
      <c r="R251" t="str">
        <f>LEFT(H251, 21)</f>
        <v>AMD Octa-Core Ryzen 7</v>
      </c>
      <c r="S251" t="str">
        <f t="shared" si="17"/>
        <v>16 GB</v>
      </c>
    </row>
    <row r="252" spans="1:19">
      <c r="A252" t="str">
        <f>LEFT(B252, LEN(B252)-15)</f>
        <v>MSI Modern 15 B7M-427IN Laptop (AMD Hexa Core Ryzen 5/16 GB/512 GB SSD/Windows 11)</v>
      </c>
      <c r="B252" t="s">
        <v>512</v>
      </c>
      <c r="C252" s="1">
        <v>42990</v>
      </c>
      <c r="D252" s="1">
        <v>11</v>
      </c>
      <c r="E252" s="2">
        <v>90</v>
      </c>
      <c r="F252" s="2" t="str" cm="1">
        <f t="array" ref="F252">_xlfn.IFS(AND(101&gt;E252, E252&gt;69), "Top-Tier", AND(70&gt;E252, E252&gt;39), "Mid-Tier", 40&gt;E252, "Low-Tier")</f>
        <v>Top-Tier</v>
      </c>
      <c r="G252" s="4">
        <v>45566</v>
      </c>
      <c r="H252" t="s">
        <v>505</v>
      </c>
      <c r="I252" t="s">
        <v>33</v>
      </c>
      <c r="J252" t="s">
        <v>34</v>
      </c>
      <c r="K252" t="s">
        <v>51</v>
      </c>
      <c r="L252" t="s">
        <v>24</v>
      </c>
      <c r="M252" t="s">
        <v>52</v>
      </c>
      <c r="N252" t="s">
        <v>31</v>
      </c>
      <c r="P252" s="3">
        <v>75</v>
      </c>
      <c r="Q252" t="str">
        <f>LEFT(B252, 3)</f>
        <v>MSI</v>
      </c>
      <c r="R252" t="str">
        <f>LEFT(H252, 21)</f>
        <v>AMD Octa-Core Ryzen 7</v>
      </c>
      <c r="S252" t="str">
        <f t="shared" si="17"/>
        <v>16 GB</v>
      </c>
    </row>
    <row r="253" spans="1:19">
      <c r="A253" t="str">
        <f>LEFT(B253, LEN(B253)-15)</f>
        <v>Lenovo IdeaPad 5 14IRH9 (83KX0018IN) Laptop (Core i5 13th Gen/16 GB/512 GB SSD/Windows 11)</v>
      </c>
      <c r="B253" t="s">
        <v>513</v>
      </c>
      <c r="C253" s="1">
        <v>72190</v>
      </c>
      <c r="D253" s="1">
        <v>50</v>
      </c>
      <c r="E253" s="2">
        <v>90</v>
      </c>
      <c r="F253" s="2" t="str" cm="1">
        <f t="array" ref="F253">_xlfn.IFS(AND(101&gt;E253, E253&gt;69), "Top-Tier", AND(70&gt;E253, E253&gt;39), "Mid-Tier", 40&gt;E253, "Low-Tier")</f>
        <v>Top-Tier</v>
      </c>
      <c r="G253" s="4">
        <v>45505</v>
      </c>
      <c r="H253" t="s">
        <v>514</v>
      </c>
      <c r="I253" t="s">
        <v>33</v>
      </c>
      <c r="J253" t="s">
        <v>63</v>
      </c>
      <c r="K253" t="s">
        <v>94</v>
      </c>
      <c r="L253" t="s">
        <v>24</v>
      </c>
      <c r="M253" t="s">
        <v>444</v>
      </c>
      <c r="N253" t="s">
        <v>31</v>
      </c>
      <c r="P253" s="3">
        <v>81</v>
      </c>
      <c r="Q253" t="str">
        <f>LEFT(B253, 6)</f>
        <v>Lenovo</v>
      </c>
      <c r="R253" t="str">
        <f t="shared" ref="R253:R257" si="21">LEFT(H253, 21)</f>
        <v>AMD Octa-Core Ryzen 7</v>
      </c>
      <c r="S253" t="str">
        <f t="shared" si="17"/>
        <v>16 GB</v>
      </c>
    </row>
    <row r="254" spans="1:19">
      <c r="A254" t="str">
        <f>LEFT(B254, LEN(B254)-15)</f>
        <v>Dell Inspiron 15 5515 (D560459WIN9SE) Laptop (AMD Hexa Core Ryzen 5/8 GB/512 GB SSD/Windows 10)</v>
      </c>
      <c r="B254" t="s">
        <v>515</v>
      </c>
      <c r="C254" s="1">
        <v>59790</v>
      </c>
      <c r="D254" s="1">
        <v>194</v>
      </c>
      <c r="E254" s="2">
        <v>90</v>
      </c>
      <c r="F254" s="2" t="str" cm="1">
        <f t="array" ref="F254">_xlfn.IFS(AND(101&gt;E254, E254&gt;69), "Top-Tier", AND(70&gt;E254, E254&gt;39), "Mid-Tier", 40&gt;E254, "Low-Tier")</f>
        <v>Top-Tier</v>
      </c>
      <c r="G254" s="4">
        <v>44378</v>
      </c>
      <c r="H254" t="s">
        <v>514</v>
      </c>
      <c r="I254" t="s">
        <v>248</v>
      </c>
      <c r="J254" t="s">
        <v>50</v>
      </c>
      <c r="K254" t="s">
        <v>249</v>
      </c>
      <c r="L254" t="s">
        <v>24</v>
      </c>
      <c r="M254" t="s">
        <v>253</v>
      </c>
      <c r="N254" t="s">
        <v>31</v>
      </c>
      <c r="O254" t="s">
        <v>291</v>
      </c>
      <c r="Q254" t="str">
        <f>LEFT(B254, 4)</f>
        <v>Dell</v>
      </c>
      <c r="R254" t="str">
        <f t="shared" si="21"/>
        <v>AMD Octa-Core Ryzen 7</v>
      </c>
      <c r="S254" t="str">
        <f t="shared" si="17"/>
        <v xml:space="preserve">8 GB </v>
      </c>
    </row>
    <row r="255" spans="1:19">
      <c r="A255" t="str">
        <f>LEFT(B255, LEN(B255)-15)</f>
        <v>MSI GF65 Thin 9SD-293IN Laptop (Core i7 9th Gen/16 GB/512 GB SSD/Windows 10/6 GB)</v>
      </c>
      <c r="B255" t="s">
        <v>516</v>
      </c>
      <c r="C255" s="1">
        <v>74990</v>
      </c>
      <c r="D255" s="1">
        <v>912</v>
      </c>
      <c r="E255" s="2">
        <v>90</v>
      </c>
      <c r="F255" s="2" t="str" cm="1">
        <f t="array" ref="F255">_xlfn.IFS(AND(101&gt;E255, E255&gt;69), "Top-Tier", AND(70&gt;E255, E255&gt;39), "Mid-Tier", 40&gt;E255, "Low-Tier")</f>
        <v>Top-Tier</v>
      </c>
      <c r="G255" s="4">
        <v>44044</v>
      </c>
      <c r="H255" t="s">
        <v>514</v>
      </c>
      <c r="I255" t="s">
        <v>248</v>
      </c>
      <c r="J255" t="s">
        <v>34</v>
      </c>
      <c r="K255" t="s">
        <v>249</v>
      </c>
      <c r="L255" t="s">
        <v>24</v>
      </c>
      <c r="M255" t="s">
        <v>113</v>
      </c>
      <c r="N255" t="s">
        <v>31</v>
      </c>
      <c r="P255" s="3">
        <v>79</v>
      </c>
      <c r="Q255" t="str">
        <f>LEFT(B255, 3)</f>
        <v>MSI</v>
      </c>
      <c r="R255" t="str">
        <f t="shared" si="21"/>
        <v>AMD Octa-Core Ryzen 7</v>
      </c>
      <c r="S255" t="str">
        <f t="shared" si="17"/>
        <v>16 GB</v>
      </c>
    </row>
    <row r="256" spans="1:19">
      <c r="A256" t="str">
        <f>LEFT(B256, LEN(B256)-15)</f>
        <v>MSI GF65 Thin 10SER-1258IN Laptop (Core i7 10th Gen/16 GB/512 GB SSD/Windows 10/6 GB)</v>
      </c>
      <c r="B256" t="s">
        <v>517</v>
      </c>
      <c r="C256" s="1">
        <v>92990</v>
      </c>
      <c r="D256" s="1">
        <v>275</v>
      </c>
      <c r="E256" s="2">
        <v>90</v>
      </c>
      <c r="F256" s="2" t="str" cm="1">
        <f t="array" ref="F256">_xlfn.IFS(AND(101&gt;E256, E256&gt;69), "Top-Tier", AND(70&gt;E256, E256&gt;39), "Mid-Tier", 40&gt;E256, "Low-Tier")</f>
        <v>Top-Tier</v>
      </c>
      <c r="G256" s="4">
        <v>44256</v>
      </c>
      <c r="H256" t="s">
        <v>518</v>
      </c>
      <c r="I256" t="s">
        <v>248</v>
      </c>
      <c r="J256" t="s">
        <v>34</v>
      </c>
      <c r="K256" t="s">
        <v>249</v>
      </c>
      <c r="L256" t="s">
        <v>24</v>
      </c>
      <c r="M256" t="s">
        <v>113</v>
      </c>
      <c r="N256" t="s">
        <v>31</v>
      </c>
      <c r="O256" t="s">
        <v>291</v>
      </c>
      <c r="P256" s="3">
        <v>80</v>
      </c>
      <c r="Q256" t="str">
        <f>LEFT(B256, 3)</f>
        <v>MSI</v>
      </c>
      <c r="R256" t="str">
        <f t="shared" si="21"/>
        <v>AMD Octa-Core Ryzen 7</v>
      </c>
      <c r="S256" t="str">
        <f t="shared" si="17"/>
        <v>16 GB</v>
      </c>
    </row>
    <row r="257" spans="1:19">
      <c r="A257" t="str">
        <f>LEFT(B257, LEN(B257)-15)</f>
        <v>Asus VivoBook 15 X512FL-EJ202T Ultrabook (Core i5 8th Gen/8 GB/512 GB SSD/Windows 10/2 GB)</v>
      </c>
      <c r="B257" t="s">
        <v>519</v>
      </c>
      <c r="C257" s="1">
        <v>55990</v>
      </c>
      <c r="D257" s="1">
        <v>53</v>
      </c>
      <c r="E257" s="2">
        <v>90</v>
      </c>
      <c r="F257" s="2" t="str" cm="1">
        <f t="array" ref="F257">_xlfn.IFS(AND(101&gt;E257, E257&gt;69), "Top-Tier", AND(70&gt;E257, E257&gt;39), "Mid-Tier", 40&gt;E257, "Low-Tier")</f>
        <v>Top-Tier</v>
      </c>
      <c r="G257" s="4">
        <v>43617</v>
      </c>
      <c r="H257" t="s">
        <v>518</v>
      </c>
      <c r="I257" t="s">
        <v>248</v>
      </c>
      <c r="J257" t="s">
        <v>50</v>
      </c>
      <c r="K257" t="s">
        <v>249</v>
      </c>
      <c r="L257" t="s">
        <v>24</v>
      </c>
      <c r="M257" t="s">
        <v>52</v>
      </c>
      <c r="N257" t="s">
        <v>31</v>
      </c>
      <c r="Q257" t="str">
        <f>LEFT(B257, 4)</f>
        <v>Asus</v>
      </c>
      <c r="R257" t="str">
        <f t="shared" si="21"/>
        <v>AMD Octa-Core Ryzen 7</v>
      </c>
      <c r="S257" t="str">
        <f t="shared" si="17"/>
        <v xml:space="preserve">8 GB </v>
      </c>
    </row>
    <row r="258" spans="1:19">
      <c r="A258" t="str">
        <f>LEFT(B258, LEN(B258)-15)</f>
        <v>Dell G15-5515 (D560804WIN9W) Laptop (AMD Hexa Core Ryzen 5/8 GB/512 GB SSD/Windows 11/4 GB)</v>
      </c>
      <c r="B258" t="s">
        <v>520</v>
      </c>
      <c r="C258" s="1">
        <v>71990</v>
      </c>
      <c r="D258" s="1">
        <v>174</v>
      </c>
      <c r="E258" s="2">
        <v>90</v>
      </c>
      <c r="F258" s="2" t="str" cm="1">
        <f t="array" ref="F258">_xlfn.IFS(AND(101&gt;E258, E258&gt;69), "Top-Tier", AND(70&gt;E258, E258&gt;39), "Mid-Tier", 40&gt;E258, "Low-Tier")</f>
        <v>Top-Tier</v>
      </c>
      <c r="G258" s="4">
        <v>44621</v>
      </c>
      <c r="H258" t="s">
        <v>518</v>
      </c>
      <c r="I258" t="s">
        <v>33</v>
      </c>
      <c r="J258" t="s">
        <v>50</v>
      </c>
      <c r="K258" t="s">
        <v>51</v>
      </c>
      <c r="L258" t="s">
        <v>24</v>
      </c>
      <c r="N258" t="s">
        <v>31</v>
      </c>
      <c r="P258" s="3">
        <v>79</v>
      </c>
      <c r="Q258" t="str">
        <f>LEFT(B258, 4)</f>
        <v>Dell</v>
      </c>
      <c r="R258" t="str">
        <f>LEFT(H258, 21)</f>
        <v>AMD Octa-Core Ryzen 7</v>
      </c>
      <c r="S258" t="str">
        <f t="shared" si="17"/>
        <v xml:space="preserve">8 GB </v>
      </c>
    </row>
    <row r="259" spans="1:19">
      <c r="A259" t="str">
        <f>LEFT(B259, LEN(B259)-15)</f>
        <v>Dell Inspiron 15 3535 (IN3535YM9GN001ORB1) Laptop (AMD Quad Core Ryzen 5/8 GB/512 GB SSD/Windows 11)</v>
      </c>
      <c r="B259" t="s">
        <v>521</v>
      </c>
      <c r="C259" s="1">
        <v>39490</v>
      </c>
      <c r="D259" s="1">
        <v>65</v>
      </c>
      <c r="E259" s="2">
        <v>90</v>
      </c>
      <c r="F259" s="2" t="str" cm="1">
        <f t="array" ref="F259">_xlfn.IFS(AND(101&gt;E259, E259&gt;69), "Top-Tier", AND(70&gt;E259, E259&gt;39), "Mid-Tier", 40&gt;E259, "Low-Tier")</f>
        <v>Top-Tier</v>
      </c>
      <c r="G259" s="4">
        <v>45597</v>
      </c>
      <c r="H259" t="s">
        <v>518</v>
      </c>
      <c r="I259" t="s">
        <v>33</v>
      </c>
      <c r="J259" t="s">
        <v>50</v>
      </c>
      <c r="K259" t="s">
        <v>51</v>
      </c>
      <c r="L259" t="s">
        <v>24</v>
      </c>
      <c r="M259" t="s">
        <v>122</v>
      </c>
      <c r="N259" t="s">
        <v>31</v>
      </c>
      <c r="Q259" t="str">
        <f>LEFT(B259, 4)</f>
        <v>Dell</v>
      </c>
      <c r="R259" t="str">
        <f t="shared" ref="R259:R260" si="22">LEFT(H259, 21)</f>
        <v>AMD Octa-Core Ryzen 7</v>
      </c>
      <c r="S259" t="str">
        <f t="shared" ref="S259:S322" si="23">LEFT(J259, 5)</f>
        <v xml:space="preserve">8 GB </v>
      </c>
    </row>
    <row r="260" spans="1:19">
      <c r="A260" t="str">
        <f>LEFT(B260, LEN(B260)-15)</f>
        <v>Asus VivoBook 15 X512DA-EJ1298TS Ultrabook (AMD Quad Core Ryzen 5/8 GB/1 TB 256 SSD/Windows 10)</v>
      </c>
      <c r="B260" t="s">
        <v>522</v>
      </c>
      <c r="C260" s="1">
        <v>47990</v>
      </c>
      <c r="D260" s="1">
        <v>449</v>
      </c>
      <c r="E260" s="2">
        <v>90</v>
      </c>
      <c r="F260" s="2" t="str" cm="1">
        <f t="array" ref="F260">_xlfn.IFS(AND(101&gt;E260, E260&gt;69), "Top-Tier", AND(70&gt;E260, E260&gt;39), "Mid-Tier", 40&gt;E260, "Low-Tier")</f>
        <v>Top-Tier</v>
      </c>
      <c r="G260" s="4">
        <v>44197</v>
      </c>
      <c r="H260" t="s">
        <v>518</v>
      </c>
      <c r="I260" t="s">
        <v>248</v>
      </c>
      <c r="J260" t="s">
        <v>332</v>
      </c>
      <c r="K260" t="s">
        <v>249</v>
      </c>
      <c r="L260" t="s">
        <v>24</v>
      </c>
      <c r="M260" t="s">
        <v>52</v>
      </c>
      <c r="N260" t="s">
        <v>31</v>
      </c>
      <c r="Q260" t="str">
        <f>LEFT(B260, 4)</f>
        <v>Asus</v>
      </c>
      <c r="R260" t="str">
        <f t="shared" si="22"/>
        <v>AMD Octa-Core Ryzen 7</v>
      </c>
      <c r="S260" t="str">
        <f t="shared" si="23"/>
        <v xml:space="preserve">8 GB </v>
      </c>
    </row>
    <row r="261" spans="1:19">
      <c r="A261" t="str">
        <f>LEFT(B261, LEN(B261)-15)</f>
        <v>Apple MacBook Air M3 MXD43HN/A Ultrabook (Apple M3/16 GB/512 GB SSD/macOS Sequoia)</v>
      </c>
      <c r="B261" t="s">
        <v>523</v>
      </c>
      <c r="C261" s="1">
        <v>139990</v>
      </c>
      <c r="D261" s="1">
        <v>52</v>
      </c>
      <c r="E261" s="2">
        <v>90</v>
      </c>
      <c r="F261" s="2" t="str" cm="1">
        <f t="array" ref="F261">_xlfn.IFS(AND(101&gt;E261, E261&gt;69), "Top-Tier", AND(70&gt;E261, E261&gt;39), "Mid-Tier", 40&gt;E261, "Low-Tier")</f>
        <v>Top-Tier</v>
      </c>
      <c r="G261" s="4">
        <v>45627</v>
      </c>
      <c r="H261" t="s">
        <v>518</v>
      </c>
      <c r="I261" t="s">
        <v>21</v>
      </c>
      <c r="J261" t="s">
        <v>286</v>
      </c>
      <c r="K261" t="s">
        <v>110</v>
      </c>
      <c r="L261" t="s">
        <v>24</v>
      </c>
      <c r="M261" t="s">
        <v>25</v>
      </c>
      <c r="P261" s="3">
        <v>84</v>
      </c>
      <c r="Q261" t="str">
        <f>LEFT(B261, 5)</f>
        <v>Apple</v>
      </c>
      <c r="R261" t="str">
        <f>LEFT(H261, 21)</f>
        <v>AMD Octa-Core Ryzen 7</v>
      </c>
      <c r="S261" t="str">
        <f t="shared" si="23"/>
        <v>16 GB</v>
      </c>
    </row>
    <row r="262" spans="1:19">
      <c r="A262" t="str">
        <f>LEFT(B262, LEN(B262)-15)</f>
        <v>HP Omen 15-en1036AX (3W218PA) Laptop (AMD Octa Core Ryzen 7/16 GB/1 TB SSD/Windows 10/6 GB)</v>
      </c>
      <c r="B262" t="s">
        <v>524</v>
      </c>
      <c r="C262" s="1">
        <v>113490</v>
      </c>
      <c r="D262" s="1">
        <v>636</v>
      </c>
      <c r="E262" s="2">
        <v>90</v>
      </c>
      <c r="F262" s="2" t="str" cm="1">
        <f t="array" ref="F262">_xlfn.IFS(AND(101&gt;E262, E262&gt;69), "Top-Tier", AND(70&gt;E262, E262&gt;39), "Mid-Tier", 40&gt;E262, "Low-Tier")</f>
        <v>Top-Tier</v>
      </c>
      <c r="G262" s="4">
        <v>44378</v>
      </c>
      <c r="H262" t="s">
        <v>518</v>
      </c>
      <c r="I262" t="s">
        <v>248</v>
      </c>
      <c r="J262" t="s">
        <v>184</v>
      </c>
      <c r="K262" t="s">
        <v>51</v>
      </c>
      <c r="L262" t="s">
        <v>24</v>
      </c>
      <c r="N262" t="s">
        <v>31</v>
      </c>
      <c r="O262" t="s">
        <v>291</v>
      </c>
      <c r="P262" s="3">
        <v>82</v>
      </c>
      <c r="Q262" t="str">
        <f>LEFT(B262, 2)</f>
        <v>HP</v>
      </c>
      <c r="R262" t="str">
        <f>LEFT(H262, 21)</f>
        <v>AMD Octa-Core Ryzen 7</v>
      </c>
      <c r="S262" t="str">
        <f t="shared" si="23"/>
        <v>16 GB</v>
      </c>
    </row>
    <row r="263" spans="1:19">
      <c r="A263" t="str">
        <f>LEFT(B263, LEN(B263)-15)</f>
        <v>Acer Nitro 5 AN515-51 (NH.Q2SSI.006) Laptop (Core i7 7th Gen/8 GB/1 TB 128 GB SSD/Windows 10/2 GB)</v>
      </c>
      <c r="B263" t="s">
        <v>525</v>
      </c>
      <c r="C263" s="1">
        <v>64999</v>
      </c>
      <c r="D263" s="1">
        <v>414</v>
      </c>
      <c r="E263" s="2">
        <v>90</v>
      </c>
      <c r="F263" s="2" t="str" cm="1">
        <f t="array" ref="F263">_xlfn.IFS(AND(101&gt;E263, E263&gt;69), "Top-Tier", AND(70&gt;E263, E263&gt;39), "Mid-Tier", 40&gt;E263, "Low-Tier")</f>
        <v>Top-Tier</v>
      </c>
      <c r="H263" t="s">
        <v>518</v>
      </c>
      <c r="I263" t="s">
        <v>248</v>
      </c>
      <c r="J263" t="s">
        <v>332</v>
      </c>
      <c r="K263" t="s">
        <v>249</v>
      </c>
      <c r="L263" t="s">
        <v>24</v>
      </c>
      <c r="N263" t="s">
        <v>31</v>
      </c>
      <c r="O263" t="s">
        <v>152</v>
      </c>
      <c r="Q263" t="str">
        <f>LEFT(B263, 4)</f>
        <v>Acer</v>
      </c>
      <c r="R263" t="str">
        <f t="shared" ref="R263:R266" si="24">LEFT(H263, 21)</f>
        <v>AMD Octa-Core Ryzen 7</v>
      </c>
      <c r="S263" t="str">
        <f t="shared" si="23"/>
        <v xml:space="preserve">8 GB </v>
      </c>
    </row>
    <row r="264" spans="1:19">
      <c r="A264" t="str">
        <f>LEFT(B264, LEN(B264)-15)</f>
        <v>Asus ROG Strix Scar 16 G635LW-RW157WS Laptop (Core Ultra 9 Series 2 /32 GB/2 TB SSD/Windows 11/16 GB)</v>
      </c>
      <c r="B264" t="s">
        <v>526</v>
      </c>
      <c r="C264" s="1">
        <v>379990</v>
      </c>
      <c r="D264" s="1">
        <v>2</v>
      </c>
      <c r="E264" s="2">
        <v>90</v>
      </c>
      <c r="F264" s="2" t="str" cm="1">
        <f t="array" ref="F264">_xlfn.IFS(AND(101&gt;E264, E264&gt;69), "Top-Tier", AND(70&gt;E264, E264&gt;39), "Mid-Tier", 40&gt;E264, "Low-Tier")</f>
        <v>Top-Tier</v>
      </c>
      <c r="G264" s="4">
        <v>45778</v>
      </c>
      <c r="H264" t="s">
        <v>518</v>
      </c>
      <c r="I264" t="s">
        <v>33</v>
      </c>
      <c r="J264" t="s">
        <v>172</v>
      </c>
      <c r="K264" t="s">
        <v>173</v>
      </c>
      <c r="L264" t="s">
        <v>24</v>
      </c>
      <c r="N264" t="s">
        <v>31</v>
      </c>
      <c r="Q264" t="str">
        <f>LEFT(B264, 4)</f>
        <v>Asus</v>
      </c>
      <c r="R264" t="str">
        <f t="shared" si="24"/>
        <v>AMD Octa-Core Ryzen 7</v>
      </c>
      <c r="S264" t="str">
        <f t="shared" si="23"/>
        <v>32 GB</v>
      </c>
    </row>
    <row r="265" spans="1:19">
      <c r="A265" t="str">
        <f>LEFT(B265, LEN(B265)-15)</f>
        <v>Asus Zenbook 14X OLED Space Edition UX5401ZAS-KN901WS Laptop (Core i9 12th Gen/32 GB/1 TB SSD/Windows 11)</v>
      </c>
      <c r="B265" t="s">
        <v>527</v>
      </c>
      <c r="C265" s="1">
        <v>149990</v>
      </c>
      <c r="D265" s="1">
        <v>22</v>
      </c>
      <c r="E265" s="2">
        <v>90</v>
      </c>
      <c r="F265" s="2" t="str" cm="1">
        <f t="array" ref="F265">_xlfn.IFS(AND(101&gt;E265, E265&gt;69), "Top-Tier", AND(70&gt;E265, E265&gt;39), "Mid-Tier", 40&gt;E265, "Low-Tier")</f>
        <v>Top-Tier</v>
      </c>
      <c r="G265" s="4">
        <v>44682</v>
      </c>
      <c r="H265" t="s">
        <v>518</v>
      </c>
      <c r="I265" t="s">
        <v>33</v>
      </c>
      <c r="J265" t="s">
        <v>457</v>
      </c>
      <c r="K265" t="s">
        <v>81</v>
      </c>
      <c r="L265" t="s">
        <v>24</v>
      </c>
      <c r="M265" t="s">
        <v>44</v>
      </c>
      <c r="N265" t="s">
        <v>31</v>
      </c>
      <c r="P265" s="3">
        <v>81</v>
      </c>
      <c r="Q265" t="str">
        <f>LEFT(B265, 4)</f>
        <v>Asus</v>
      </c>
      <c r="R265" t="str">
        <f t="shared" si="24"/>
        <v>AMD Octa-Core Ryzen 7</v>
      </c>
      <c r="S265" t="str">
        <f t="shared" si="23"/>
        <v>32 GB</v>
      </c>
    </row>
    <row r="266" spans="1:19">
      <c r="A266" t="str">
        <f>LEFT(B266, LEN(B266)-15)</f>
        <v>Asus Vivobook S410UA-EB606T Laptop (Core i3 7th Gen/8 GB/1 TB 128 GB SSD/Windows 10)</v>
      </c>
      <c r="B266" t="s">
        <v>528</v>
      </c>
      <c r="C266" s="1">
        <v>44990</v>
      </c>
      <c r="D266" s="1">
        <v>289</v>
      </c>
      <c r="E266" s="2">
        <v>90</v>
      </c>
      <c r="F266" s="2" t="str" cm="1">
        <f t="array" ref="F266">_xlfn.IFS(AND(101&gt;E266, E266&gt;69), "Top-Tier", AND(70&gt;E266, E266&gt;39), "Mid-Tier", 40&gt;E266, "Low-Tier")</f>
        <v>Top-Tier</v>
      </c>
      <c r="H266" t="s">
        <v>518</v>
      </c>
      <c r="I266" t="s">
        <v>248</v>
      </c>
      <c r="J266" t="s">
        <v>332</v>
      </c>
      <c r="K266" t="s">
        <v>439</v>
      </c>
      <c r="L266" t="s">
        <v>24</v>
      </c>
      <c r="M266" t="s">
        <v>529</v>
      </c>
      <c r="N266" t="s">
        <v>31</v>
      </c>
      <c r="O266" t="s">
        <v>152</v>
      </c>
      <c r="Q266" t="str">
        <f>LEFT(B266, 4)</f>
        <v>Asus</v>
      </c>
      <c r="R266" t="str">
        <f t="shared" si="24"/>
        <v>AMD Octa-Core Ryzen 7</v>
      </c>
      <c r="S266" t="str">
        <f t="shared" si="23"/>
        <v xml:space="preserve">8 GB </v>
      </c>
    </row>
    <row r="267" spans="1:19">
      <c r="A267" t="str">
        <f>LEFT(B267, LEN(B267)-15)</f>
        <v>HP Pavilion Gaming 15-ec2076AX (471C4PA) Laptop (AMD Octa Core Ryzen 7/16 GB/512 GB SSD/Windows 10/4 GB)</v>
      </c>
      <c r="B267" t="s">
        <v>530</v>
      </c>
      <c r="C267" s="1">
        <v>92490</v>
      </c>
      <c r="D267" s="1">
        <v>331</v>
      </c>
      <c r="E267" s="2">
        <v>90</v>
      </c>
      <c r="F267" s="2" t="str" cm="1">
        <f t="array" ref="F267">_xlfn.IFS(AND(101&gt;E267, E267&gt;69), "Top-Tier", AND(70&gt;E267, E267&gt;39), "Mid-Tier", 40&gt;E267, "Low-Tier")</f>
        <v>Top-Tier</v>
      </c>
      <c r="G267" s="4">
        <v>44409</v>
      </c>
      <c r="H267" t="s">
        <v>531</v>
      </c>
      <c r="I267" t="s">
        <v>248</v>
      </c>
      <c r="J267" t="s">
        <v>34</v>
      </c>
      <c r="K267" t="s">
        <v>51</v>
      </c>
      <c r="L267" t="s">
        <v>24</v>
      </c>
      <c r="N267" t="s">
        <v>31</v>
      </c>
      <c r="O267" t="s">
        <v>261</v>
      </c>
      <c r="P267" s="3">
        <v>85</v>
      </c>
      <c r="Q267" t="str">
        <f>LEFT(B267, 2)</f>
        <v>HP</v>
      </c>
      <c r="R267" t="str">
        <f t="shared" ref="R267:R274" si="25">LEFT(H267, 21)</f>
        <v>AMD Octa-Core Ryzen 7</v>
      </c>
      <c r="S267" t="str">
        <f t="shared" si="23"/>
        <v>16 GB</v>
      </c>
    </row>
    <row r="268" spans="1:19">
      <c r="A268" t="str">
        <f>LEFT(B268, LEN(B268)-15)</f>
        <v>Lenovo Ideapad Gaming 15ARH05 (82EY00UBIN) Laptop (AMD Hexa Core Ryzen 5/8 GB/1 TB 256 GB SSD/Windows 10/4 GB)</v>
      </c>
      <c r="B268" t="s">
        <v>532</v>
      </c>
      <c r="C268" s="1">
        <v>69999</v>
      </c>
      <c r="D268" s="1">
        <v>928</v>
      </c>
      <c r="E268" s="2">
        <v>90</v>
      </c>
      <c r="F268" s="2" t="str" cm="1">
        <f t="array" ref="F268">_xlfn.IFS(AND(101&gt;E268, E268&gt;69), "Top-Tier", AND(70&gt;E268, E268&gt;39), "Mid-Tier", 40&gt;E268, "Low-Tier")</f>
        <v>Top-Tier</v>
      </c>
      <c r="G268" s="4">
        <v>44348</v>
      </c>
      <c r="H268" t="s">
        <v>531</v>
      </c>
      <c r="I268" t="s">
        <v>248</v>
      </c>
      <c r="J268" t="s">
        <v>332</v>
      </c>
      <c r="K268" t="s">
        <v>249</v>
      </c>
      <c r="L268" t="s">
        <v>24</v>
      </c>
      <c r="N268" t="s">
        <v>31</v>
      </c>
      <c r="O268" t="s">
        <v>291</v>
      </c>
      <c r="P268" s="3">
        <v>74</v>
      </c>
      <c r="Q268" t="str">
        <f>LEFT(B268, 6)</f>
        <v>Lenovo</v>
      </c>
      <c r="R268" t="str">
        <f t="shared" si="25"/>
        <v>AMD Octa-Core Ryzen 7</v>
      </c>
      <c r="S268" t="str">
        <f t="shared" si="23"/>
        <v xml:space="preserve">8 GB </v>
      </c>
    </row>
    <row r="269" spans="1:19">
      <c r="A269" t="str">
        <f>LEFT(B269, LEN(B269)-15)</f>
        <v>Lenovo Ideapad Flex 5 (81X200FCIN) Laptop (AMD Hexa Core Ryzen 5/8 GB/512 GB SSD/Windows 10)</v>
      </c>
      <c r="B269" t="s">
        <v>533</v>
      </c>
      <c r="C269" s="1">
        <v>56990</v>
      </c>
      <c r="D269" s="1">
        <v>199</v>
      </c>
      <c r="E269" s="2">
        <v>90</v>
      </c>
      <c r="F269" s="2" t="str" cm="1">
        <f t="array" ref="F269">_xlfn.IFS(AND(101&gt;E269, E269&gt;69), "Top-Tier", AND(70&gt;E269, E269&gt;39), "Mid-Tier", 40&gt;E269, "Low-Tier")</f>
        <v>Top-Tier</v>
      </c>
      <c r="G269" s="4">
        <v>44197</v>
      </c>
      <c r="H269" t="s">
        <v>531</v>
      </c>
      <c r="I269" t="s">
        <v>248</v>
      </c>
      <c r="J269" t="s">
        <v>50</v>
      </c>
      <c r="K269" t="s">
        <v>439</v>
      </c>
      <c r="L269" t="s">
        <v>24</v>
      </c>
      <c r="M269" t="s">
        <v>237</v>
      </c>
      <c r="N269" t="s">
        <v>31</v>
      </c>
      <c r="O269" t="s">
        <v>261</v>
      </c>
      <c r="Q269" t="str">
        <f>LEFT(B269, 6)</f>
        <v>Lenovo</v>
      </c>
      <c r="R269" t="str">
        <f t="shared" si="25"/>
        <v>AMD Octa-Core Ryzen 7</v>
      </c>
      <c r="S269" t="str">
        <f t="shared" si="23"/>
        <v xml:space="preserve">8 GB </v>
      </c>
    </row>
    <row r="270" spans="1:19">
      <c r="A270" t="str">
        <f>LEFT(B270, LEN(B270)-15)</f>
        <v>Lenovo IdeaPad Slim 3 14IRH8 (83EL003PIN) Laptop (Core i5 13th Gen/16 GB/512 GB SSD/Windows 11)</v>
      </c>
      <c r="B270" t="s">
        <v>534</v>
      </c>
      <c r="C270" s="1">
        <v>58400</v>
      </c>
      <c r="D270" s="1">
        <v>11</v>
      </c>
      <c r="E270" s="2">
        <v>90</v>
      </c>
      <c r="F270" s="2" t="str" cm="1">
        <f t="array" ref="F270">_xlfn.IFS(AND(101&gt;E270, E270&gt;69), "Top-Tier", AND(70&gt;E270, E270&gt;39), "Mid-Tier", 40&gt;E270, "Low-Tier")</f>
        <v>Top-Tier</v>
      </c>
      <c r="G270" s="4">
        <v>45597</v>
      </c>
      <c r="H270" t="s">
        <v>531</v>
      </c>
      <c r="I270" t="s">
        <v>33</v>
      </c>
      <c r="J270" t="s">
        <v>121</v>
      </c>
      <c r="K270" t="s">
        <v>149</v>
      </c>
      <c r="L270" t="s">
        <v>24</v>
      </c>
      <c r="M270" t="s">
        <v>95</v>
      </c>
      <c r="N270" t="s">
        <v>31</v>
      </c>
      <c r="P270" s="3">
        <v>80</v>
      </c>
      <c r="Q270" t="str">
        <f>LEFT(B270, 6)</f>
        <v>Lenovo</v>
      </c>
      <c r="R270" t="str">
        <f t="shared" si="25"/>
        <v>AMD Octa-Core Ryzen 7</v>
      </c>
      <c r="S270" t="str">
        <f t="shared" si="23"/>
        <v>16 GB</v>
      </c>
    </row>
    <row r="271" spans="1:19">
      <c r="A271" t="str">
        <f>LEFT(B271, LEN(B271)-15)</f>
        <v>Lenovo Ideapad Gaming 3 15IMH05 (81Y4019EIN) Laptop (Core i7 10th Gen/8 GB/512 GB SSD/Windows 10/4 GB)</v>
      </c>
      <c r="B271" t="s">
        <v>535</v>
      </c>
      <c r="C271" s="1">
        <v>73990</v>
      </c>
      <c r="D271" s="1">
        <v>128</v>
      </c>
      <c r="E271" s="2">
        <v>90</v>
      </c>
      <c r="F271" s="2" t="str" cm="1">
        <f t="array" ref="F271">_xlfn.IFS(AND(101&gt;E271, E271&gt;69), "Top-Tier", AND(70&gt;E271, E271&gt;39), "Mid-Tier", 40&gt;E271, "Low-Tier")</f>
        <v>Top-Tier</v>
      </c>
      <c r="G271" s="4">
        <v>44531</v>
      </c>
      <c r="H271" t="s">
        <v>531</v>
      </c>
      <c r="I271" t="s">
        <v>248</v>
      </c>
      <c r="J271" t="s">
        <v>50</v>
      </c>
      <c r="K271" t="s">
        <v>249</v>
      </c>
      <c r="L271" t="s">
        <v>24</v>
      </c>
      <c r="N271" t="s">
        <v>31</v>
      </c>
      <c r="O271" t="s">
        <v>291</v>
      </c>
      <c r="P271" s="3">
        <v>76</v>
      </c>
      <c r="Q271" t="str">
        <f>LEFT(B271, 6)</f>
        <v>Lenovo</v>
      </c>
      <c r="R271" t="str">
        <f t="shared" si="25"/>
        <v>AMD Octa-Core Ryzen 7</v>
      </c>
      <c r="S271" t="str">
        <f t="shared" si="23"/>
        <v xml:space="preserve">8 GB </v>
      </c>
    </row>
    <row r="272" spans="1:19">
      <c r="A272" t="str">
        <f>LEFT(B272, LEN(B272)-15)</f>
        <v>Asus TUF FX706HCB-HX162T Laptop (Core i5 11th Gen/8 GB/512 GB SSD/Windows 10/4 GB)</v>
      </c>
      <c r="B272" t="s">
        <v>536</v>
      </c>
      <c r="C272" s="1">
        <v>71990</v>
      </c>
      <c r="D272" s="1">
        <v>196</v>
      </c>
      <c r="E272" s="2">
        <v>90</v>
      </c>
      <c r="F272" s="2" t="str" cm="1">
        <f t="array" ref="F272">_xlfn.IFS(AND(101&gt;E272, E272&gt;69), "Top-Tier", AND(70&gt;E272, E272&gt;39), "Mid-Tier", 40&gt;E272, "Low-Tier")</f>
        <v>Top-Tier</v>
      </c>
      <c r="G272" s="4">
        <v>44531</v>
      </c>
      <c r="H272" t="s">
        <v>531</v>
      </c>
      <c r="I272" t="s">
        <v>248</v>
      </c>
      <c r="J272" t="s">
        <v>50</v>
      </c>
      <c r="K272" t="s">
        <v>537</v>
      </c>
      <c r="L272" t="s">
        <v>24</v>
      </c>
      <c r="N272" t="s">
        <v>31</v>
      </c>
      <c r="O272" t="s">
        <v>261</v>
      </c>
      <c r="P272" s="3">
        <v>77</v>
      </c>
      <c r="Q272" t="str">
        <f>LEFT(B272, 4)</f>
        <v>Asus</v>
      </c>
      <c r="R272" t="str">
        <f t="shared" si="25"/>
        <v>AMD Octa-Core Ryzen 7</v>
      </c>
      <c r="S272" t="str">
        <f t="shared" si="23"/>
        <v xml:space="preserve">8 GB </v>
      </c>
    </row>
    <row r="273" spans="1:19">
      <c r="A273" t="str">
        <f>LEFT(B273, LEN(B273)-15)</f>
        <v>HP Pavilion x360 14-dy0050TU (3W295PA) Laptop (Core i7 11th Gen/16 GB/512 GB SSD/Windows 10)</v>
      </c>
      <c r="B273" t="s">
        <v>538</v>
      </c>
      <c r="C273" s="1">
        <v>84990</v>
      </c>
      <c r="D273" s="1">
        <v>204</v>
      </c>
      <c r="E273" s="2">
        <v>90</v>
      </c>
      <c r="F273" s="2" t="str" cm="1">
        <f t="array" ref="F273">_xlfn.IFS(AND(101&gt;E273, E273&gt;69), "Top-Tier", AND(70&gt;E273, E273&gt;39), "Mid-Tier", 40&gt;E273, "Low-Tier")</f>
        <v>Top-Tier</v>
      </c>
      <c r="G273" s="4">
        <v>44440</v>
      </c>
      <c r="H273" t="s">
        <v>539</v>
      </c>
      <c r="I273" t="s">
        <v>248</v>
      </c>
      <c r="J273" t="s">
        <v>34</v>
      </c>
      <c r="K273" t="s">
        <v>439</v>
      </c>
      <c r="L273" t="s">
        <v>24</v>
      </c>
      <c r="M273" t="s">
        <v>540</v>
      </c>
      <c r="N273" t="s">
        <v>31</v>
      </c>
      <c r="O273" t="s">
        <v>291</v>
      </c>
      <c r="P273" s="3">
        <v>74</v>
      </c>
      <c r="Q273" t="str">
        <f>LEFT(B273, 2)</f>
        <v>HP</v>
      </c>
      <c r="R273" t="str">
        <f t="shared" si="25"/>
        <v>AMD Octa-Core Ryzen 7</v>
      </c>
      <c r="S273" t="str">
        <f t="shared" si="23"/>
        <v>16 GB</v>
      </c>
    </row>
    <row r="274" spans="1:19">
      <c r="A274" t="str">
        <f>LEFT(B274, LEN(B274)-15)</f>
        <v>Dell Inspiron 15 3593 (C560512WIN9) Laptop (Core i5 10th Gen/4 GB/1 TB 256 GB SSD/Windows 10)</v>
      </c>
      <c r="B274" t="s">
        <v>541</v>
      </c>
      <c r="C274" s="1">
        <v>50990</v>
      </c>
      <c r="D274" s="1">
        <v>58</v>
      </c>
      <c r="E274" s="2">
        <v>90</v>
      </c>
      <c r="F274" s="2" t="str" cm="1">
        <f t="array" ref="F274">_xlfn.IFS(AND(101&gt;E274, E274&gt;69), "Top-Tier", AND(70&gt;E274, E274&gt;39), "Mid-Tier", 40&gt;E274, "Low-Tier")</f>
        <v>Top-Tier</v>
      </c>
      <c r="G274" s="4">
        <v>43983</v>
      </c>
      <c r="H274" t="s">
        <v>539</v>
      </c>
      <c r="I274" t="s">
        <v>248</v>
      </c>
      <c r="J274" t="s">
        <v>542</v>
      </c>
      <c r="K274" t="s">
        <v>249</v>
      </c>
      <c r="L274" t="s">
        <v>24</v>
      </c>
      <c r="N274" t="s">
        <v>31</v>
      </c>
      <c r="Q274" t="str">
        <f>LEFT(B274, 4)</f>
        <v>Dell</v>
      </c>
      <c r="R274" t="str">
        <f t="shared" si="25"/>
        <v>AMD Octa-Core Ryzen 7</v>
      </c>
      <c r="S274" t="str">
        <f t="shared" si="23"/>
        <v xml:space="preserve">4 GB </v>
      </c>
    </row>
    <row r="275" spans="1:19">
      <c r="A275" t="str">
        <f>LEFT(B275, LEN(B275)-15)</f>
        <v>Apple MacBook Air M4 MW1M3HN/A Ultrabook (Apple M4/16 GB/512 GB SSD/macOS Sequoia)</v>
      </c>
      <c r="B275" t="s">
        <v>543</v>
      </c>
      <c r="C275" s="1">
        <v>139990</v>
      </c>
      <c r="D275" s="1">
        <v>14</v>
      </c>
      <c r="E275" s="2">
        <v>90</v>
      </c>
      <c r="F275" s="2" t="str" cm="1">
        <f t="array" ref="F275">_xlfn.IFS(AND(101&gt;E275, E275&gt;69), "Top-Tier", AND(70&gt;E275, E275&gt;39), "Mid-Tier", 40&gt;E275, "Low-Tier")</f>
        <v>Top-Tier</v>
      </c>
      <c r="G275" s="4">
        <v>45717</v>
      </c>
      <c r="H275" t="s">
        <v>539</v>
      </c>
      <c r="I275" t="s">
        <v>21</v>
      </c>
      <c r="J275" t="s">
        <v>286</v>
      </c>
      <c r="K275" t="s">
        <v>110</v>
      </c>
      <c r="L275" t="s">
        <v>24</v>
      </c>
      <c r="M275" t="s">
        <v>25</v>
      </c>
      <c r="P275" s="3">
        <v>86</v>
      </c>
      <c r="Q275" t="str">
        <f>LEFT(B275, 5)</f>
        <v>Apple</v>
      </c>
      <c r="R275" t="str">
        <f>LEFT(H275, 21)</f>
        <v>AMD Octa-Core Ryzen 7</v>
      </c>
      <c r="S275" t="str">
        <f t="shared" si="23"/>
        <v>16 GB</v>
      </c>
    </row>
    <row r="276" spans="1:19">
      <c r="A276" t="str">
        <f>LEFT(B276, LEN(B276)-15)</f>
        <v>Microsoft Surface Pro 11 (ZIB-00031) Laptop (Snapdragon X Elite/16 GB/1 TB SSD/Windows 11)</v>
      </c>
      <c r="B276" t="s">
        <v>544</v>
      </c>
      <c r="C276" s="1">
        <v>180990</v>
      </c>
      <c r="D276" s="1">
        <v>2</v>
      </c>
      <c r="E276" s="2">
        <v>90</v>
      </c>
      <c r="F276" s="2" t="str" cm="1">
        <f t="array" ref="F276">_xlfn.IFS(AND(101&gt;E276, E276&gt;69), "Top-Tier", AND(70&gt;E276, E276&gt;39), "Mid-Tier", 40&gt;E276, "Low-Tier")</f>
        <v>Top-Tier</v>
      </c>
      <c r="G276" s="4">
        <v>45474</v>
      </c>
      <c r="H276" t="s">
        <v>539</v>
      </c>
      <c r="I276" t="s">
        <v>33</v>
      </c>
      <c r="J276" t="s">
        <v>72</v>
      </c>
      <c r="K276" t="s">
        <v>140</v>
      </c>
      <c r="L276" t="s">
        <v>24</v>
      </c>
      <c r="P276" s="3">
        <v>83</v>
      </c>
      <c r="Q276" t="str">
        <f>LEFT(B276, 9)</f>
        <v>Microsoft</v>
      </c>
      <c r="R276" t="str">
        <f t="shared" ref="R276:R281" si="26">LEFT(H276, 21)</f>
        <v>AMD Octa-Core Ryzen 7</v>
      </c>
      <c r="S276" t="str">
        <f t="shared" si="23"/>
        <v>16 GB</v>
      </c>
    </row>
    <row r="277" spans="1:19">
      <c r="A277" t="str">
        <f>LEFT(B277, LEN(B277)-15)</f>
        <v>Asus TUF Gaming F15 FX507VU-LP210W Laptop (Core i7 13th Gen/16 GB/512 GB SSD/Windows 11/6 GB)</v>
      </c>
      <c r="B277" t="s">
        <v>545</v>
      </c>
      <c r="C277" s="1">
        <v>91190</v>
      </c>
      <c r="D277" s="1">
        <v>2</v>
      </c>
      <c r="E277" s="2">
        <v>90</v>
      </c>
      <c r="F277" s="2" t="str" cm="1">
        <f t="array" ref="F277">_xlfn.IFS(AND(101&gt;E277, E277&gt;69), "Top-Tier", AND(70&gt;E277, E277&gt;39), "Mid-Tier", 40&gt;E277, "Low-Tier")</f>
        <v>Top-Tier</v>
      </c>
      <c r="G277" s="4">
        <v>45474</v>
      </c>
      <c r="H277" t="s">
        <v>539</v>
      </c>
      <c r="I277" t="s">
        <v>33</v>
      </c>
      <c r="J277" t="s">
        <v>54</v>
      </c>
      <c r="K277" t="s">
        <v>51</v>
      </c>
      <c r="L277" t="s">
        <v>24</v>
      </c>
      <c r="N277" t="s">
        <v>31</v>
      </c>
      <c r="Q277" t="str">
        <f>LEFT(B277, 4)</f>
        <v>Asus</v>
      </c>
      <c r="R277" t="str">
        <f t="shared" si="26"/>
        <v>AMD Octa-Core Ryzen 7</v>
      </c>
      <c r="S277" t="str">
        <f t="shared" si="23"/>
        <v>16 GB</v>
      </c>
    </row>
    <row r="278" spans="1:19">
      <c r="A278" t="str">
        <f>LEFT(B278, LEN(B278)-15)</f>
        <v>Dell Alienware m16 R1 (ANM16A0UCFG001CDB1) Laptop (AMD Octa Core Ryzen 7/16 GB/1 TB SSD/Windows 11/8 GB)</v>
      </c>
      <c r="B278" t="s">
        <v>546</v>
      </c>
      <c r="C278" s="1">
        <v>176323</v>
      </c>
      <c r="D278" s="1">
        <v>2</v>
      </c>
      <c r="E278" s="2">
        <v>90</v>
      </c>
      <c r="F278" s="2" t="str" cm="1">
        <f t="array" ref="F278">_xlfn.IFS(AND(101&gt;E278, E278&gt;69), "Top-Tier", AND(70&gt;E278, E278&gt;39), "Mid-Tier", 40&gt;E278, "Low-Tier")</f>
        <v>Top-Tier</v>
      </c>
      <c r="G278" s="4">
        <v>45444</v>
      </c>
      <c r="H278" t="s">
        <v>539</v>
      </c>
      <c r="I278" t="s">
        <v>33</v>
      </c>
      <c r="J278" t="s">
        <v>72</v>
      </c>
      <c r="K278" t="s">
        <v>547</v>
      </c>
      <c r="N278" t="s">
        <v>31</v>
      </c>
      <c r="Q278" t="str">
        <f>LEFT(B278, 4)</f>
        <v>Dell</v>
      </c>
      <c r="R278" t="str">
        <f t="shared" si="26"/>
        <v>AMD Octa-Core Ryzen 7</v>
      </c>
      <c r="S278" t="str">
        <f t="shared" si="23"/>
        <v>16 GB</v>
      </c>
    </row>
    <row r="279" spans="1:19">
      <c r="A279" t="str">
        <f>LEFT(B279, LEN(B279)-15)</f>
        <v>Samsung Galaxy Book 4 NP750XGK-KG1IN Laptop (Core 5 Series 1 /8 GB/512 GB SSD/Windows 11)</v>
      </c>
      <c r="B279" t="s">
        <v>548</v>
      </c>
      <c r="C279" s="1">
        <v>63990</v>
      </c>
      <c r="D279" s="1">
        <v>42</v>
      </c>
      <c r="E279" s="2">
        <v>90</v>
      </c>
      <c r="F279" s="2" t="str" cm="1">
        <f t="array" ref="F279">_xlfn.IFS(AND(101&gt;E279, E279&gt;69), "Top-Tier", AND(70&gt;E279, E279&gt;39), "Mid-Tier", 40&gt;E279, "Low-Tier")</f>
        <v>Top-Tier</v>
      </c>
      <c r="G279" s="4">
        <v>45352</v>
      </c>
      <c r="H279" t="s">
        <v>539</v>
      </c>
      <c r="I279" t="s">
        <v>33</v>
      </c>
      <c r="J279" t="s">
        <v>494</v>
      </c>
      <c r="K279" t="s">
        <v>51</v>
      </c>
      <c r="L279" t="s">
        <v>24</v>
      </c>
      <c r="M279" t="s">
        <v>357</v>
      </c>
      <c r="N279" t="s">
        <v>31</v>
      </c>
      <c r="P279" s="3">
        <v>79</v>
      </c>
      <c r="Q279" t="str">
        <f>LEFT(B279, 7)</f>
        <v>Samsung</v>
      </c>
      <c r="R279" t="str">
        <f t="shared" si="26"/>
        <v>AMD Octa-Core Ryzen 7</v>
      </c>
      <c r="S279" t="str">
        <f t="shared" si="23"/>
        <v xml:space="preserve">8 GB </v>
      </c>
    </row>
    <row r="280" spans="1:19">
      <c r="A280" t="str">
        <f>LEFT(B280, LEN(B280)-15)</f>
        <v>Samsung Galaxy Book 4 NP750XGK-KG2IN Laptop (Core 5 Series 1 /16 GB/512 GB SSD/Windows 11)</v>
      </c>
      <c r="B280" t="s">
        <v>549</v>
      </c>
      <c r="C280" s="1">
        <v>58999</v>
      </c>
      <c r="D280" s="1">
        <v>42</v>
      </c>
      <c r="E280" s="2">
        <v>90</v>
      </c>
      <c r="F280" s="2" t="str" cm="1">
        <f t="array" ref="F280">_xlfn.IFS(AND(101&gt;E280, E280&gt;69), "Top-Tier", AND(70&gt;E280, E280&gt;39), "Mid-Tier", 40&gt;E280, "Low-Tier")</f>
        <v>Top-Tier</v>
      </c>
      <c r="G280" s="4">
        <v>45352</v>
      </c>
      <c r="H280" t="s">
        <v>539</v>
      </c>
      <c r="I280" t="s">
        <v>33</v>
      </c>
      <c r="J280" t="s">
        <v>214</v>
      </c>
      <c r="K280" t="s">
        <v>51</v>
      </c>
      <c r="L280" t="s">
        <v>24</v>
      </c>
      <c r="M280" t="s">
        <v>357</v>
      </c>
      <c r="N280" t="s">
        <v>31</v>
      </c>
      <c r="P280" s="3">
        <v>80</v>
      </c>
      <c r="Q280" t="str">
        <f>LEFT(B280, 7)</f>
        <v>Samsung</v>
      </c>
      <c r="R280" t="str">
        <f t="shared" si="26"/>
        <v>AMD Octa-Core Ryzen 7</v>
      </c>
      <c r="S280" t="str">
        <f t="shared" si="23"/>
        <v>16 GB</v>
      </c>
    </row>
    <row r="281" spans="1:19">
      <c r="A281" t="str">
        <f>LEFT(B281, LEN(B281)-15)</f>
        <v>Lenovo Ideapad Slim 3 15IRH8 (83EM0026IN) Laptop (Core i5 13th Gen/16 GB/512 GB SSD/Windows 11)</v>
      </c>
      <c r="B281" t="s">
        <v>550</v>
      </c>
      <c r="C281" s="1">
        <v>59900</v>
      </c>
      <c r="D281" s="1">
        <v>63</v>
      </c>
      <c r="E281" s="2">
        <v>90</v>
      </c>
      <c r="F281" s="2" t="str" cm="1">
        <f t="array" ref="F281">_xlfn.IFS(AND(101&gt;E281, E281&gt;69), "Top-Tier", AND(70&gt;E281, E281&gt;39), "Mid-Tier", 40&gt;E281, "Low-Tier")</f>
        <v>Top-Tier</v>
      </c>
      <c r="G281" s="4">
        <v>45231</v>
      </c>
      <c r="H281" t="s">
        <v>539</v>
      </c>
      <c r="I281" t="s">
        <v>33</v>
      </c>
      <c r="J281" t="s">
        <v>121</v>
      </c>
      <c r="K281" t="s">
        <v>51</v>
      </c>
      <c r="L281" t="s">
        <v>24</v>
      </c>
      <c r="M281" t="s">
        <v>95</v>
      </c>
      <c r="N281" t="s">
        <v>31</v>
      </c>
      <c r="P281" s="3">
        <v>81</v>
      </c>
      <c r="Q281" t="str">
        <f>LEFT(B281, 6)</f>
        <v>Lenovo</v>
      </c>
      <c r="R281" t="str">
        <f t="shared" si="26"/>
        <v>AMD Octa-Core Ryzen 7</v>
      </c>
      <c r="S281" t="str">
        <f t="shared" si="23"/>
        <v>16 GB</v>
      </c>
    </row>
    <row r="282" spans="1:19">
      <c r="A282" t="str">
        <f>LEFT(B282, LEN(B282)-15)</f>
        <v>Apple MacBook Pro M3 Pro MRW13HN/A Ultrabook (Apple M3 Pro/18 GB/512 GB SSD/macOS Sonoma)</v>
      </c>
      <c r="B282" t="s">
        <v>551</v>
      </c>
      <c r="C282" s="1">
        <v>364990</v>
      </c>
      <c r="D282" s="1">
        <v>2</v>
      </c>
      <c r="E282" s="2">
        <v>90</v>
      </c>
      <c r="F282" s="2" t="str" cm="1">
        <f t="array" ref="F282">_xlfn.IFS(AND(101&gt;E282, E282&gt;69), "Top-Tier", AND(70&gt;E282, E282&gt;39), "Mid-Tier", 40&gt;E282, "Low-Tier")</f>
        <v>Top-Tier</v>
      </c>
      <c r="G282" s="4">
        <v>45231</v>
      </c>
      <c r="H282" t="s">
        <v>552</v>
      </c>
      <c r="I282" t="s">
        <v>189</v>
      </c>
      <c r="J282" t="s">
        <v>190</v>
      </c>
      <c r="K282" t="s">
        <v>68</v>
      </c>
      <c r="L282" t="s">
        <v>24</v>
      </c>
      <c r="M282" t="s">
        <v>69</v>
      </c>
      <c r="N282" t="s">
        <v>31</v>
      </c>
      <c r="P282" s="3">
        <v>73</v>
      </c>
      <c r="Q282" t="str">
        <f>LEFT(B282, 5)</f>
        <v>Apple</v>
      </c>
      <c r="R282" t="str">
        <f>LEFT(H282, 21)</f>
        <v>AMD Octa-Core Ryzen 7</v>
      </c>
      <c r="S282" t="str">
        <f t="shared" si="23"/>
        <v>18 GB</v>
      </c>
    </row>
    <row r="283" spans="1:19">
      <c r="A283" t="str">
        <f>LEFT(B283, LEN(B283)-15)</f>
        <v>Apple MacBook Pro M3 Pro MRW23HN/A Ultrabook (Apple M3 Pro/36 GB/512 GB SSD/macOS Sonoma)</v>
      </c>
      <c r="B283" t="s">
        <v>553</v>
      </c>
      <c r="C283" s="1">
        <v>289900</v>
      </c>
      <c r="D283" s="1">
        <v>2</v>
      </c>
      <c r="E283" s="2">
        <v>90</v>
      </c>
      <c r="F283" s="2" t="str" cm="1">
        <f t="array" ref="F283">_xlfn.IFS(AND(101&gt;E283, E283&gt;69), "Top-Tier", AND(70&gt;E283, E283&gt;39), "Mid-Tier", 40&gt;E283, "Low-Tier")</f>
        <v>Top-Tier</v>
      </c>
      <c r="G283" s="4">
        <v>45231</v>
      </c>
      <c r="H283" t="s">
        <v>552</v>
      </c>
      <c r="I283" t="s">
        <v>189</v>
      </c>
      <c r="J283" t="s">
        <v>554</v>
      </c>
      <c r="K283" t="s">
        <v>68</v>
      </c>
      <c r="L283" t="s">
        <v>24</v>
      </c>
      <c r="M283" t="s">
        <v>69</v>
      </c>
      <c r="N283" t="s">
        <v>31</v>
      </c>
      <c r="P283" s="3">
        <v>73</v>
      </c>
      <c r="Q283" t="str">
        <f>LEFT(B283, 5)</f>
        <v>Apple</v>
      </c>
      <c r="R283" t="str">
        <f>LEFT(H283, 21)</f>
        <v>AMD Octa-Core Ryzen 7</v>
      </c>
      <c r="S283" t="str">
        <f t="shared" si="23"/>
        <v>36 GB</v>
      </c>
    </row>
    <row r="284" spans="1:19">
      <c r="A284" t="str">
        <f>LEFT(B284, LEN(B284)-15)</f>
        <v>Lenovo IdeaPad Gaming 3 15ARH7 (82SB00M6IN) Laptop (AMD Hexa Core Ryzen 5/16 GB/512 GB SSD/Windows 11/6 GB)</v>
      </c>
      <c r="B284" t="s">
        <v>555</v>
      </c>
      <c r="C284" s="1">
        <v>67999</v>
      </c>
      <c r="D284" s="1">
        <v>144</v>
      </c>
      <c r="E284" s="2">
        <v>90</v>
      </c>
      <c r="F284" s="2" t="str" cm="1">
        <f t="array" ref="F284">_xlfn.IFS(AND(101&gt;E284, E284&gt;69), "Top-Tier", AND(70&gt;E284, E284&gt;39), "Mid-Tier", 40&gt;E284, "Low-Tier")</f>
        <v>Top-Tier</v>
      </c>
      <c r="G284" s="4">
        <v>45200</v>
      </c>
      <c r="H284" t="s">
        <v>552</v>
      </c>
      <c r="I284" t="s">
        <v>33</v>
      </c>
      <c r="J284" t="s">
        <v>54</v>
      </c>
      <c r="K284" t="s">
        <v>159</v>
      </c>
      <c r="N284" t="s">
        <v>31</v>
      </c>
      <c r="P284" s="3">
        <v>79</v>
      </c>
      <c r="Q284" t="str">
        <f>LEFT(B284, 6)</f>
        <v>Lenovo</v>
      </c>
      <c r="R284" t="str">
        <f>LEFT(H284, 21)</f>
        <v>AMD Octa-Core Ryzen 7</v>
      </c>
      <c r="S284" t="str">
        <f t="shared" si="23"/>
        <v>16 GB</v>
      </c>
    </row>
    <row r="285" spans="1:19">
      <c r="A285" t="str">
        <f>LEFT(B285, LEN(B285)-15)</f>
        <v>MSI Katana 15 B13UDXK-1482IN Laptop (Core i5 13th Gen/32 GB/1 TB SSD/Windows 11/6 GB)</v>
      </c>
      <c r="B285" t="s">
        <v>556</v>
      </c>
      <c r="C285" s="1">
        <v>114990</v>
      </c>
      <c r="D285" s="1">
        <v>81</v>
      </c>
      <c r="E285" s="2">
        <v>90</v>
      </c>
      <c r="F285" s="2" t="str" cm="1">
        <f t="array" ref="F285">_xlfn.IFS(AND(101&gt;E285, E285&gt;69), "Top-Tier", AND(70&gt;E285, E285&gt;39), "Mid-Tier", 40&gt;E285, "Low-Tier")</f>
        <v>Top-Tier</v>
      </c>
      <c r="G285" s="4">
        <v>45200</v>
      </c>
      <c r="H285" t="s">
        <v>552</v>
      </c>
      <c r="I285" t="s">
        <v>33</v>
      </c>
      <c r="J285" t="s">
        <v>144</v>
      </c>
      <c r="K285" t="s">
        <v>51</v>
      </c>
      <c r="L285" t="s">
        <v>24</v>
      </c>
      <c r="N285" t="s">
        <v>31</v>
      </c>
      <c r="Q285" t="str">
        <f>LEFT(B285, 3)</f>
        <v>MSI</v>
      </c>
      <c r="R285" t="str">
        <f t="shared" ref="R285:R288" si="27">LEFT(H285, 21)</f>
        <v>AMD Octa-Core Ryzen 7</v>
      </c>
      <c r="S285" t="str">
        <f t="shared" si="23"/>
        <v>32 GB</v>
      </c>
    </row>
    <row r="286" spans="1:19">
      <c r="A286" t="str">
        <f>LEFT(B286, LEN(B286)-15)</f>
        <v>Lenovo V15 (82TTA02UIH) Laptop (Core i5 12th Gen/8 GB/512 GB SSD/Windows 11)</v>
      </c>
      <c r="B286" t="s">
        <v>557</v>
      </c>
      <c r="C286" s="1">
        <v>42290</v>
      </c>
      <c r="D286" s="1">
        <v>18</v>
      </c>
      <c r="E286" s="2">
        <v>90</v>
      </c>
      <c r="F286" s="2" t="str" cm="1">
        <f t="array" ref="F286">_xlfn.IFS(AND(101&gt;E286, E286&gt;69), "Top-Tier", AND(70&gt;E286, E286&gt;39), "Mid-Tier", 40&gt;E286, "Low-Tier")</f>
        <v>Top-Tier</v>
      </c>
      <c r="G286" s="4">
        <v>45170</v>
      </c>
      <c r="H286" t="s">
        <v>552</v>
      </c>
      <c r="I286" t="s">
        <v>33</v>
      </c>
      <c r="J286" t="s">
        <v>50</v>
      </c>
      <c r="K286" t="s">
        <v>217</v>
      </c>
      <c r="L286" t="s">
        <v>24</v>
      </c>
      <c r="N286" t="s">
        <v>31</v>
      </c>
      <c r="P286" s="3">
        <v>71</v>
      </c>
      <c r="Q286" t="str">
        <f>LEFT(B286, 6)</f>
        <v>Lenovo</v>
      </c>
      <c r="R286" t="str">
        <f t="shared" si="27"/>
        <v>AMD Octa-Core Ryzen 7</v>
      </c>
      <c r="S286" t="str">
        <f t="shared" si="23"/>
        <v xml:space="preserve">8 GB </v>
      </c>
    </row>
    <row r="287" spans="1:19">
      <c r="A287" t="str">
        <f>LEFT(B287, LEN(B287)-15)</f>
        <v>HP Pavilion x360 14-ek1021TU (7Z1P9PA) Laptop (Core i7 13th Gen/16 GB/512 GB SSD/Windows 11)</v>
      </c>
      <c r="B287" t="s">
        <v>558</v>
      </c>
      <c r="C287" s="1">
        <v>98999</v>
      </c>
      <c r="D287" s="1">
        <v>6</v>
      </c>
      <c r="E287" s="2">
        <v>90</v>
      </c>
      <c r="F287" s="2" t="str" cm="1">
        <f t="array" ref="F287">_xlfn.IFS(AND(101&gt;E287, E287&gt;69), "Top-Tier", AND(70&gt;E287, E287&gt;39), "Mid-Tier", 40&gt;E287, "Low-Tier")</f>
        <v>Top-Tier</v>
      </c>
      <c r="G287" s="4">
        <v>45170</v>
      </c>
      <c r="H287" t="s">
        <v>552</v>
      </c>
      <c r="I287" t="s">
        <v>33</v>
      </c>
      <c r="J287" t="s">
        <v>34</v>
      </c>
      <c r="K287" t="s">
        <v>149</v>
      </c>
      <c r="L287" t="s">
        <v>24</v>
      </c>
      <c r="M287" t="s">
        <v>52</v>
      </c>
      <c r="N287" t="s">
        <v>31</v>
      </c>
      <c r="P287" s="3">
        <v>77</v>
      </c>
      <c r="Q287" t="str">
        <f>LEFT(B287, 2)</f>
        <v>HP</v>
      </c>
      <c r="R287" t="str">
        <f t="shared" si="27"/>
        <v>AMD Octa-Core Ryzen 7</v>
      </c>
      <c r="S287" t="str">
        <f t="shared" si="23"/>
        <v>16 GB</v>
      </c>
    </row>
    <row r="288" spans="1:19">
      <c r="A288" t="str">
        <f>LEFT(B288, LEN(B288)-15)</f>
        <v>HP 250 G9 (7N179PA) Laptop (Core i5 12th Gen/8 GB/512 GB SSD/Windows 11)</v>
      </c>
      <c r="B288" t="s">
        <v>559</v>
      </c>
      <c r="C288" s="1">
        <v>52699</v>
      </c>
      <c r="D288" s="1">
        <v>4</v>
      </c>
      <c r="E288" s="2">
        <v>90</v>
      </c>
      <c r="F288" s="2" t="str" cm="1">
        <f t="array" ref="F288">_xlfn.IFS(AND(101&gt;E288, E288&gt;69), "Top-Tier", AND(70&gt;E288, E288&gt;39), "Mid-Tier", 40&gt;E288, "Low-Tier")</f>
        <v>Top-Tier</v>
      </c>
      <c r="G288" s="4">
        <v>45170</v>
      </c>
      <c r="H288" t="s">
        <v>552</v>
      </c>
      <c r="I288" t="s">
        <v>33</v>
      </c>
      <c r="J288" t="s">
        <v>50</v>
      </c>
      <c r="K288" t="s">
        <v>560</v>
      </c>
      <c r="L288" t="s">
        <v>24</v>
      </c>
      <c r="M288" t="s">
        <v>95</v>
      </c>
      <c r="N288" t="s">
        <v>31</v>
      </c>
      <c r="P288" s="3">
        <v>79</v>
      </c>
      <c r="Q288" t="str">
        <f>LEFT(B288, 2)</f>
        <v>HP</v>
      </c>
      <c r="R288" t="str">
        <f t="shared" si="27"/>
        <v>AMD Octa-Core Ryzen 7</v>
      </c>
      <c r="S288" t="str">
        <f t="shared" si="23"/>
        <v xml:space="preserve">8 GB </v>
      </c>
    </row>
    <row r="289" spans="1:19">
      <c r="A289" t="str">
        <f>LEFT(B289, LEN(B289)-15)</f>
        <v>Lenovo Ideapad Gaming 3 (82SB00V4IN) Laptop (AMD Hexa Core Ryzen 5/8 GB/512 GB SSD/Windows 11/4 GB)</v>
      </c>
      <c r="B289" t="s">
        <v>561</v>
      </c>
      <c r="C289" s="1">
        <v>58990</v>
      </c>
      <c r="D289" s="1">
        <v>260</v>
      </c>
      <c r="E289" s="2">
        <v>90</v>
      </c>
      <c r="F289" s="2" t="str" cm="1">
        <f t="array" ref="F289">_xlfn.IFS(AND(101&gt;E289, E289&gt;69), "Top-Tier", AND(70&gt;E289, E289&gt;39), "Mid-Tier", 40&gt;E289, "Low-Tier")</f>
        <v>Top-Tier</v>
      </c>
      <c r="G289" s="4">
        <v>45139</v>
      </c>
      <c r="H289" t="s">
        <v>552</v>
      </c>
      <c r="I289" t="s">
        <v>33</v>
      </c>
      <c r="J289" t="s">
        <v>119</v>
      </c>
      <c r="K289" t="s">
        <v>51</v>
      </c>
      <c r="L289" t="s">
        <v>24</v>
      </c>
      <c r="N289" t="s">
        <v>31</v>
      </c>
      <c r="P289" s="3">
        <v>80</v>
      </c>
      <c r="Q289" t="str">
        <f>LEFT(B289, 6)</f>
        <v>Lenovo</v>
      </c>
      <c r="R289" t="str">
        <f t="shared" ref="R289:R293" si="28">LEFT(H289, 21)</f>
        <v>AMD Octa-Core Ryzen 7</v>
      </c>
      <c r="S289" t="str">
        <f t="shared" si="23"/>
        <v xml:space="preserve">8 GB </v>
      </c>
    </row>
    <row r="290" spans="1:19">
      <c r="A290" t="str">
        <f>LEFT(B290, LEN(B290)-15)</f>
        <v>Lenovo Ideapad Slim 5 (82XE0072IN) Laptop (AMD Octa Core Ryzen 7/16 GB/512 GB SSD/Windows 11)</v>
      </c>
      <c r="B290" t="s">
        <v>562</v>
      </c>
      <c r="C290" s="1">
        <v>62099</v>
      </c>
      <c r="D290" s="1">
        <v>40</v>
      </c>
      <c r="E290" s="2">
        <v>90</v>
      </c>
      <c r="F290" s="2" t="str" cm="1">
        <f t="array" ref="F290">_xlfn.IFS(AND(101&gt;E290, E290&gt;69), "Top-Tier", AND(70&gt;E290, E290&gt;39), "Mid-Tier", 40&gt;E290, "Low-Tier")</f>
        <v>Top-Tier</v>
      </c>
      <c r="G290" s="4">
        <v>45139</v>
      </c>
      <c r="H290" t="s">
        <v>552</v>
      </c>
      <c r="I290" t="s">
        <v>33</v>
      </c>
      <c r="J290" t="s">
        <v>34</v>
      </c>
      <c r="K290" t="s">
        <v>94</v>
      </c>
      <c r="L290" t="s">
        <v>24</v>
      </c>
      <c r="N290" t="s">
        <v>31</v>
      </c>
      <c r="P290" s="3">
        <v>76</v>
      </c>
      <c r="Q290" t="str">
        <f>LEFT(B290, 6)</f>
        <v>Lenovo</v>
      </c>
      <c r="R290" t="str">
        <f t="shared" si="28"/>
        <v>AMD Octa-Core Ryzen 7</v>
      </c>
      <c r="S290" t="str">
        <f t="shared" si="23"/>
        <v>16 GB</v>
      </c>
    </row>
    <row r="291" spans="1:19">
      <c r="A291" t="str">
        <f>LEFT(B291, LEN(B291)-15)</f>
        <v>MSI Katana 17 B12VFK-668IN Laptop (Core i7 12th Gen/8 GB/1 TB SSD/Windows 11/8 GB)</v>
      </c>
      <c r="B291" t="s">
        <v>563</v>
      </c>
      <c r="C291" s="1">
        <v>106628</v>
      </c>
      <c r="D291" s="1">
        <v>40</v>
      </c>
      <c r="E291" s="2">
        <v>90</v>
      </c>
      <c r="F291" s="2" t="str" cm="1">
        <f t="array" ref="F291">_xlfn.IFS(AND(101&gt;E291, E291&gt;69), "Top-Tier", AND(70&gt;E291, E291&gt;39), "Mid-Tier", 40&gt;E291, "Low-Tier")</f>
        <v>Top-Tier</v>
      </c>
      <c r="G291" s="4">
        <v>45139</v>
      </c>
      <c r="H291" t="s">
        <v>564</v>
      </c>
      <c r="I291" t="s">
        <v>33</v>
      </c>
      <c r="J291" t="s">
        <v>388</v>
      </c>
      <c r="K291" t="s">
        <v>565</v>
      </c>
      <c r="L291" t="s">
        <v>24</v>
      </c>
      <c r="N291" t="s">
        <v>31</v>
      </c>
      <c r="P291" s="3">
        <v>85</v>
      </c>
      <c r="Q291" t="str">
        <f>LEFT(B291, 3)</f>
        <v>MSI</v>
      </c>
      <c r="R291" t="str">
        <f t="shared" si="28"/>
        <v>AMD Octa-Core Ryzen 7</v>
      </c>
      <c r="S291" t="str">
        <f t="shared" si="23"/>
        <v xml:space="preserve">8 GB </v>
      </c>
    </row>
    <row r="292" spans="1:19">
      <c r="A292" t="str">
        <f>LEFT(B292, LEN(B292)-15)</f>
        <v>MSI Katana 17 B12VGK-672IN Laptop (Core i7 12th Gen/16 GB/1 TB SSD/Windows 11/8 GB)</v>
      </c>
      <c r="B292" t="s">
        <v>566</v>
      </c>
      <c r="C292" s="1">
        <v>124990</v>
      </c>
      <c r="D292" s="1">
        <v>12</v>
      </c>
      <c r="E292" s="2">
        <v>90</v>
      </c>
      <c r="F292" s="2" t="str" cm="1">
        <f t="array" ref="F292">_xlfn.IFS(AND(101&gt;E292, E292&gt;69), "Top-Tier", AND(70&gt;E292, E292&gt;39), "Mid-Tier", 40&gt;E292, "Low-Tier")</f>
        <v>Top-Tier</v>
      </c>
      <c r="G292" s="4">
        <v>45139</v>
      </c>
      <c r="H292" t="s">
        <v>564</v>
      </c>
      <c r="I292" t="s">
        <v>33</v>
      </c>
      <c r="J292" t="s">
        <v>72</v>
      </c>
      <c r="K292" t="s">
        <v>322</v>
      </c>
      <c r="L292" t="s">
        <v>24</v>
      </c>
      <c r="N292" t="s">
        <v>31</v>
      </c>
      <c r="P292" s="3">
        <v>86</v>
      </c>
      <c r="Q292" t="str">
        <f>LEFT(B292, 3)</f>
        <v>MSI</v>
      </c>
      <c r="R292" t="str">
        <f t="shared" si="28"/>
        <v>AMD Octa-Core Ryzen 7</v>
      </c>
      <c r="S292" t="str">
        <f t="shared" si="23"/>
        <v>16 GB</v>
      </c>
    </row>
    <row r="293" spans="1:19">
      <c r="A293" t="str">
        <f>LEFT(B293, LEN(B293)-15)</f>
        <v>Lenovo LOQ 15IRH8 (82XV00F7IN) Laptop (Core i5 12th Gen/16 GB/512 GB SSD/Windows 11/8 GB)</v>
      </c>
      <c r="B293" t="s">
        <v>567</v>
      </c>
      <c r="C293" s="1">
        <v>85990</v>
      </c>
      <c r="D293" s="1">
        <v>159</v>
      </c>
      <c r="E293" s="2">
        <v>90</v>
      </c>
      <c r="F293" s="2" t="str" cm="1">
        <f t="array" ref="F293">_xlfn.IFS(AND(101&gt;E293, E293&gt;69), "Top-Tier", AND(70&gt;E293, E293&gt;39), "Mid-Tier", 40&gt;E293, "Low-Tier")</f>
        <v>Top-Tier</v>
      </c>
      <c r="G293" s="4">
        <v>45139</v>
      </c>
      <c r="H293" t="s">
        <v>564</v>
      </c>
      <c r="I293" t="s">
        <v>33</v>
      </c>
      <c r="J293" t="s">
        <v>54</v>
      </c>
      <c r="K293" t="s">
        <v>51</v>
      </c>
      <c r="L293" t="s">
        <v>24</v>
      </c>
      <c r="N293" t="s">
        <v>31</v>
      </c>
      <c r="P293" s="3">
        <v>84</v>
      </c>
      <c r="Q293" t="str">
        <f>LEFT(B293, 6)</f>
        <v>Lenovo</v>
      </c>
      <c r="R293" t="str">
        <f t="shared" si="28"/>
        <v>AMD Octa-Core Ryzen 7</v>
      </c>
      <c r="S293" t="str">
        <f t="shared" si="23"/>
        <v>16 GB</v>
      </c>
    </row>
    <row r="294" spans="1:19">
      <c r="A294" t="str">
        <f>LEFT(B294, LEN(B294)-15)</f>
        <v>Lenovo LOQ 15APH8 (82XT009CIN) Laptop (AMD Octa Core Ryzen 7/16 GB/512 GB SSD/Windows 11/8 GB)</v>
      </c>
      <c r="B294" t="s">
        <v>568</v>
      </c>
      <c r="C294" s="1">
        <v>97190</v>
      </c>
      <c r="D294" s="1">
        <v>65</v>
      </c>
      <c r="E294" s="2">
        <v>90</v>
      </c>
      <c r="F294" s="2" t="str" cm="1">
        <f t="array" ref="F294">_xlfn.IFS(AND(101&gt;E294, E294&gt;69), "Top-Tier", AND(70&gt;E294, E294&gt;39), "Mid-Tier", 40&gt;E294, "Low-Tier")</f>
        <v>Top-Tier</v>
      </c>
      <c r="G294" s="4">
        <v>45139</v>
      </c>
      <c r="H294" t="s">
        <v>564</v>
      </c>
      <c r="I294" t="s">
        <v>33</v>
      </c>
      <c r="J294" t="s">
        <v>54</v>
      </c>
      <c r="K294" t="s">
        <v>51</v>
      </c>
      <c r="L294" t="s">
        <v>24</v>
      </c>
      <c r="N294" t="s">
        <v>31</v>
      </c>
      <c r="P294" s="3">
        <v>85</v>
      </c>
      <c r="Q294" t="str">
        <f>LEFT(B294, 6)</f>
        <v>Lenovo</v>
      </c>
      <c r="R294" t="str">
        <f>LEFT(H294, 21)</f>
        <v>AMD Octa-Core Ryzen 7</v>
      </c>
      <c r="S294" t="str">
        <f t="shared" si="23"/>
        <v>16 GB</v>
      </c>
    </row>
    <row r="295" spans="1:19">
      <c r="A295" t="str">
        <f>LEFT(B295, LEN(B295)-15)</f>
        <v>MSI Katana 15 B13VFK-843IN Laptop (Core i9 13th Gen/16 GB/1 TB SSD/Windows 11/8 GB)</v>
      </c>
      <c r="B295" t="s">
        <v>569</v>
      </c>
      <c r="C295" s="1">
        <v>127980</v>
      </c>
      <c r="D295" s="1">
        <v>18</v>
      </c>
      <c r="E295" s="2">
        <v>90</v>
      </c>
      <c r="F295" s="2" t="str" cm="1">
        <f t="array" ref="F295">_xlfn.IFS(AND(101&gt;E295, E295&gt;69), "Top-Tier", AND(70&gt;E295, E295&gt;39), "Mid-Tier", 40&gt;E295, "Low-Tier")</f>
        <v>Top-Tier</v>
      </c>
      <c r="G295" s="4">
        <v>45108</v>
      </c>
      <c r="H295" t="s">
        <v>564</v>
      </c>
      <c r="I295" t="s">
        <v>33</v>
      </c>
      <c r="J295" t="s">
        <v>72</v>
      </c>
      <c r="K295" t="s">
        <v>51</v>
      </c>
      <c r="L295" t="s">
        <v>24</v>
      </c>
      <c r="N295" t="s">
        <v>31</v>
      </c>
      <c r="P295" s="3">
        <v>87</v>
      </c>
      <c r="Q295" t="str">
        <f>LEFT(B295, 3)</f>
        <v>MSI</v>
      </c>
      <c r="R295" t="str">
        <f t="shared" ref="R295:R296" si="29">LEFT(H295, 21)</f>
        <v>AMD Octa-Core Ryzen 7</v>
      </c>
      <c r="S295" t="str">
        <f t="shared" si="23"/>
        <v>16 GB</v>
      </c>
    </row>
    <row r="296" spans="1:19">
      <c r="A296" t="str">
        <f>LEFT(B296, LEN(B296)-15)</f>
        <v>Asus VivoBook 15X OLED K3504VA-LK542WS Laptop (Core i5 13th Gen/16 GB/512 GB SSD/Windows 11)</v>
      </c>
      <c r="B296" t="s">
        <v>570</v>
      </c>
      <c r="C296" s="1">
        <v>66990</v>
      </c>
      <c r="D296" s="1">
        <v>2</v>
      </c>
      <c r="E296" s="2">
        <v>90</v>
      </c>
      <c r="F296" s="2" t="str" cm="1">
        <f t="array" ref="F296">_xlfn.IFS(AND(101&gt;E296, E296&gt;69), "Top-Tier", AND(70&gt;E296, E296&gt;39), "Mid-Tier", 40&gt;E296, "Low-Tier")</f>
        <v>Top-Tier</v>
      </c>
      <c r="G296" s="4">
        <v>45108</v>
      </c>
      <c r="H296" t="s">
        <v>571</v>
      </c>
      <c r="I296" t="s">
        <v>33</v>
      </c>
      <c r="J296" t="s">
        <v>34</v>
      </c>
      <c r="K296" t="s">
        <v>215</v>
      </c>
      <c r="L296" t="s">
        <v>24</v>
      </c>
      <c r="M296" t="s">
        <v>95</v>
      </c>
      <c r="N296" t="s">
        <v>31</v>
      </c>
      <c r="P296" s="3">
        <v>76</v>
      </c>
      <c r="Q296" t="str">
        <f>LEFT(B296, 4)</f>
        <v>Asus</v>
      </c>
      <c r="R296" t="str">
        <f t="shared" si="29"/>
        <v>AMD Octa-Core Ryzen 7</v>
      </c>
      <c r="S296" t="str">
        <f t="shared" si="23"/>
        <v>16 GB</v>
      </c>
    </row>
    <row r="297" spans="1:19">
      <c r="A297" t="str">
        <f>LEFT(B297, LEN(B297)-15)</f>
        <v>Lenovo Yoga 7 14ARP8 (82YM004UIN) Laptop (AMD Octa Core Ryzen 7/16 GB/512 GB SSD/Windows 11)</v>
      </c>
      <c r="B297" t="s">
        <v>572</v>
      </c>
      <c r="C297" s="1">
        <v>92190</v>
      </c>
      <c r="D297" s="1">
        <v>2</v>
      </c>
      <c r="E297" s="2">
        <v>90</v>
      </c>
      <c r="F297" s="2" t="str" cm="1">
        <f t="array" ref="F297">_xlfn.IFS(AND(101&gt;E297, E297&gt;69), "Top-Tier", AND(70&gt;E297, E297&gt;39), "Mid-Tier", 40&gt;E297, "Low-Tier")</f>
        <v>Top-Tier</v>
      </c>
      <c r="G297" s="4">
        <v>45108</v>
      </c>
      <c r="H297" t="s">
        <v>573</v>
      </c>
      <c r="I297" t="s">
        <v>33</v>
      </c>
      <c r="J297" t="s">
        <v>121</v>
      </c>
      <c r="K297" t="s">
        <v>81</v>
      </c>
      <c r="L297" t="s">
        <v>24</v>
      </c>
      <c r="N297" t="s">
        <v>31</v>
      </c>
      <c r="P297" s="3">
        <v>78</v>
      </c>
      <c r="Q297" t="str">
        <f>LEFT(B297, 6)</f>
        <v>Lenovo</v>
      </c>
      <c r="R297" t="str">
        <f>LEFT(H297, 21)</f>
        <v>AMD Octa-Core Ryzen 7</v>
      </c>
      <c r="S297" t="str">
        <f t="shared" si="23"/>
        <v>16 GB</v>
      </c>
    </row>
    <row r="298" spans="1:19">
      <c r="A298" t="str">
        <f>LEFT(B298, LEN(B298)-15)</f>
        <v>HP Victus 15-fa0187TX (8F4Z5PA) Laptop (Core i7 12th Gen/16 GB/1 TB SSD/Windows 11/4 GB)</v>
      </c>
      <c r="B298" t="s">
        <v>574</v>
      </c>
      <c r="C298" s="1">
        <v>74990</v>
      </c>
      <c r="D298" s="1">
        <v>2</v>
      </c>
      <c r="E298" s="2">
        <v>90</v>
      </c>
      <c r="F298" s="2" t="str" cm="1">
        <f t="array" ref="F298">_xlfn.IFS(AND(101&gt;E298, E298&gt;69), "Top-Tier", AND(70&gt;E298, E298&gt;39), "Mid-Tier", 40&gt;E298, "Low-Tier")</f>
        <v>Top-Tier</v>
      </c>
      <c r="G298" s="4">
        <v>45108</v>
      </c>
      <c r="H298" t="s">
        <v>575</v>
      </c>
      <c r="I298" t="s">
        <v>33</v>
      </c>
      <c r="J298" t="s">
        <v>184</v>
      </c>
      <c r="K298" t="s">
        <v>51</v>
      </c>
      <c r="L298" t="s">
        <v>24</v>
      </c>
      <c r="N298" t="s">
        <v>31</v>
      </c>
      <c r="P298" s="3">
        <v>83</v>
      </c>
      <c r="Q298" t="str">
        <f>LEFT(B298, 2)</f>
        <v>HP</v>
      </c>
      <c r="R298" t="str">
        <f t="shared" ref="R298:R299" si="30">LEFT(H298, 21)</f>
        <v>AMD Octa-Core Ryzen 7</v>
      </c>
      <c r="S298" t="str">
        <f t="shared" si="23"/>
        <v>16 GB</v>
      </c>
    </row>
    <row r="299" spans="1:19">
      <c r="A299" t="str">
        <f>LEFT(B299, LEN(B299)-15)</f>
        <v>Dell Vostro 5630 (IN5630P8YRR001ORS1) Laptop (Core i5 13th Gen/16 GB/512 GB SSD/Windows 11)</v>
      </c>
      <c r="B299" t="s">
        <v>576</v>
      </c>
      <c r="C299" s="1">
        <v>63999</v>
      </c>
      <c r="D299" s="1">
        <v>14</v>
      </c>
      <c r="E299" s="2">
        <v>90</v>
      </c>
      <c r="F299" s="2" t="str" cm="1">
        <f t="array" ref="F299">_xlfn.IFS(AND(101&gt;E299, E299&gt;69), "Top-Tier", AND(70&gt;E299, E299&gt;39), "Mid-Tier", 40&gt;E299, "Low-Tier")</f>
        <v>Top-Tier</v>
      </c>
      <c r="G299" s="4">
        <v>45108</v>
      </c>
      <c r="H299" t="s">
        <v>575</v>
      </c>
      <c r="I299" t="s">
        <v>33</v>
      </c>
      <c r="J299" t="s">
        <v>121</v>
      </c>
      <c r="K299" t="s">
        <v>577</v>
      </c>
      <c r="L299" t="s">
        <v>24</v>
      </c>
      <c r="M299" t="s">
        <v>483</v>
      </c>
      <c r="N299" t="s">
        <v>31</v>
      </c>
      <c r="P299" s="3">
        <v>76</v>
      </c>
      <c r="Q299" t="str">
        <f>LEFT(B299, 4)</f>
        <v>Dell</v>
      </c>
      <c r="R299" t="str">
        <f t="shared" si="30"/>
        <v>AMD Octa-Core Ryzen 7</v>
      </c>
      <c r="S299" t="str">
        <f t="shared" si="23"/>
        <v>16 GB</v>
      </c>
    </row>
    <row r="300" spans="1:19">
      <c r="A300" t="str">
        <f>LEFT(B300, LEN(B300)-15)</f>
        <v>HP Envy x360 15-fh0015AU (8C4S1PA) Laptop (AMD Hexa Core Ryzen 5/16 GB/512 GB SSD/Windows 11)</v>
      </c>
      <c r="B300" t="s">
        <v>578</v>
      </c>
      <c r="C300" s="1">
        <v>80990</v>
      </c>
      <c r="D300" s="1">
        <v>10</v>
      </c>
      <c r="E300" s="2">
        <v>90</v>
      </c>
      <c r="F300" s="2" t="str" cm="1">
        <f t="array" ref="F300">_xlfn.IFS(AND(101&gt;E300, E300&gt;69), "Top-Tier", AND(70&gt;E300, E300&gt;39), "Mid-Tier", 40&gt;E300, "Low-Tier")</f>
        <v>Top-Tier</v>
      </c>
      <c r="G300" s="4">
        <v>45108</v>
      </c>
      <c r="H300" t="s">
        <v>579</v>
      </c>
      <c r="I300" t="s">
        <v>33</v>
      </c>
      <c r="J300" t="s">
        <v>214</v>
      </c>
      <c r="K300" t="s">
        <v>51</v>
      </c>
      <c r="L300" t="s">
        <v>24</v>
      </c>
      <c r="M300" t="s">
        <v>36</v>
      </c>
      <c r="N300" t="s">
        <v>31</v>
      </c>
      <c r="P300" s="3">
        <v>72</v>
      </c>
      <c r="Q300" t="str">
        <f>LEFT(B300, 2)</f>
        <v>HP</v>
      </c>
      <c r="R300" t="str">
        <f>LEFT(H300, 21)</f>
        <v>AMD Octa-Core Ryzen 7</v>
      </c>
      <c r="S300" t="str">
        <f t="shared" si="23"/>
        <v>16 GB</v>
      </c>
    </row>
    <row r="301" spans="1:19">
      <c r="A301" t="str">
        <f>LEFT(B301, LEN(B301)-15)</f>
        <v>HP Victus 15-fa1066TX (81H53PA) Laptop (Core i7 13th Gen/16 GB/512 GB SSD/Windows 11/6 GB)</v>
      </c>
      <c r="B301" t="s">
        <v>580</v>
      </c>
      <c r="C301" s="1">
        <v>102999</v>
      </c>
      <c r="D301" s="1">
        <v>67</v>
      </c>
      <c r="E301" s="2">
        <v>90</v>
      </c>
      <c r="F301" s="2" t="str" cm="1">
        <f t="array" ref="F301">_xlfn.IFS(AND(101&gt;E301, E301&gt;69), "Top-Tier", AND(70&gt;E301, E301&gt;39), "Mid-Tier", 40&gt;E301, "Low-Tier")</f>
        <v>Top-Tier</v>
      </c>
      <c r="G301" s="4">
        <v>45078</v>
      </c>
      <c r="H301" t="s">
        <v>579</v>
      </c>
      <c r="I301" t="s">
        <v>33</v>
      </c>
      <c r="J301" t="s">
        <v>34</v>
      </c>
      <c r="K301" t="s">
        <v>51</v>
      </c>
      <c r="L301" t="s">
        <v>24</v>
      </c>
      <c r="N301" t="s">
        <v>31</v>
      </c>
      <c r="P301" s="3">
        <v>84</v>
      </c>
      <c r="Q301" t="str">
        <f>LEFT(B301, 2)</f>
        <v>HP</v>
      </c>
      <c r="R301" t="str">
        <f t="shared" ref="R301:R306" si="31">LEFT(H301, 21)</f>
        <v>AMD Octa-Core Ryzen 7</v>
      </c>
      <c r="S301" t="str">
        <f t="shared" si="23"/>
        <v>16 GB</v>
      </c>
    </row>
    <row r="302" spans="1:19">
      <c r="A302" t="str">
        <f>LEFT(B302, LEN(B302)-15)</f>
        <v>MSI Katana 17 B13VEK-254IN Laptop (Core i7 13th Gen/16 GB/1 TB SSD/Windows 11/6 GB)</v>
      </c>
      <c r="B302" t="s">
        <v>581</v>
      </c>
      <c r="C302" s="1">
        <v>97990</v>
      </c>
      <c r="D302" s="1">
        <v>32</v>
      </c>
      <c r="E302" s="2">
        <v>90</v>
      </c>
      <c r="F302" s="2" t="str" cm="1">
        <f t="array" ref="F302">_xlfn.IFS(AND(101&gt;E302, E302&gt;69), "Top-Tier", AND(70&gt;E302, E302&gt;39), "Mid-Tier", 40&gt;E302, "Low-Tier")</f>
        <v>Top-Tier</v>
      </c>
      <c r="G302" s="4">
        <v>45078</v>
      </c>
      <c r="H302" t="s">
        <v>579</v>
      </c>
      <c r="I302" t="s">
        <v>33</v>
      </c>
      <c r="J302" t="s">
        <v>72</v>
      </c>
      <c r="K302" t="s">
        <v>565</v>
      </c>
      <c r="L302" t="s">
        <v>24</v>
      </c>
      <c r="N302" t="s">
        <v>31</v>
      </c>
      <c r="P302" s="3">
        <v>85</v>
      </c>
      <c r="Q302" t="str">
        <f>LEFT(B302, 3)</f>
        <v>MSI</v>
      </c>
      <c r="R302" t="str">
        <f t="shared" si="31"/>
        <v>AMD Octa-Core Ryzen 7</v>
      </c>
      <c r="S302" t="str">
        <f t="shared" si="23"/>
        <v>16 GB</v>
      </c>
    </row>
    <row r="303" spans="1:19">
      <c r="A303" t="str">
        <f>LEFT(B303, LEN(B303)-15)</f>
        <v>MSI Katana 15 B12UDXK-1019IN Laptop (Core i5 12th Gen/16 GB/1 TB SSD/Windows 11/6 GB)</v>
      </c>
      <c r="B303" t="s">
        <v>582</v>
      </c>
      <c r="C303" s="1">
        <v>81906</v>
      </c>
      <c r="D303" s="1">
        <v>17</v>
      </c>
      <c r="E303" s="2">
        <v>90</v>
      </c>
      <c r="F303" s="2" t="str" cm="1">
        <f t="array" ref="F303">_xlfn.IFS(AND(101&gt;E303, E303&gt;69), "Top-Tier", AND(70&gt;E303, E303&gt;39), "Mid-Tier", 40&gt;E303, "Low-Tier")</f>
        <v>Top-Tier</v>
      </c>
      <c r="G303" s="4">
        <v>45047</v>
      </c>
      <c r="H303" t="s">
        <v>579</v>
      </c>
      <c r="I303" t="s">
        <v>33</v>
      </c>
      <c r="J303" t="s">
        <v>72</v>
      </c>
      <c r="K303" t="s">
        <v>51</v>
      </c>
      <c r="L303" t="s">
        <v>24</v>
      </c>
      <c r="N303" t="s">
        <v>31</v>
      </c>
      <c r="P303" s="3">
        <v>81</v>
      </c>
      <c r="Q303" t="str">
        <f>LEFT(B303, 3)</f>
        <v>MSI</v>
      </c>
      <c r="R303" t="str">
        <f t="shared" si="31"/>
        <v>AMD Octa-Core Ryzen 7</v>
      </c>
      <c r="S303" t="str">
        <f t="shared" si="23"/>
        <v>16 GB</v>
      </c>
    </row>
    <row r="304" spans="1:19">
      <c r="A304" t="str">
        <f>LEFT(B304, LEN(B304)-15)</f>
        <v>Asus ROG Strix G16 G614JV-N4141WS Laptop (Core i9 13th Gen/16 GB/1 TB SSD/Windows 11/8 GB)</v>
      </c>
      <c r="B304" t="s">
        <v>583</v>
      </c>
      <c r="C304" s="1">
        <v>154990</v>
      </c>
      <c r="D304" s="1">
        <v>42</v>
      </c>
      <c r="E304" s="2">
        <v>90</v>
      </c>
      <c r="F304" s="2" t="str" cm="1">
        <f t="array" ref="F304">_xlfn.IFS(AND(101&gt;E304, E304&gt;69), "Top-Tier", AND(70&gt;E304, E304&gt;39), "Mid-Tier", 40&gt;E304, "Low-Tier")</f>
        <v>Top-Tier</v>
      </c>
      <c r="G304" s="4">
        <v>45047</v>
      </c>
      <c r="H304" t="s">
        <v>579</v>
      </c>
      <c r="I304" t="s">
        <v>33</v>
      </c>
      <c r="J304" t="s">
        <v>72</v>
      </c>
      <c r="K304" t="s">
        <v>117</v>
      </c>
      <c r="L304" t="s">
        <v>24</v>
      </c>
      <c r="Q304" t="str">
        <f>LEFT(B304, 4)</f>
        <v>Asus</v>
      </c>
      <c r="R304" t="str">
        <f t="shared" si="31"/>
        <v>AMD Octa-Core Ryzen 7</v>
      </c>
      <c r="S304" t="str">
        <f t="shared" si="23"/>
        <v>16 GB</v>
      </c>
    </row>
    <row r="305" spans="1:19">
      <c r="A305" t="str">
        <f>LEFT(B305, LEN(B305)-15)</f>
        <v>Asus ROG Strix G18 G814JV-N5063WS Laptop (Core i7 13th Gen/16 GB/1 TB SSD/Windows 11/8 GB)</v>
      </c>
      <c r="B305" t="s">
        <v>584</v>
      </c>
      <c r="C305" s="1">
        <v>179990</v>
      </c>
      <c r="D305" s="1">
        <v>13</v>
      </c>
      <c r="E305" s="2">
        <v>90</v>
      </c>
      <c r="F305" s="2" t="str" cm="1">
        <f t="array" ref="F305">_xlfn.IFS(AND(101&gt;E305, E305&gt;69), "Top-Tier", AND(70&gt;E305, E305&gt;39), "Mid-Tier", 40&gt;E305, "Low-Tier")</f>
        <v>Top-Tier</v>
      </c>
      <c r="G305" s="4">
        <v>45047</v>
      </c>
      <c r="H305" t="s">
        <v>579</v>
      </c>
      <c r="I305" t="s">
        <v>33</v>
      </c>
      <c r="J305" t="s">
        <v>72</v>
      </c>
      <c r="K305" t="s">
        <v>234</v>
      </c>
      <c r="L305" t="s">
        <v>24</v>
      </c>
      <c r="M305" t="s">
        <v>585</v>
      </c>
      <c r="N305" t="s">
        <v>31</v>
      </c>
      <c r="Q305" t="str">
        <f>LEFT(B305, 4)</f>
        <v>Asus</v>
      </c>
      <c r="R305" t="str">
        <f t="shared" si="31"/>
        <v>AMD Octa-Core Ryzen 7</v>
      </c>
      <c r="S305" t="str">
        <f t="shared" si="23"/>
        <v>16 GB</v>
      </c>
    </row>
    <row r="306" spans="1:19">
      <c r="A306" t="str">
        <f>LEFT(B306, LEN(B306)-15)</f>
        <v>MSI GF63 Thin 12VE-267IN Laptop (Core i5 12th Gen/16 GB/1 TB 256 GB SSD/Windows 11/6 GB)</v>
      </c>
      <c r="B306" t="s">
        <v>586</v>
      </c>
      <c r="C306" s="1">
        <v>87056</v>
      </c>
      <c r="D306" s="1">
        <v>180</v>
      </c>
      <c r="E306" s="2">
        <v>90</v>
      </c>
      <c r="F306" s="2" t="str" cm="1">
        <f t="array" ref="F306">_xlfn.IFS(AND(101&gt;E306, E306&gt;69), "Top-Tier", AND(70&gt;E306, E306&gt;39), "Mid-Tier", 40&gt;E306, "Low-Tier")</f>
        <v>Top-Tier</v>
      </c>
      <c r="G306" s="4">
        <v>45047</v>
      </c>
      <c r="H306" t="s">
        <v>587</v>
      </c>
      <c r="I306" t="s">
        <v>33</v>
      </c>
      <c r="J306" t="s">
        <v>315</v>
      </c>
      <c r="K306" t="s">
        <v>51</v>
      </c>
      <c r="L306" t="s">
        <v>24</v>
      </c>
      <c r="N306" t="s">
        <v>31</v>
      </c>
      <c r="P306" s="3">
        <v>80</v>
      </c>
      <c r="Q306" t="str">
        <f>LEFT(B306, 3)</f>
        <v>MSI</v>
      </c>
      <c r="R306" t="str">
        <f t="shared" si="31"/>
        <v>AMD Octa-Core Ryzen 7</v>
      </c>
      <c r="S306" t="str">
        <f t="shared" si="23"/>
        <v>16 GB</v>
      </c>
    </row>
    <row r="307" spans="1:19">
      <c r="A307" t="str">
        <f>LEFT(B307, LEN(B307)-15)</f>
        <v>Asus Zenbook 14 OLED UM3402YA-KM541WS Laptop (AMD Hexa Core Ryzen 5/16 GB/512 GB SSD/Windows 11)</v>
      </c>
      <c r="B307" t="s">
        <v>588</v>
      </c>
      <c r="C307" s="1">
        <v>64900</v>
      </c>
      <c r="D307" s="1">
        <v>45</v>
      </c>
      <c r="E307" s="2">
        <v>90</v>
      </c>
      <c r="F307" s="2" t="str" cm="1">
        <f t="array" ref="F307">_xlfn.IFS(AND(101&gt;E307, E307&gt;69), "Top-Tier", AND(70&gt;E307, E307&gt;39), "Mid-Tier", 40&gt;E307, "Low-Tier")</f>
        <v>Top-Tier</v>
      </c>
      <c r="G307" s="4">
        <v>44986</v>
      </c>
      <c r="H307" t="s">
        <v>587</v>
      </c>
      <c r="I307" t="s">
        <v>33</v>
      </c>
      <c r="J307" t="s">
        <v>214</v>
      </c>
      <c r="K307" t="s">
        <v>81</v>
      </c>
      <c r="L307" t="s">
        <v>24</v>
      </c>
      <c r="M307" t="s">
        <v>178</v>
      </c>
      <c r="P307" s="3">
        <v>71</v>
      </c>
      <c r="Q307" t="str">
        <f>LEFT(B307, 4)</f>
        <v>Asus</v>
      </c>
      <c r="R307" t="str">
        <f>LEFT(H307, 21)</f>
        <v>AMD Octa-Core Ryzen 7</v>
      </c>
      <c r="S307" t="str">
        <f t="shared" si="23"/>
        <v>16 GB</v>
      </c>
    </row>
    <row r="308" spans="1:19">
      <c r="A308" t="str">
        <f>LEFT(B308, LEN(B308)-15)</f>
        <v>Asus VivoBook Pro 15 OLED M3500QC-L1501WS Netbook (AMD Hexa Core Ryzen 5/16 GB/512 GB SSD/Windows 11)</v>
      </c>
      <c r="B308" t="s">
        <v>589</v>
      </c>
      <c r="C308" s="1">
        <v>68470</v>
      </c>
      <c r="D308" s="1">
        <v>6</v>
      </c>
      <c r="E308" s="2">
        <v>90</v>
      </c>
      <c r="F308" s="2" t="str" cm="1">
        <f t="array" ref="F308">_xlfn.IFS(AND(101&gt;E308, E308&gt;69), "Top-Tier", AND(70&gt;E308, E308&gt;39), "Mid-Tier", 40&gt;E308, "Low-Tier")</f>
        <v>Top-Tier</v>
      </c>
      <c r="G308" s="4">
        <v>44986</v>
      </c>
      <c r="H308" t="s">
        <v>590</v>
      </c>
      <c r="I308" t="s">
        <v>33</v>
      </c>
      <c r="J308" t="s">
        <v>34</v>
      </c>
      <c r="K308" t="s">
        <v>159</v>
      </c>
      <c r="L308" t="s">
        <v>24</v>
      </c>
      <c r="O308" t="s">
        <v>254</v>
      </c>
      <c r="Q308" t="str">
        <f>LEFT(B308, 4)</f>
        <v>Asus</v>
      </c>
      <c r="R308" t="str">
        <f t="shared" ref="R308:R310" si="32">LEFT(H308, 21)</f>
        <v>AMD Octa-Core Ryzen 7</v>
      </c>
      <c r="S308" t="str">
        <f t="shared" si="23"/>
        <v>16 GB</v>
      </c>
    </row>
    <row r="309" spans="1:19">
      <c r="A309" t="str">
        <f>LEFT(B309, LEN(B309)-15)</f>
        <v>MSI Katana 15 B13VEK-297IN Laptop (Core i7 13th Gen/16 GB/1 TB SSD/Windows 11/6 GB)</v>
      </c>
      <c r="B309" t="s">
        <v>591</v>
      </c>
      <c r="C309" s="1">
        <v>89990</v>
      </c>
      <c r="D309" s="1">
        <v>15</v>
      </c>
      <c r="E309" s="2">
        <v>90</v>
      </c>
      <c r="F309" s="2" t="str" cm="1">
        <f t="array" ref="F309">_xlfn.IFS(AND(101&gt;E309, E309&gt;69), "Top-Tier", AND(70&gt;E309, E309&gt;39), "Mid-Tier", 40&gt;E309, "Low-Tier")</f>
        <v>Top-Tier</v>
      </c>
      <c r="G309" s="4">
        <v>44958</v>
      </c>
      <c r="H309" t="s">
        <v>592</v>
      </c>
      <c r="I309" t="s">
        <v>33</v>
      </c>
      <c r="J309" t="s">
        <v>72</v>
      </c>
      <c r="K309" t="s">
        <v>51</v>
      </c>
      <c r="L309" t="s">
        <v>24</v>
      </c>
      <c r="N309" t="s">
        <v>31</v>
      </c>
      <c r="Q309" t="str">
        <f>LEFT(B309, 3)</f>
        <v>MSI</v>
      </c>
      <c r="R309" t="str">
        <f t="shared" si="32"/>
        <v>AMD Octa-Core Ryzen 7</v>
      </c>
      <c r="S309" t="str">
        <f t="shared" si="23"/>
        <v>16 GB</v>
      </c>
    </row>
    <row r="310" spans="1:19">
      <c r="A310" t="str">
        <f>LEFT(B310, LEN(B310)-15)</f>
        <v>MSI Stealth 15 A13VE-034IN Laptop (Core i7 13th Gen/16 GB/1 TB SSD/Windows 11/6 GB)</v>
      </c>
      <c r="B310" t="s">
        <v>593</v>
      </c>
      <c r="C310" s="1">
        <v>107873</v>
      </c>
      <c r="D310" s="1">
        <v>6</v>
      </c>
      <c r="E310" s="2">
        <v>90</v>
      </c>
      <c r="F310" s="2" t="str" cm="1">
        <f t="array" ref="F310">_xlfn.IFS(AND(101&gt;E310, E310&gt;69), "Top-Tier", AND(70&gt;E310, E310&gt;39), "Mid-Tier", 40&gt;E310, "Low-Tier")</f>
        <v>Top-Tier</v>
      </c>
      <c r="G310" s="4">
        <v>44958</v>
      </c>
      <c r="H310" t="s">
        <v>594</v>
      </c>
      <c r="I310" t="s">
        <v>33</v>
      </c>
      <c r="J310" t="s">
        <v>72</v>
      </c>
      <c r="K310" t="s">
        <v>51</v>
      </c>
      <c r="L310" t="s">
        <v>24</v>
      </c>
      <c r="M310" t="s">
        <v>253</v>
      </c>
      <c r="N310" t="s">
        <v>31</v>
      </c>
      <c r="Q310" t="str">
        <f>LEFT(B310, 3)</f>
        <v>MSI</v>
      </c>
      <c r="R310" t="str">
        <f t="shared" si="32"/>
        <v>AMD Octa-Core Ryzen 7</v>
      </c>
      <c r="S310" t="str">
        <f t="shared" si="23"/>
        <v>16 GB</v>
      </c>
    </row>
    <row r="311" spans="1:19">
      <c r="A311" t="str">
        <f>LEFT(B311, LEN(B311)-15)</f>
        <v>Apple MacBook Pro M2 Pro MPHJ3HN/A Ultrabook (Apple M2 Pro/16 GB/1 TB SSD/macOS Ventura)</v>
      </c>
      <c r="B311" t="s">
        <v>595</v>
      </c>
      <c r="C311" s="1">
        <v>231336</v>
      </c>
      <c r="D311" s="1">
        <v>6</v>
      </c>
      <c r="E311" s="2">
        <v>90</v>
      </c>
      <c r="F311" s="2" t="str" cm="1">
        <f t="array" ref="F311">_xlfn.IFS(AND(101&gt;E311, E311&gt;69), "Top-Tier", AND(70&gt;E311, E311&gt;39), "Mid-Tier", 40&gt;E311, "Low-Tier")</f>
        <v>Top-Tier</v>
      </c>
      <c r="G311" s="4">
        <v>44927</v>
      </c>
      <c r="H311" t="s">
        <v>596</v>
      </c>
      <c r="I311" t="s">
        <v>207</v>
      </c>
      <c r="J311" t="s">
        <v>293</v>
      </c>
      <c r="K311" t="s">
        <v>29</v>
      </c>
      <c r="L311" t="s">
        <v>24</v>
      </c>
      <c r="N311" t="s">
        <v>31</v>
      </c>
      <c r="P311" s="3">
        <v>77</v>
      </c>
      <c r="Q311" t="str">
        <f>LEFT(B311, 5)</f>
        <v>Apple</v>
      </c>
      <c r="R311" t="str">
        <f>LEFT(H311, 21)</f>
        <v>AMD Octa-Core Ryzen 7</v>
      </c>
      <c r="S311" t="str">
        <f t="shared" si="23"/>
        <v>16 GB</v>
      </c>
    </row>
    <row r="312" spans="1:19">
      <c r="A312" t="str">
        <f>LEFT(B312, LEN(B312)-15)</f>
        <v>Acer Aspire 7 A715-5G (NH.QGBSI.002) Laptop (Core i5 12th Gen/8 GB/512 GB SSD/Windows 11/4 GB)</v>
      </c>
      <c r="B312" t="s">
        <v>597</v>
      </c>
      <c r="C312" s="1">
        <v>62999</v>
      </c>
      <c r="D312" s="1">
        <v>2</v>
      </c>
      <c r="E312" s="2">
        <v>90</v>
      </c>
      <c r="F312" s="2" t="str" cm="1">
        <f t="array" ref="F312">_xlfn.IFS(AND(101&gt;E312, E312&gt;69), "Top-Tier", AND(70&gt;E312, E312&gt;39), "Mid-Tier", 40&gt;E312, "Low-Tier")</f>
        <v>Top-Tier</v>
      </c>
      <c r="G312" s="4">
        <v>44927</v>
      </c>
      <c r="H312" t="s">
        <v>596</v>
      </c>
      <c r="I312" t="s">
        <v>33</v>
      </c>
      <c r="J312" t="s">
        <v>50</v>
      </c>
      <c r="K312" t="s">
        <v>51</v>
      </c>
      <c r="L312" t="s">
        <v>24</v>
      </c>
      <c r="M312" t="s">
        <v>135</v>
      </c>
      <c r="N312" t="s">
        <v>31</v>
      </c>
      <c r="P312" s="3">
        <v>72</v>
      </c>
      <c r="Q312" t="str">
        <f>LEFT(B312, 4)</f>
        <v>Acer</v>
      </c>
      <c r="R312" t="str">
        <f t="shared" ref="R312:R320" si="33">LEFT(H312, 21)</f>
        <v>AMD Octa-Core Ryzen 7</v>
      </c>
      <c r="S312" t="str">
        <f t="shared" si="23"/>
        <v xml:space="preserve">8 GB </v>
      </c>
    </row>
    <row r="313" spans="1:19">
      <c r="A313" t="str">
        <f>LEFT(B313, LEN(B313)-15)</f>
        <v>Gigabyte G5 KE-52IN213SH (RC55KE) Laptop (Core i5 12th Gen/16 GB/512 GB SSD/Windows 11/6 GB)</v>
      </c>
      <c r="B313" t="s">
        <v>598</v>
      </c>
      <c r="C313" s="1">
        <v>80004</v>
      </c>
      <c r="D313" s="1">
        <v>18</v>
      </c>
      <c r="E313" s="2">
        <v>90</v>
      </c>
      <c r="F313" s="2" t="str" cm="1">
        <f t="array" ref="F313">_xlfn.IFS(AND(101&gt;E313, E313&gt;69), "Top-Tier", AND(70&gt;E313, E313&gt;39), "Mid-Tier", 40&gt;E313, "Low-Tier")</f>
        <v>Top-Tier</v>
      </c>
      <c r="G313" s="4">
        <v>44896</v>
      </c>
      <c r="H313" t="s">
        <v>596</v>
      </c>
      <c r="I313" t="s">
        <v>33</v>
      </c>
      <c r="J313" t="s">
        <v>34</v>
      </c>
      <c r="K313" t="s">
        <v>159</v>
      </c>
      <c r="L313" t="s">
        <v>24</v>
      </c>
      <c r="N313" t="s">
        <v>31</v>
      </c>
      <c r="P313" s="3">
        <v>82</v>
      </c>
      <c r="Q313" t="str">
        <f>LEFT(B313, 8)</f>
        <v>Gigabyte</v>
      </c>
      <c r="R313" t="str">
        <f t="shared" si="33"/>
        <v>AMD Octa-Core Ryzen 7</v>
      </c>
      <c r="S313" t="str">
        <f t="shared" si="23"/>
        <v>16 GB</v>
      </c>
    </row>
    <row r="314" spans="1:19">
      <c r="A314" t="str">
        <f>LEFT(B314, LEN(B314)-15)</f>
        <v>Microsoft Surface 5 Intel Evo (RIP-00048) Laptop (Core i7 12th Gen/16 GB/512 GB SSD/Windows 11)</v>
      </c>
      <c r="B314" t="s">
        <v>599</v>
      </c>
      <c r="C314" s="1">
        <v>141999</v>
      </c>
      <c r="D314" s="1">
        <v>2</v>
      </c>
      <c r="E314" s="2">
        <v>90</v>
      </c>
      <c r="F314" s="2" t="str" cm="1">
        <f t="array" ref="F314">_xlfn.IFS(AND(101&gt;E314, E314&gt;69), "Top-Tier", AND(70&gt;E314, E314&gt;39), "Mid-Tier", 40&gt;E314, "Low-Tier")</f>
        <v>Top-Tier</v>
      </c>
      <c r="G314" s="4">
        <v>44866</v>
      </c>
      <c r="H314" t="s">
        <v>596</v>
      </c>
      <c r="I314" t="s">
        <v>33</v>
      </c>
      <c r="J314" t="s">
        <v>63</v>
      </c>
      <c r="K314" t="s">
        <v>600</v>
      </c>
      <c r="L314" t="s">
        <v>24</v>
      </c>
      <c r="M314" t="s">
        <v>601</v>
      </c>
      <c r="P314" s="3">
        <v>77</v>
      </c>
      <c r="Q314" t="str">
        <f>LEFT(B314, 9)</f>
        <v>Microsoft</v>
      </c>
      <c r="R314" t="str">
        <f t="shared" si="33"/>
        <v>AMD Octa-Core Ryzen 7</v>
      </c>
      <c r="S314" t="str">
        <f t="shared" si="23"/>
        <v>16 GB</v>
      </c>
    </row>
    <row r="315" spans="1:19">
      <c r="A315" t="str">
        <f>LEFT(B315, LEN(B315)-15)</f>
        <v>Asus TUF Gaming F15 FX506LI-HN279T Laptop (Core i5 10th Gen/16 GB/512 GB SSD/Windows 10/4 GB)</v>
      </c>
      <c r="B315" t="s">
        <v>602</v>
      </c>
      <c r="C315" s="1">
        <v>66329</v>
      </c>
      <c r="D315" s="1">
        <v>889</v>
      </c>
      <c r="E315" s="2">
        <v>90</v>
      </c>
      <c r="F315" s="2" t="str" cm="1">
        <f t="array" ref="F315">_xlfn.IFS(AND(101&gt;E315, E315&gt;69), "Top-Tier", AND(70&gt;E315, E315&gt;39), "Mid-Tier", 40&gt;E315, "Low-Tier")</f>
        <v>Top-Tier</v>
      </c>
      <c r="G315" s="4">
        <v>44866</v>
      </c>
      <c r="H315" t="s">
        <v>596</v>
      </c>
      <c r="I315" t="s">
        <v>248</v>
      </c>
      <c r="J315" t="s">
        <v>34</v>
      </c>
      <c r="K315" t="s">
        <v>249</v>
      </c>
      <c r="L315" t="s">
        <v>24</v>
      </c>
      <c r="N315" t="s">
        <v>31</v>
      </c>
      <c r="P315" s="3">
        <v>75</v>
      </c>
      <c r="Q315" t="str">
        <f>LEFT(B315, 4)</f>
        <v>Asus</v>
      </c>
      <c r="R315" t="str">
        <f t="shared" si="33"/>
        <v>AMD Octa-Core Ryzen 7</v>
      </c>
      <c r="S315" t="str">
        <f t="shared" si="23"/>
        <v>16 GB</v>
      </c>
    </row>
    <row r="316" spans="1:19">
      <c r="A316" t="str">
        <f>LEFT(B316, LEN(B316)-15)</f>
        <v>Lenovo Thinkpad T14 (20W0S0TC00) Laptop (Core i5 11th Gen/16 GB/512 GB SSD/Windows 10)</v>
      </c>
      <c r="B316" t="s">
        <v>603</v>
      </c>
      <c r="C316" s="1">
        <v>105000</v>
      </c>
      <c r="D316" s="1">
        <v>2</v>
      </c>
      <c r="E316" s="2">
        <v>90</v>
      </c>
      <c r="F316" s="2" t="str" cm="1">
        <f t="array" ref="F316">_xlfn.IFS(AND(101&gt;E316, E316&gt;69), "Top-Tier", AND(70&gt;E316, E316&gt;39), "Mid-Tier", 40&gt;E316, "Low-Tier")</f>
        <v>Top-Tier</v>
      </c>
      <c r="G316" s="4">
        <v>44866</v>
      </c>
      <c r="H316" t="s">
        <v>604</v>
      </c>
      <c r="I316" t="s">
        <v>248</v>
      </c>
      <c r="J316" t="s">
        <v>34</v>
      </c>
      <c r="K316" t="s">
        <v>439</v>
      </c>
      <c r="L316" t="s">
        <v>24</v>
      </c>
      <c r="M316" t="s">
        <v>74</v>
      </c>
      <c r="N316" t="s">
        <v>31</v>
      </c>
      <c r="O316" t="s">
        <v>261</v>
      </c>
      <c r="Q316" t="str">
        <f>LEFT(B316, 6)</f>
        <v>Lenovo</v>
      </c>
      <c r="R316" t="str">
        <f t="shared" si="33"/>
        <v>AMD Octa-Core Ryzen 7</v>
      </c>
      <c r="S316" t="str">
        <f t="shared" si="23"/>
        <v>16 GB</v>
      </c>
    </row>
    <row r="317" spans="1:19">
      <c r="A317" t="str">
        <f>LEFT(B317, LEN(B317)-15)</f>
        <v>Gigabyte G5 ME-51IN213SH (RC55ME) Laptop (Core i5 12th Gen/16 GB/512 GB SSD/Windows 11/4 GB)</v>
      </c>
      <c r="B317" t="s">
        <v>605</v>
      </c>
      <c r="C317" s="1">
        <v>71040</v>
      </c>
      <c r="D317" s="1">
        <v>19</v>
      </c>
      <c r="E317" s="2">
        <v>90</v>
      </c>
      <c r="F317" s="2" t="str" cm="1">
        <f t="array" ref="F317">_xlfn.IFS(AND(101&gt;E317, E317&gt;69), "Top-Tier", AND(70&gt;E317, E317&gt;39), "Mid-Tier", 40&gt;E317, "Low-Tier")</f>
        <v>Top-Tier</v>
      </c>
      <c r="G317" s="4">
        <v>44866</v>
      </c>
      <c r="H317" t="s">
        <v>604</v>
      </c>
      <c r="I317" t="s">
        <v>33</v>
      </c>
      <c r="J317" t="s">
        <v>34</v>
      </c>
      <c r="K317" t="s">
        <v>159</v>
      </c>
      <c r="L317" t="s">
        <v>24</v>
      </c>
      <c r="N317" t="s">
        <v>31</v>
      </c>
      <c r="P317" s="3">
        <v>81</v>
      </c>
      <c r="Q317" t="str">
        <f>LEFT(B317, 8)</f>
        <v>Gigabyte</v>
      </c>
      <c r="R317" t="str">
        <f t="shared" si="33"/>
        <v>AMD Octa-Core Ryzen 7</v>
      </c>
      <c r="S317" t="str">
        <f t="shared" si="23"/>
        <v>16 GB</v>
      </c>
    </row>
    <row r="318" spans="1:19">
      <c r="A318" t="str">
        <f>LEFT(B318, LEN(B318)-15)</f>
        <v>HP 15s-fq2670TU (6N043PA) Laptop (Core i3 11th Gen/8 GB/256 GB SSD/Windows 11)</v>
      </c>
      <c r="B318" t="s">
        <v>606</v>
      </c>
      <c r="C318" s="1">
        <v>35699</v>
      </c>
      <c r="D318" s="1">
        <v>13</v>
      </c>
      <c r="E318" s="2">
        <v>90</v>
      </c>
      <c r="F318" s="2" t="str" cm="1">
        <f t="array" ref="F318">_xlfn.IFS(AND(101&gt;E318, E318&gt;69), "Top-Tier", AND(70&gt;E318, E318&gt;39), "Mid-Tier", 40&gt;E318, "Low-Tier")</f>
        <v>Top-Tier</v>
      </c>
      <c r="G318" s="4">
        <v>44835</v>
      </c>
      <c r="H318" t="s">
        <v>604</v>
      </c>
      <c r="I318" t="s">
        <v>33</v>
      </c>
      <c r="J318" t="s">
        <v>338</v>
      </c>
      <c r="K318" t="s">
        <v>51</v>
      </c>
      <c r="L318" t="s">
        <v>24</v>
      </c>
      <c r="M318" t="s">
        <v>95</v>
      </c>
      <c r="N318" t="s">
        <v>31</v>
      </c>
      <c r="Q318" t="str">
        <f>LEFT(B318, 2)</f>
        <v>HP</v>
      </c>
      <c r="R318" t="str">
        <f t="shared" si="33"/>
        <v>AMD Octa-Core Ryzen 7</v>
      </c>
      <c r="S318" t="str">
        <f t="shared" si="23"/>
        <v xml:space="preserve">8 GB </v>
      </c>
    </row>
    <row r="319" spans="1:19">
      <c r="A319" t="str">
        <f>LEFT(B319, LEN(B319)-15)</f>
        <v>Lenovo Legion 5i Pro Gen 7 (82RF00DYIN) Laptop (Core i7 12th Gen/16 GB/1 TB SSD/Windows 11/6 GB)</v>
      </c>
      <c r="B319" t="s">
        <v>607</v>
      </c>
      <c r="C319" s="1">
        <v>164990</v>
      </c>
      <c r="D319" s="1">
        <v>2</v>
      </c>
      <c r="E319" s="2">
        <v>90</v>
      </c>
      <c r="F319" s="2" t="str" cm="1">
        <f t="array" ref="F319">_xlfn.IFS(AND(101&gt;E319, E319&gt;69), "Top-Tier", AND(70&gt;E319, E319&gt;39), "Mid-Tier", 40&gt;E319, "Low-Tier")</f>
        <v>Top-Tier</v>
      </c>
      <c r="G319" s="4">
        <v>44835</v>
      </c>
      <c r="H319" t="s">
        <v>604</v>
      </c>
      <c r="I319" t="s">
        <v>33</v>
      </c>
      <c r="J319" t="s">
        <v>72</v>
      </c>
      <c r="K319" t="s">
        <v>117</v>
      </c>
      <c r="L319" t="s">
        <v>24</v>
      </c>
      <c r="M319" t="s">
        <v>52</v>
      </c>
      <c r="N319" t="s">
        <v>31</v>
      </c>
      <c r="P319" s="3">
        <v>86</v>
      </c>
      <c r="Q319" t="str">
        <f>LEFT(B319, 6)</f>
        <v>Lenovo</v>
      </c>
      <c r="R319" t="str">
        <f t="shared" si="33"/>
        <v>AMD Octa-Core Ryzen 7</v>
      </c>
      <c r="S319" t="str">
        <f t="shared" si="23"/>
        <v>16 GB</v>
      </c>
    </row>
    <row r="320" spans="1:19">
      <c r="A320" t="str">
        <f>LEFT(B320, LEN(B320)-15)</f>
        <v>MSI Crosshair 15 B12UEZ-897IN Laptop (Core i7 12th Gen/16 GB/512 GB SSD/Windows 11/6 GB)</v>
      </c>
      <c r="B320" t="s">
        <v>608</v>
      </c>
      <c r="C320" s="1">
        <v>115990</v>
      </c>
      <c r="D320" s="1">
        <v>40</v>
      </c>
      <c r="E320" s="2">
        <v>90</v>
      </c>
      <c r="F320" s="2" t="str" cm="1">
        <f t="array" ref="F320">_xlfn.IFS(AND(101&gt;E320, E320&gt;69), "Top-Tier", AND(70&gt;E320, E320&gt;39), "Mid-Tier", 40&gt;E320, "Low-Tier")</f>
        <v>Top-Tier</v>
      </c>
      <c r="G320" s="4">
        <v>44805</v>
      </c>
      <c r="H320" t="s">
        <v>609</v>
      </c>
      <c r="I320" t="s">
        <v>33</v>
      </c>
      <c r="J320" t="s">
        <v>34</v>
      </c>
      <c r="K320" t="s">
        <v>159</v>
      </c>
      <c r="L320" t="s">
        <v>24</v>
      </c>
      <c r="N320" t="s">
        <v>31</v>
      </c>
      <c r="P320" s="3">
        <v>84</v>
      </c>
      <c r="Q320" t="str">
        <f>LEFT(B320, 3)</f>
        <v>MSI</v>
      </c>
      <c r="R320" t="str">
        <f t="shared" si="33"/>
        <v>AMD Octa-Core Ryzen 7</v>
      </c>
      <c r="S320" t="str">
        <f t="shared" si="23"/>
        <v>16 GB</v>
      </c>
    </row>
    <row r="321" spans="1:19">
      <c r="A321" t="str">
        <f>LEFT(B321, LEN(B321)-15)</f>
        <v>MSI Alpha 15 B5EEK-235IN Laptop (AMD Octa Core Ryzen 7/8 GB/512 GB SSD/Windows 11/8 GB)</v>
      </c>
      <c r="B321" t="s">
        <v>610</v>
      </c>
      <c r="C321" s="1">
        <v>84990</v>
      </c>
      <c r="D321" s="1">
        <v>634</v>
      </c>
      <c r="E321" s="2">
        <v>90</v>
      </c>
      <c r="F321" s="2" t="str" cm="1">
        <f t="array" ref="F321">_xlfn.IFS(AND(101&gt;E321, E321&gt;69), "Top-Tier", AND(70&gt;E321, E321&gt;39), "Mid-Tier", 40&gt;E321, "Low-Tier")</f>
        <v>Top-Tier</v>
      </c>
      <c r="G321" s="4">
        <v>44805</v>
      </c>
      <c r="H321" t="s">
        <v>611</v>
      </c>
      <c r="I321" t="s">
        <v>33</v>
      </c>
      <c r="J321" t="s">
        <v>50</v>
      </c>
      <c r="K321" t="s">
        <v>51</v>
      </c>
      <c r="L321" t="s">
        <v>24</v>
      </c>
      <c r="N321" t="s">
        <v>31</v>
      </c>
      <c r="P321" s="3">
        <v>77</v>
      </c>
      <c r="Q321" t="str">
        <f>LEFT(B321, 3)</f>
        <v>MSI</v>
      </c>
      <c r="R321" t="str">
        <f>LEFT(H321, 21)</f>
        <v>AMD Octa-Core Ryzen 7</v>
      </c>
      <c r="S321" t="str">
        <f t="shared" si="23"/>
        <v xml:space="preserve">8 GB </v>
      </c>
    </row>
    <row r="322" spans="1:19">
      <c r="A322" t="str">
        <f>LEFT(B322, LEN(B322)-15)</f>
        <v>Asus VivoBook Pro 15 OLED K6500ZE-L502WS Laptop (Core i5 12th Gen/16 GB/512 GB SSD/Windows 11/4 GB)</v>
      </c>
      <c r="B322" t="s">
        <v>612</v>
      </c>
      <c r="C322" s="1">
        <v>96500</v>
      </c>
      <c r="D322" s="1">
        <v>2</v>
      </c>
      <c r="E322" s="2">
        <v>90</v>
      </c>
      <c r="F322" s="2" t="str" cm="1">
        <f t="array" ref="F322">_xlfn.IFS(AND(101&gt;E322, E322&gt;69), "Top-Tier", AND(70&gt;E322, E322&gt;39), "Mid-Tier", 40&gt;E322, "Low-Tier")</f>
        <v>Top-Tier</v>
      </c>
      <c r="G322" s="4">
        <v>44774</v>
      </c>
      <c r="H322" t="s">
        <v>613</v>
      </c>
      <c r="I322" t="s">
        <v>33</v>
      </c>
      <c r="J322" t="s">
        <v>121</v>
      </c>
      <c r="K322" t="s">
        <v>215</v>
      </c>
      <c r="L322" t="s">
        <v>24</v>
      </c>
      <c r="N322" t="s">
        <v>31</v>
      </c>
      <c r="P322" s="3">
        <v>79</v>
      </c>
      <c r="Q322" t="str">
        <f>LEFT(B322, 4)</f>
        <v>Asus</v>
      </c>
      <c r="R322" t="str">
        <f>LEFT(H322, 21)</f>
        <v>AMD Octa-Core Ryzen 7</v>
      </c>
      <c r="S322" t="str">
        <f t="shared" si="23"/>
        <v>16 GB</v>
      </c>
    </row>
    <row r="323" spans="1:19">
      <c r="A323" t="str">
        <f>LEFT(B323, LEN(B323)-15)</f>
        <v>Lenovo Legion 5 15ACH6H (82JU018YIN) Laptop (AMD Octa Core Ryzen 7/16 GB/512 GB SSD/Windows 11/6 GB)</v>
      </c>
      <c r="B323" t="s">
        <v>614</v>
      </c>
      <c r="C323" s="1">
        <v>95490</v>
      </c>
      <c r="D323" s="1">
        <v>300</v>
      </c>
      <c r="E323" s="2">
        <v>90</v>
      </c>
      <c r="F323" s="2" t="str" cm="1">
        <f t="array" ref="F323">_xlfn.IFS(AND(101&gt;E323, E323&gt;69), "Top-Tier", AND(70&gt;E323, E323&gt;39), "Mid-Tier", 40&gt;E323, "Low-Tier")</f>
        <v>Top-Tier</v>
      </c>
      <c r="G323" s="4">
        <v>44774</v>
      </c>
      <c r="H323" t="s">
        <v>615</v>
      </c>
      <c r="I323" t="s">
        <v>33</v>
      </c>
      <c r="J323" t="s">
        <v>34</v>
      </c>
      <c r="K323" t="s">
        <v>256</v>
      </c>
      <c r="L323" t="s">
        <v>24</v>
      </c>
      <c r="N323" t="s">
        <v>31</v>
      </c>
      <c r="P323" s="3">
        <v>82</v>
      </c>
      <c r="Q323" t="str">
        <f>LEFT(B323, 6)</f>
        <v>Lenovo</v>
      </c>
      <c r="R323" t="str">
        <f>LEFT(H323, 21)</f>
        <v>AMD Octa-Core Ryzen 7</v>
      </c>
      <c r="S323" t="str">
        <f t="shared" ref="S323:S386" si="34">LEFT(J323, 5)</f>
        <v>16 GB</v>
      </c>
    </row>
    <row r="324" spans="1:19">
      <c r="A324" t="str">
        <f>LEFT(B324, LEN(B324)-15)</f>
        <v>Asus ZenBook Pro 14 Duo OLED Intel Evo UX8402ZE-M711WS Laptop (Core i7 12th Gen/16 GB/1 TB SSD/Windows 45234 GB)</v>
      </c>
      <c r="B324" t="s">
        <v>616</v>
      </c>
      <c r="C324" s="1">
        <v>139990</v>
      </c>
      <c r="D324" s="1">
        <v>4</v>
      </c>
      <c r="E324" s="2">
        <v>90</v>
      </c>
      <c r="F324" s="2" t="str" cm="1">
        <f t="array" ref="F324">_xlfn.IFS(AND(101&gt;E324, E324&gt;69), "Top-Tier", AND(70&gt;E324, E324&gt;39), "Mid-Tier", 40&gt;E324, "Low-Tier")</f>
        <v>Top-Tier</v>
      </c>
      <c r="G324" s="4">
        <v>44774</v>
      </c>
      <c r="H324" t="s">
        <v>615</v>
      </c>
      <c r="I324" t="s">
        <v>33</v>
      </c>
      <c r="J324" t="s">
        <v>167</v>
      </c>
      <c r="K324" t="s">
        <v>617</v>
      </c>
      <c r="L324" t="s">
        <v>24</v>
      </c>
      <c r="M324" t="s">
        <v>95</v>
      </c>
      <c r="N324" t="s">
        <v>31</v>
      </c>
      <c r="P324" s="3">
        <v>85</v>
      </c>
      <c r="Q324" t="str">
        <f>LEFT(B324, 4)</f>
        <v>Asus</v>
      </c>
      <c r="R324" t="str">
        <f t="shared" ref="R324:R327" si="35">LEFT(H324, 21)</f>
        <v>AMD Octa-Core Ryzen 7</v>
      </c>
      <c r="S324" t="str">
        <f t="shared" si="34"/>
        <v>16 GB</v>
      </c>
    </row>
    <row r="325" spans="1:19">
      <c r="A325" t="str">
        <f>LEFT(B325, LEN(B325)-15)</f>
        <v>Dell Inspiron 15 3525 (D560831WIN9SE) Laptop (AMD Dual Core Ryzen 3/8 GB/256 GB SSD/Windows 11)</v>
      </c>
      <c r="B325" t="s">
        <v>618</v>
      </c>
      <c r="C325" s="1">
        <v>36690</v>
      </c>
      <c r="D325" s="1">
        <v>15</v>
      </c>
      <c r="E325" s="2">
        <v>90</v>
      </c>
      <c r="F325" s="2" t="str" cm="1">
        <f t="array" ref="F325">_xlfn.IFS(AND(101&gt;E325, E325&gt;69), "Top-Tier", AND(70&gt;E325, E325&gt;39), "Mid-Tier", 40&gt;E325, "Low-Tier")</f>
        <v>Top-Tier</v>
      </c>
      <c r="G325" s="4">
        <v>44774</v>
      </c>
      <c r="H325" t="s">
        <v>615</v>
      </c>
      <c r="I325" t="s">
        <v>33</v>
      </c>
      <c r="J325" t="s">
        <v>338</v>
      </c>
      <c r="K325" t="s">
        <v>51</v>
      </c>
      <c r="L325" t="s">
        <v>24</v>
      </c>
      <c r="M325" t="s">
        <v>178</v>
      </c>
      <c r="N325" t="s">
        <v>31</v>
      </c>
      <c r="Q325" t="str">
        <f>LEFT(B325, 4)</f>
        <v>Dell</v>
      </c>
      <c r="R325" t="str">
        <f t="shared" si="35"/>
        <v>AMD Octa-Core Ryzen 7</v>
      </c>
      <c r="S325" t="str">
        <f t="shared" si="34"/>
        <v xml:space="preserve">8 GB </v>
      </c>
    </row>
    <row r="326" spans="1:19">
      <c r="A326" t="str">
        <f>LEFT(B326, LEN(B326)-15)</f>
        <v>Asus TUF Dash F15 FX517ZC-HN109WS Laptop (Core i7 12th Gen/8 GB/1 TB SSD/Windows 11/6 GB)</v>
      </c>
      <c r="B326" t="s">
        <v>619</v>
      </c>
      <c r="C326" s="1">
        <v>94249</v>
      </c>
      <c r="D326" s="1">
        <v>227</v>
      </c>
      <c r="E326" s="2">
        <v>90</v>
      </c>
      <c r="F326" s="2" t="str" cm="1">
        <f t="array" ref="F326">_xlfn.IFS(AND(101&gt;E326, E326&gt;69), "Top-Tier", AND(70&gt;E326, E326&gt;39), "Mid-Tier", 40&gt;E326, "Low-Tier")</f>
        <v>Top-Tier</v>
      </c>
      <c r="G326" s="4">
        <v>44774</v>
      </c>
      <c r="H326" t="s">
        <v>620</v>
      </c>
      <c r="I326" t="s">
        <v>33</v>
      </c>
      <c r="J326" t="s">
        <v>388</v>
      </c>
      <c r="K326" t="s">
        <v>51</v>
      </c>
      <c r="L326" t="s">
        <v>24</v>
      </c>
      <c r="M326" t="s">
        <v>621</v>
      </c>
      <c r="N326" t="s">
        <v>31</v>
      </c>
      <c r="P326" s="3">
        <v>85</v>
      </c>
      <c r="Q326" t="str">
        <f>LEFT(B326, 4)</f>
        <v>Asus</v>
      </c>
      <c r="R326" t="str">
        <f t="shared" si="35"/>
        <v>AMD Octa-Core Ryzen 9</v>
      </c>
      <c r="S326" t="str">
        <f t="shared" si="34"/>
        <v xml:space="preserve">8 GB </v>
      </c>
    </row>
    <row r="327" spans="1:19">
      <c r="A327" t="str">
        <f>LEFT(B327, LEN(B327)-15)</f>
        <v>Asus TUF Dash F15 FX517ZC-HN108WS Laptop (Core i7 12th Gen/16 GB/1 TB SSD/Windows 11/4 GB)</v>
      </c>
      <c r="B327" t="s">
        <v>622</v>
      </c>
      <c r="C327" s="1">
        <v>96990</v>
      </c>
      <c r="D327" s="1">
        <v>220</v>
      </c>
      <c r="E327" s="2">
        <v>90</v>
      </c>
      <c r="F327" s="2" t="str" cm="1">
        <f t="array" ref="F327">_xlfn.IFS(AND(101&gt;E327, E327&gt;69), "Top-Tier", AND(70&gt;E327, E327&gt;39), "Mid-Tier", 40&gt;E327, "Low-Tier")</f>
        <v>Top-Tier</v>
      </c>
      <c r="G327" s="4">
        <v>44774</v>
      </c>
      <c r="H327" t="s">
        <v>623</v>
      </c>
      <c r="I327" t="s">
        <v>33</v>
      </c>
      <c r="J327" t="s">
        <v>72</v>
      </c>
      <c r="K327" t="s">
        <v>51</v>
      </c>
      <c r="L327" t="s">
        <v>24</v>
      </c>
      <c r="N327" t="s">
        <v>31</v>
      </c>
      <c r="P327" s="3">
        <v>83</v>
      </c>
      <c r="Q327" t="str">
        <f>LEFT(B327, 4)</f>
        <v>Asus</v>
      </c>
      <c r="R327" t="str">
        <f t="shared" si="35"/>
        <v>AMD Octa-Core Ryzen 9</v>
      </c>
      <c r="S327" t="str">
        <f t="shared" si="34"/>
        <v>16 GB</v>
      </c>
    </row>
    <row r="328" spans="1:19">
      <c r="A328" t="str">
        <f>LEFT(B328, LEN(B328)-15)</f>
        <v>Asus TUF Gaming A17 FA706IHR-HX031W Laptop (AMD Hexa Core Ryzen 5/8 GB/512 GB SSD/Windows 11/4 GB)</v>
      </c>
      <c r="B328" t="s">
        <v>624</v>
      </c>
      <c r="C328" s="1">
        <v>61990</v>
      </c>
      <c r="D328" s="1">
        <v>38</v>
      </c>
      <c r="E328" s="2">
        <v>90</v>
      </c>
      <c r="F328" s="2" t="str" cm="1">
        <f t="array" ref="F328">_xlfn.IFS(AND(101&gt;E328, E328&gt;69), "Top-Tier", AND(70&gt;E328, E328&gt;39), "Mid-Tier", 40&gt;E328, "Low-Tier")</f>
        <v>Top-Tier</v>
      </c>
      <c r="G328" s="4">
        <v>44774</v>
      </c>
      <c r="H328" t="s">
        <v>625</v>
      </c>
      <c r="I328" t="s">
        <v>33</v>
      </c>
      <c r="J328" t="s">
        <v>50</v>
      </c>
      <c r="K328" t="s">
        <v>395</v>
      </c>
      <c r="L328" t="s">
        <v>24</v>
      </c>
      <c r="N328" t="s">
        <v>31</v>
      </c>
      <c r="P328" s="3">
        <v>75</v>
      </c>
      <c r="Q328" t="str">
        <f>LEFT(B328, 4)</f>
        <v>Asus</v>
      </c>
      <c r="R328" t="str">
        <f t="shared" ref="R328:R332" si="36">LEFT(H328, 21)</f>
        <v>AMD Octa-Core Ryzen 9</v>
      </c>
      <c r="S328" t="str">
        <f t="shared" si="34"/>
        <v xml:space="preserve">8 GB </v>
      </c>
    </row>
    <row r="329" spans="1:19">
      <c r="A329" t="str">
        <f>LEFT(B329, LEN(B329)-15)</f>
        <v>Asus TUF Gaming A17 FA706ICB-HX061W Laptop (AMD Octa Core Ryzen 7/8 GB/512 GB SSD/Windows 11/4 GB)</v>
      </c>
      <c r="B329" t="s">
        <v>626</v>
      </c>
      <c r="C329" s="1">
        <v>76990</v>
      </c>
      <c r="D329" s="1">
        <v>17</v>
      </c>
      <c r="E329" s="2">
        <v>90</v>
      </c>
      <c r="F329" s="2" t="str" cm="1">
        <f t="array" ref="F329">_xlfn.IFS(AND(101&gt;E329, E329&gt;69), "Top-Tier", AND(70&gt;E329, E329&gt;39), "Mid-Tier", 40&gt;E329, "Low-Tier")</f>
        <v>Top-Tier</v>
      </c>
      <c r="G329" s="4">
        <v>44743</v>
      </c>
      <c r="H329" t="s">
        <v>627</v>
      </c>
      <c r="I329" t="s">
        <v>33</v>
      </c>
      <c r="J329" t="s">
        <v>50</v>
      </c>
      <c r="K329" t="s">
        <v>395</v>
      </c>
      <c r="L329" t="s">
        <v>24</v>
      </c>
      <c r="N329" t="s">
        <v>31</v>
      </c>
      <c r="P329" s="3">
        <v>77</v>
      </c>
      <c r="Q329" t="str">
        <f>LEFT(B329, 4)</f>
        <v>Asus</v>
      </c>
      <c r="R329" t="str">
        <f t="shared" si="36"/>
        <v>AMD Octa-Core Ryzen 9</v>
      </c>
      <c r="S329" t="str">
        <f t="shared" si="34"/>
        <v xml:space="preserve">8 GB </v>
      </c>
    </row>
    <row r="330" spans="1:19">
      <c r="A330" t="str">
        <f>LEFT(B330, LEN(B330)-15)</f>
        <v>Lenovo IdeaPad Flex 5 14ALC7 (82R9006DIN) Laptop (AMD Hexa Core Ryzen 5/16 GB/512 GB SSD/Windows 11)</v>
      </c>
      <c r="B330" t="s">
        <v>628</v>
      </c>
      <c r="C330" s="1">
        <v>64990</v>
      </c>
      <c r="D330" s="1">
        <v>2</v>
      </c>
      <c r="E330" s="2">
        <v>90</v>
      </c>
      <c r="F330" s="2" t="str" cm="1">
        <f t="array" ref="F330">_xlfn.IFS(AND(101&gt;E330, E330&gt;69), "Top-Tier", AND(70&gt;E330, E330&gt;39), "Mid-Tier", 40&gt;E330, "Low-Tier")</f>
        <v>Top-Tier</v>
      </c>
      <c r="G330" s="4">
        <v>44743</v>
      </c>
      <c r="H330" t="s">
        <v>629</v>
      </c>
      <c r="I330" t="s">
        <v>33</v>
      </c>
      <c r="J330" t="s">
        <v>214</v>
      </c>
      <c r="K330" t="s">
        <v>94</v>
      </c>
      <c r="L330" t="s">
        <v>24</v>
      </c>
      <c r="M330" t="s">
        <v>630</v>
      </c>
      <c r="N330" t="s">
        <v>31</v>
      </c>
      <c r="P330" s="3">
        <v>71</v>
      </c>
      <c r="Q330" t="str">
        <f>LEFT(B330, 6)</f>
        <v>Lenovo</v>
      </c>
      <c r="R330" t="str">
        <f t="shared" si="36"/>
        <v>AMD Octa-Core Ryzen 9</v>
      </c>
      <c r="S330" t="str">
        <f t="shared" si="34"/>
        <v>16 GB</v>
      </c>
    </row>
    <row r="331" spans="1:19">
      <c r="A331" t="str">
        <f>LEFT(B331, LEN(B331)-15)</f>
        <v>MSI Katana GF66 12UC-632IN Laptop (Core i7 12th Gen/8 GB/512 GB SSD/Windows 11/4 GB)</v>
      </c>
      <c r="B331" t="s">
        <v>631</v>
      </c>
      <c r="C331" s="1">
        <v>73999</v>
      </c>
      <c r="D331" s="1">
        <v>134</v>
      </c>
      <c r="E331" s="2">
        <v>90</v>
      </c>
      <c r="F331" s="2" t="str" cm="1">
        <f t="array" ref="F331">_xlfn.IFS(AND(101&gt;E331, E331&gt;69), "Top-Tier", AND(70&gt;E331, E331&gt;39), "Mid-Tier", 40&gt;E331, "Low-Tier")</f>
        <v>Top-Tier</v>
      </c>
      <c r="G331" s="4">
        <v>44743</v>
      </c>
      <c r="H331" t="s">
        <v>632</v>
      </c>
      <c r="I331" t="s">
        <v>33</v>
      </c>
      <c r="J331" t="s">
        <v>50</v>
      </c>
      <c r="K331" t="s">
        <v>51</v>
      </c>
      <c r="L331" t="s">
        <v>24</v>
      </c>
      <c r="N331" t="s">
        <v>31</v>
      </c>
      <c r="P331" s="3">
        <v>82</v>
      </c>
      <c r="Q331" t="str">
        <f>LEFT(B331, 3)</f>
        <v>MSI</v>
      </c>
      <c r="R331" t="str">
        <f t="shared" si="36"/>
        <v>AMD Octa-Core Ryzen 9</v>
      </c>
      <c r="S331" t="str">
        <f t="shared" si="34"/>
        <v xml:space="preserve">8 GB </v>
      </c>
    </row>
    <row r="332" spans="1:19">
      <c r="A332" t="str">
        <f>LEFT(B332, LEN(B332)-15)</f>
        <v>MSI GP66 Leopard 11UG-693IN Laptop (Core i7 11th Gen/16 GB/1 TB SSD/Windows 10/8 GB)</v>
      </c>
      <c r="B332" t="s">
        <v>633</v>
      </c>
      <c r="C332" s="1">
        <v>116999</v>
      </c>
      <c r="D332" s="1">
        <v>160</v>
      </c>
      <c r="E332" s="2">
        <v>90</v>
      </c>
      <c r="F332" s="2" t="str" cm="1">
        <f t="array" ref="F332">_xlfn.IFS(AND(101&gt;E332, E332&gt;69), "Top-Tier", AND(70&gt;E332, E332&gt;39), "Mid-Tier", 40&gt;E332, "Low-Tier")</f>
        <v>Top-Tier</v>
      </c>
      <c r="G332" s="4">
        <v>44743</v>
      </c>
      <c r="H332" t="s">
        <v>634</v>
      </c>
      <c r="I332" t="s">
        <v>248</v>
      </c>
      <c r="J332" t="s">
        <v>184</v>
      </c>
      <c r="K332" t="s">
        <v>256</v>
      </c>
      <c r="L332" t="s">
        <v>24</v>
      </c>
      <c r="N332" t="s">
        <v>31</v>
      </c>
      <c r="P332" s="3">
        <v>83</v>
      </c>
      <c r="Q332" t="str">
        <f>LEFT(B332, 3)</f>
        <v>MSI</v>
      </c>
      <c r="R332" t="str">
        <f t="shared" si="36"/>
        <v>AMD Octa-Core Ryzen 9</v>
      </c>
      <c r="S332" t="str">
        <f t="shared" si="34"/>
        <v>16 GB</v>
      </c>
    </row>
    <row r="333" spans="1:19">
      <c r="A333" t="str">
        <f>LEFT(B333, LEN(B333)-15)</f>
        <v>Asus TUF Gaming A17 FA706IC-HX036W Laptop (AMD Octa Core Ryzen 7/8 GB/512 GB SSD/Windows 11/4 GB)</v>
      </c>
      <c r="B333" t="s">
        <v>635</v>
      </c>
      <c r="C333" s="1">
        <v>81990</v>
      </c>
      <c r="D333" s="1">
        <v>76</v>
      </c>
      <c r="E333" s="2">
        <v>90</v>
      </c>
      <c r="F333" s="2" t="str" cm="1">
        <f t="array" ref="F333">_xlfn.IFS(AND(101&gt;E333, E333&gt;69), "Top-Tier", AND(70&gt;E333, E333&gt;39), "Mid-Tier", 40&gt;E333, "Low-Tier")</f>
        <v>Top-Tier</v>
      </c>
      <c r="G333" s="4">
        <v>44743</v>
      </c>
      <c r="H333" t="s">
        <v>636</v>
      </c>
      <c r="I333" t="s">
        <v>33</v>
      </c>
      <c r="J333" t="s">
        <v>50</v>
      </c>
      <c r="K333" t="s">
        <v>395</v>
      </c>
      <c r="L333" t="s">
        <v>24</v>
      </c>
      <c r="N333" t="s">
        <v>31</v>
      </c>
      <c r="P333" s="3">
        <v>77</v>
      </c>
      <c r="Q333" t="str">
        <f>LEFT(B333, 4)</f>
        <v>Asus</v>
      </c>
      <c r="R333" t="str">
        <f t="shared" ref="R333:R347" si="37">LEFT(H333, 21)</f>
        <v>AMD Octa-Core Ryzen 9</v>
      </c>
      <c r="S333" t="str">
        <f t="shared" si="34"/>
        <v xml:space="preserve">8 GB </v>
      </c>
    </row>
    <row r="334" spans="1:19">
      <c r="A334" t="str">
        <f>LEFT(B334, LEN(B334)-15)</f>
        <v>HP Victus 15-fb0051AX (6F9T9PA) Laptop (AMD Hexa Core Ryzen 5/8 GB/512 GB SSD/Windows 11/4 GB)</v>
      </c>
      <c r="B334" t="s">
        <v>637</v>
      </c>
      <c r="C334" s="1">
        <v>63900</v>
      </c>
      <c r="D334" s="1">
        <v>11</v>
      </c>
      <c r="E334" s="2">
        <v>90</v>
      </c>
      <c r="F334" s="2" t="str" cm="1">
        <f t="array" ref="F334">_xlfn.IFS(AND(101&gt;E334, E334&gt;69), "Top-Tier", AND(70&gt;E334, E334&gt;39), "Mid-Tier", 40&gt;E334, "Low-Tier")</f>
        <v>Top-Tier</v>
      </c>
      <c r="G334" s="4">
        <v>44743</v>
      </c>
      <c r="H334" t="s">
        <v>638</v>
      </c>
      <c r="I334" t="s">
        <v>33</v>
      </c>
      <c r="J334" t="s">
        <v>50</v>
      </c>
      <c r="K334" t="s">
        <v>51</v>
      </c>
      <c r="L334" t="s">
        <v>24</v>
      </c>
      <c r="N334" t="s">
        <v>31</v>
      </c>
      <c r="P334" s="3">
        <v>79</v>
      </c>
      <c r="Q334" t="str">
        <f>LEFT(B334, 2)</f>
        <v>HP</v>
      </c>
      <c r="R334" t="str">
        <f t="shared" si="37"/>
        <v>AMD Octa-Core Ryzen 9</v>
      </c>
      <c r="S334" t="str">
        <f t="shared" si="34"/>
        <v xml:space="preserve">8 GB </v>
      </c>
    </row>
    <row r="335" spans="1:19">
      <c r="A335" t="str">
        <f>LEFT(B335, LEN(B335)-15)</f>
        <v>Motorola Motobook 60 14IRH10R (83J7000CIN) Laptop (Core 5 Series 2 /16 GB/512 GB SSD/Windows 11)</v>
      </c>
      <c r="B335" t="s">
        <v>639</v>
      </c>
      <c r="C335" s="1">
        <v>66990</v>
      </c>
      <c r="D335" s="1">
        <v>84</v>
      </c>
      <c r="E335" s="2">
        <v>88</v>
      </c>
      <c r="F335" s="2" t="str" cm="1">
        <f t="array" ref="F335">_xlfn.IFS(AND(101&gt;E335, E335&gt;69), "Top-Tier", AND(70&gt;E335, E335&gt;39), "Mid-Tier", 40&gt;E335, "Low-Tier")</f>
        <v>Top-Tier</v>
      </c>
      <c r="G335" s="4">
        <v>45748</v>
      </c>
      <c r="H335" t="s">
        <v>638</v>
      </c>
      <c r="I335" t="s">
        <v>33</v>
      </c>
      <c r="J335" t="s">
        <v>54</v>
      </c>
      <c r="K335" t="s">
        <v>640</v>
      </c>
      <c r="L335" t="s">
        <v>24</v>
      </c>
      <c r="M335" t="s">
        <v>95</v>
      </c>
      <c r="N335" t="s">
        <v>31</v>
      </c>
      <c r="P335" s="3">
        <v>73</v>
      </c>
      <c r="Q335" t="str">
        <f>LEFT(B335, 8)</f>
        <v>Motorola</v>
      </c>
      <c r="R335" t="str">
        <f t="shared" si="37"/>
        <v>AMD Octa-Core Ryzen 9</v>
      </c>
      <c r="S335" t="str">
        <f t="shared" si="34"/>
        <v>16 GB</v>
      </c>
    </row>
    <row r="336" spans="1:19">
      <c r="A336" t="str">
        <f>LEFT(B336, LEN(B336)-15)</f>
        <v>Motorola Moto Book 60 14IRH10R (83J7000AIN) Laptop (Core 5 Series 2 /16 GB/512 GB SSD/Windows 11)</v>
      </c>
      <c r="B336" t="s">
        <v>641</v>
      </c>
      <c r="C336" s="1">
        <v>66990</v>
      </c>
      <c r="D336" s="1">
        <v>84</v>
      </c>
      <c r="E336" s="2">
        <v>88</v>
      </c>
      <c r="F336" s="2" t="str" cm="1">
        <f t="array" ref="F336">_xlfn.IFS(AND(101&gt;E336, E336&gt;69), "Top-Tier", AND(70&gt;E336, E336&gt;39), "Mid-Tier", 40&gt;E336, "Low-Tier")</f>
        <v>Top-Tier</v>
      </c>
      <c r="G336" s="4">
        <v>45748</v>
      </c>
      <c r="H336" t="s">
        <v>638</v>
      </c>
      <c r="I336" t="s">
        <v>33</v>
      </c>
      <c r="J336" t="s">
        <v>54</v>
      </c>
      <c r="K336" t="s">
        <v>640</v>
      </c>
      <c r="L336" t="s">
        <v>24</v>
      </c>
      <c r="M336" t="s">
        <v>95</v>
      </c>
      <c r="N336" t="s">
        <v>31</v>
      </c>
      <c r="P336" s="3">
        <v>73</v>
      </c>
      <c r="Q336" t="str">
        <f>LEFT(B336, 8)</f>
        <v>Motorola</v>
      </c>
      <c r="R336" t="str">
        <f t="shared" si="37"/>
        <v>AMD Octa-Core Ryzen 9</v>
      </c>
      <c r="S336" t="str">
        <f t="shared" si="34"/>
        <v>16 GB</v>
      </c>
    </row>
    <row r="337" spans="1:19">
      <c r="A337" t="str">
        <f>LEFT(B337, LEN(B337)-15)</f>
        <v>Motorola Moto Book 60 14IRH10R (83J70008IN) Laptop (Core 7 Series 2 /16 GB/512 GB SSD/Windows 11)</v>
      </c>
      <c r="B337" t="s">
        <v>642</v>
      </c>
      <c r="C337" s="1">
        <v>74990</v>
      </c>
      <c r="D337" s="1">
        <v>76</v>
      </c>
      <c r="E337" s="2">
        <v>88</v>
      </c>
      <c r="F337" s="2" t="str" cm="1">
        <f t="array" ref="F337">_xlfn.IFS(AND(101&gt;E337, E337&gt;69), "Top-Tier", AND(70&gt;E337, E337&gt;39), "Mid-Tier", 40&gt;E337, "Low-Tier")</f>
        <v>Top-Tier</v>
      </c>
      <c r="G337" s="4">
        <v>45748</v>
      </c>
      <c r="H337" t="s">
        <v>638</v>
      </c>
      <c r="I337" t="s">
        <v>33</v>
      </c>
      <c r="J337" t="s">
        <v>54</v>
      </c>
      <c r="K337" t="s">
        <v>640</v>
      </c>
      <c r="L337" t="s">
        <v>24</v>
      </c>
      <c r="M337" t="s">
        <v>95</v>
      </c>
      <c r="N337" t="s">
        <v>31</v>
      </c>
      <c r="P337" s="3">
        <v>74</v>
      </c>
      <c r="Q337" t="str">
        <f>LEFT(B337, 8)</f>
        <v>Motorola</v>
      </c>
      <c r="R337" t="str">
        <f t="shared" si="37"/>
        <v>AMD Octa-Core Ryzen 9</v>
      </c>
      <c r="S337" t="str">
        <f t="shared" si="34"/>
        <v>16 GB</v>
      </c>
    </row>
    <row r="338" spans="1:19">
      <c r="A338" t="str">
        <f>LEFT(B338, LEN(B338)-15)</f>
        <v>Motorola Moto Book 60 14IRH10R (83J7000EIN) Laptop (Core 7 Series 2 /16 GB/1 TB SSD/Windows 11)</v>
      </c>
      <c r="B338" t="s">
        <v>643</v>
      </c>
      <c r="C338" s="1">
        <v>78990</v>
      </c>
      <c r="D338" s="1">
        <v>76</v>
      </c>
      <c r="E338" s="2">
        <v>88</v>
      </c>
      <c r="F338" s="2" t="str" cm="1">
        <f t="array" ref="F338">_xlfn.IFS(AND(101&gt;E338, E338&gt;69), "Top-Tier", AND(70&gt;E338, E338&gt;39), "Mid-Tier", 40&gt;E338, "Low-Tier")</f>
        <v>Top-Tier</v>
      </c>
      <c r="G338" s="4">
        <v>45748</v>
      </c>
      <c r="H338" t="s">
        <v>638</v>
      </c>
      <c r="I338" t="s">
        <v>33</v>
      </c>
      <c r="J338" t="s">
        <v>72</v>
      </c>
      <c r="K338" t="s">
        <v>640</v>
      </c>
      <c r="L338" t="s">
        <v>24</v>
      </c>
      <c r="M338" t="s">
        <v>95</v>
      </c>
      <c r="N338" t="s">
        <v>31</v>
      </c>
      <c r="P338" s="3">
        <v>75</v>
      </c>
      <c r="Q338" t="str">
        <f>LEFT(B338, 8)</f>
        <v>Motorola</v>
      </c>
      <c r="R338" t="str">
        <f t="shared" si="37"/>
        <v>AMD Octa-Core Ryzen 9</v>
      </c>
      <c r="S338" t="str">
        <f t="shared" si="34"/>
        <v>16 GB</v>
      </c>
    </row>
    <row r="339" spans="1:19">
      <c r="A339" t="str">
        <f>LEFT(B339, LEN(B339)-15)</f>
        <v>Motorola Moto Book 60 14IRH10R (83J7000DIN) Laptop (Core 7 Series 2 /16 GB/1 TB SSD/Windows 11)</v>
      </c>
      <c r="B339" t="s">
        <v>644</v>
      </c>
      <c r="C339" s="1">
        <v>78990</v>
      </c>
      <c r="D339" s="1">
        <v>76</v>
      </c>
      <c r="E339" s="2">
        <v>88</v>
      </c>
      <c r="F339" s="2" t="str" cm="1">
        <f t="array" ref="F339">_xlfn.IFS(AND(101&gt;E339, E339&gt;69), "Top-Tier", AND(70&gt;E339, E339&gt;39), "Mid-Tier", 40&gt;E339, "Low-Tier")</f>
        <v>Top-Tier</v>
      </c>
      <c r="G339" s="4">
        <v>45748</v>
      </c>
      <c r="H339" t="s">
        <v>638</v>
      </c>
      <c r="I339" t="s">
        <v>33</v>
      </c>
      <c r="J339" t="s">
        <v>72</v>
      </c>
      <c r="K339" t="s">
        <v>640</v>
      </c>
      <c r="L339" t="s">
        <v>24</v>
      </c>
      <c r="M339" t="s">
        <v>95</v>
      </c>
      <c r="N339" t="s">
        <v>31</v>
      </c>
      <c r="P339" s="3">
        <v>75</v>
      </c>
      <c r="Q339" t="str">
        <f>LEFT(B339, 8)</f>
        <v>Motorola</v>
      </c>
      <c r="R339" t="str">
        <f t="shared" si="37"/>
        <v>AMD Octa-Core Ryzen 9</v>
      </c>
      <c r="S339" t="str">
        <f t="shared" si="34"/>
        <v>16 GB</v>
      </c>
    </row>
    <row r="340" spans="1:19">
      <c r="A340" t="str">
        <f>LEFT(B340, LEN(B340)-15)</f>
        <v>Motorola Moto Book 60 14IRH10R (83J70009IN) Laptop (Core 7 Series 2 /16 GB/512 GB SSD/Windows 11)</v>
      </c>
      <c r="B340" t="s">
        <v>645</v>
      </c>
      <c r="C340" s="1">
        <v>74990</v>
      </c>
      <c r="D340" s="1">
        <v>76</v>
      </c>
      <c r="E340" s="2">
        <v>88</v>
      </c>
      <c r="F340" s="2" t="str" cm="1">
        <f t="array" ref="F340">_xlfn.IFS(AND(101&gt;E340, E340&gt;69), "Top-Tier", AND(70&gt;E340, E340&gt;39), "Mid-Tier", 40&gt;E340, "Low-Tier")</f>
        <v>Top-Tier</v>
      </c>
      <c r="G340" s="4">
        <v>45748</v>
      </c>
      <c r="H340" t="s">
        <v>638</v>
      </c>
      <c r="I340" t="s">
        <v>33</v>
      </c>
      <c r="J340" t="s">
        <v>54</v>
      </c>
      <c r="K340" t="s">
        <v>640</v>
      </c>
      <c r="L340" t="s">
        <v>24</v>
      </c>
      <c r="M340" t="s">
        <v>95</v>
      </c>
      <c r="N340" t="s">
        <v>31</v>
      </c>
      <c r="P340" s="3">
        <v>74</v>
      </c>
      <c r="Q340" t="str">
        <f>LEFT(B340, 8)</f>
        <v>Motorola</v>
      </c>
      <c r="R340" t="str">
        <f t="shared" si="37"/>
        <v>AMD Octa-Core Ryzen 9</v>
      </c>
      <c r="S340" t="str">
        <f t="shared" si="34"/>
        <v>16 GB</v>
      </c>
    </row>
    <row r="341" spans="1:19">
      <c r="A341" t="str">
        <f>LEFT(B341, LEN(B341)-15)</f>
        <v>HP Victus 15-fa1327TX (9Z528PA) Laptop (Core i5 13th Gen/16 GB/512 GB SSD/Windows 11/6 GB)</v>
      </c>
      <c r="B341" t="s">
        <v>646</v>
      </c>
      <c r="C341" s="1">
        <v>73499</v>
      </c>
      <c r="D341" s="1">
        <v>1258</v>
      </c>
      <c r="E341" s="2">
        <v>88</v>
      </c>
      <c r="F341" s="2" t="str" cm="1">
        <f t="array" ref="F341">_xlfn.IFS(AND(101&gt;E341, E341&gt;69), "Top-Tier", AND(70&gt;E341, E341&gt;39), "Mid-Tier", 40&gt;E341, "Low-Tier")</f>
        <v>Top-Tier</v>
      </c>
      <c r="G341" s="4">
        <v>45536</v>
      </c>
      <c r="H341" t="s">
        <v>638</v>
      </c>
      <c r="I341" t="s">
        <v>33</v>
      </c>
      <c r="J341" t="s">
        <v>34</v>
      </c>
      <c r="K341" t="s">
        <v>51</v>
      </c>
      <c r="L341" t="s">
        <v>24</v>
      </c>
      <c r="N341" t="s">
        <v>31</v>
      </c>
      <c r="P341" s="3">
        <v>87</v>
      </c>
      <c r="Q341" t="str">
        <f>LEFT(B341, 2)</f>
        <v>HP</v>
      </c>
      <c r="R341" t="str">
        <f t="shared" si="37"/>
        <v>AMD Octa-Core Ryzen 9</v>
      </c>
      <c r="S341" t="str">
        <f t="shared" si="34"/>
        <v>16 GB</v>
      </c>
    </row>
    <row r="342" spans="1:19">
      <c r="A342" t="str">
        <f>LEFT(B342, LEN(B342)-15)</f>
        <v>Asus VivoBook 14 X413JA-EK268T Laptop (Core i3 10th Gen/4 GB/512 GB SSD/Windows 10)</v>
      </c>
      <c r="B342" t="s">
        <v>647</v>
      </c>
      <c r="C342" s="1">
        <v>38990</v>
      </c>
      <c r="D342" s="1">
        <v>4144</v>
      </c>
      <c r="E342" s="2">
        <v>88</v>
      </c>
      <c r="F342" s="2" t="str" cm="1">
        <f t="array" ref="F342">_xlfn.IFS(AND(101&gt;E342, E342&gt;69), "Top-Tier", AND(70&gt;E342, E342&gt;39), "Mid-Tier", 40&gt;E342, "Low-Tier")</f>
        <v>Top-Tier</v>
      </c>
      <c r="G342" s="4">
        <v>44105</v>
      </c>
      <c r="H342" t="s">
        <v>648</v>
      </c>
      <c r="I342" t="s">
        <v>248</v>
      </c>
      <c r="J342" t="s">
        <v>649</v>
      </c>
      <c r="K342" t="s">
        <v>439</v>
      </c>
      <c r="L342" t="s">
        <v>24</v>
      </c>
      <c r="M342" t="s">
        <v>540</v>
      </c>
      <c r="N342" t="s">
        <v>31</v>
      </c>
      <c r="Q342" t="str">
        <f>LEFT(B342, 4)</f>
        <v>Asus</v>
      </c>
      <c r="R342" t="str">
        <f t="shared" si="37"/>
        <v>AMD Octa-Core Ryzen 9</v>
      </c>
      <c r="S342" t="str">
        <f t="shared" si="34"/>
        <v xml:space="preserve">4 GB </v>
      </c>
    </row>
    <row r="343" spans="1:19">
      <c r="A343" t="str">
        <f>LEFT(B343, LEN(B343)-15)</f>
        <v>Samsung Galaxy Book 4 NP750XGK-KS1IN Laptop (Core 5 Series 1 /8 GB/512 GB SSD/Windows 11)</v>
      </c>
      <c r="B343" t="s">
        <v>650</v>
      </c>
      <c r="C343" s="1">
        <v>54490</v>
      </c>
      <c r="D343" s="1">
        <v>159</v>
      </c>
      <c r="E343" s="2">
        <v>88</v>
      </c>
      <c r="F343" s="2" t="str" cm="1">
        <f t="array" ref="F343">_xlfn.IFS(AND(101&gt;E343, E343&gt;69), "Top-Tier", AND(70&gt;E343, E343&gt;39), "Mid-Tier", 40&gt;E343, "Low-Tier")</f>
        <v>Top-Tier</v>
      </c>
      <c r="G343" s="4">
        <v>45352</v>
      </c>
      <c r="H343" t="s">
        <v>651</v>
      </c>
      <c r="I343" t="s">
        <v>33</v>
      </c>
      <c r="J343" t="s">
        <v>494</v>
      </c>
      <c r="K343" t="s">
        <v>51</v>
      </c>
      <c r="L343" t="s">
        <v>24</v>
      </c>
      <c r="M343" t="s">
        <v>357</v>
      </c>
      <c r="N343" t="s">
        <v>31</v>
      </c>
      <c r="P343" s="3">
        <v>79</v>
      </c>
      <c r="Q343" t="str">
        <f>LEFT(B343, 7)</f>
        <v>Samsung</v>
      </c>
      <c r="R343" t="str">
        <f t="shared" si="37"/>
        <v>AMD Octa-Core Ryzen 9</v>
      </c>
      <c r="S343" t="str">
        <f t="shared" si="34"/>
        <v xml:space="preserve">8 GB </v>
      </c>
    </row>
    <row r="344" spans="1:19">
      <c r="A344" t="str">
        <f>LEFT(B344, LEN(B344)-15)</f>
        <v>MSI Bravo 15 B5DD-410IN Laptop (AMD Hexa Core Ryzen 5/8 GB/512 GB SSD/Windows 11)</v>
      </c>
      <c r="B344" t="s">
        <v>652</v>
      </c>
      <c r="C344" s="1">
        <v>41999</v>
      </c>
      <c r="D344" s="1">
        <v>3356</v>
      </c>
      <c r="E344" s="2">
        <v>88</v>
      </c>
      <c r="F344" s="2" t="str" cm="1">
        <f t="array" ref="F344">_xlfn.IFS(AND(101&gt;E344, E344&gt;69), "Top-Tier", AND(70&gt;E344, E344&gt;39), "Mid-Tier", 40&gt;E344, "Low-Tier")</f>
        <v>Top-Tier</v>
      </c>
      <c r="G344" s="4">
        <v>44774</v>
      </c>
      <c r="H344" t="s">
        <v>651</v>
      </c>
      <c r="I344" t="s">
        <v>33</v>
      </c>
      <c r="J344" t="s">
        <v>50</v>
      </c>
      <c r="K344" t="s">
        <v>51</v>
      </c>
      <c r="L344" t="s">
        <v>24</v>
      </c>
      <c r="N344" t="s">
        <v>31</v>
      </c>
      <c r="Q344" t="str">
        <f>LEFT(B344, 3)</f>
        <v>MSI</v>
      </c>
      <c r="R344" t="str">
        <f t="shared" si="37"/>
        <v>AMD Octa-Core Ryzen 9</v>
      </c>
      <c r="S344" t="str">
        <f t="shared" si="34"/>
        <v xml:space="preserve">8 GB </v>
      </c>
    </row>
    <row r="345" spans="1:19">
      <c r="A345" t="str">
        <f>LEFT(B345, LEN(B345)-15)</f>
        <v>Lenovo Yoga Slim 7 (83CV003MIN) Laptop (Core Ultra 5/16 GB/512 GB SSD/Windows 11)</v>
      </c>
      <c r="B345" t="s">
        <v>653</v>
      </c>
      <c r="C345" s="1">
        <v>76990</v>
      </c>
      <c r="D345" s="1">
        <v>54</v>
      </c>
      <c r="E345" s="2">
        <v>88</v>
      </c>
      <c r="F345" s="2" t="str" cm="1">
        <f t="array" ref="F345">_xlfn.IFS(AND(101&gt;E345, E345&gt;69), "Top-Tier", AND(70&gt;E345, E345&gt;39), "Mid-Tier", 40&gt;E345, "Low-Tier")</f>
        <v>Top-Tier</v>
      </c>
      <c r="G345" s="4">
        <v>45474</v>
      </c>
      <c r="H345" t="s">
        <v>651</v>
      </c>
      <c r="I345" t="s">
        <v>33</v>
      </c>
      <c r="J345" t="s">
        <v>63</v>
      </c>
      <c r="K345" t="s">
        <v>59</v>
      </c>
      <c r="L345" t="s">
        <v>24</v>
      </c>
      <c r="M345" t="s">
        <v>108</v>
      </c>
      <c r="N345" t="s">
        <v>31</v>
      </c>
      <c r="P345" s="3">
        <v>83</v>
      </c>
      <c r="Q345" t="str">
        <f>LEFT(B345, 6)</f>
        <v>Lenovo</v>
      </c>
      <c r="R345" t="str">
        <f t="shared" si="37"/>
        <v>AMD Octa-Core Ryzen 9</v>
      </c>
      <c r="S345" t="str">
        <f t="shared" si="34"/>
        <v>16 GB</v>
      </c>
    </row>
    <row r="346" spans="1:19">
      <c r="A346" t="str">
        <f>LEFT(B346, LEN(B346)-15)</f>
        <v>MSI Modern 14 C12MO-1212IN Laptop (Core i5 12th Gen/16 GB/512 GB SSD/Windows 11)</v>
      </c>
      <c r="B346" t="s">
        <v>654</v>
      </c>
      <c r="C346" s="1">
        <v>42990</v>
      </c>
      <c r="D346" s="1">
        <v>225</v>
      </c>
      <c r="E346" s="2">
        <v>88</v>
      </c>
      <c r="F346" s="2" t="str" cm="1">
        <f t="array" ref="F346">_xlfn.IFS(AND(101&gt;E346, E346&gt;69), "Top-Tier", AND(70&gt;E346, E346&gt;39), "Mid-Tier", 40&gt;E346, "Low-Tier")</f>
        <v>Top-Tier</v>
      </c>
      <c r="G346" s="4">
        <v>45474</v>
      </c>
      <c r="H346" t="s">
        <v>651</v>
      </c>
      <c r="I346" t="s">
        <v>33</v>
      </c>
      <c r="J346" t="s">
        <v>54</v>
      </c>
      <c r="K346" t="s">
        <v>149</v>
      </c>
      <c r="L346" t="s">
        <v>24</v>
      </c>
      <c r="N346" t="s">
        <v>31</v>
      </c>
      <c r="P346" s="3">
        <v>79</v>
      </c>
      <c r="Q346" t="str">
        <f>LEFT(B346, 3)</f>
        <v>MSI</v>
      </c>
      <c r="R346" t="str">
        <f t="shared" si="37"/>
        <v>AMD Octa-Core Ryzen 9</v>
      </c>
      <c r="S346" t="str">
        <f t="shared" si="34"/>
        <v>16 GB</v>
      </c>
    </row>
    <row r="347" spans="1:19">
      <c r="A347" t="str">
        <f>LEFT(B347, LEN(B347)-15)</f>
        <v>Lenovo Legion 5 15IMH05 (82AU00PMIN) Laptop (Core i5 10th Gen/8 GB/512 GB SSD/Windows 10/4 GB)</v>
      </c>
      <c r="B347" t="s">
        <v>655</v>
      </c>
      <c r="C347" s="1">
        <v>62490</v>
      </c>
      <c r="D347" s="1">
        <v>651</v>
      </c>
      <c r="E347" s="2">
        <v>88</v>
      </c>
      <c r="F347" s="2" t="str" cm="1">
        <f t="array" ref="F347">_xlfn.IFS(AND(101&gt;E347, E347&gt;69), "Top-Tier", AND(70&gt;E347, E347&gt;39), "Mid-Tier", 40&gt;E347, "Low-Tier")</f>
        <v>Top-Tier</v>
      </c>
      <c r="G347" s="4">
        <v>44348</v>
      </c>
      <c r="H347" t="s">
        <v>656</v>
      </c>
      <c r="I347" t="s">
        <v>248</v>
      </c>
      <c r="J347" t="s">
        <v>50</v>
      </c>
      <c r="K347" t="s">
        <v>249</v>
      </c>
      <c r="L347" t="s">
        <v>24</v>
      </c>
      <c r="N347" t="s">
        <v>31</v>
      </c>
      <c r="O347" t="s">
        <v>291</v>
      </c>
      <c r="P347" s="3">
        <v>75</v>
      </c>
      <c r="Q347" t="str">
        <f>LEFT(B347, 6)</f>
        <v>Lenovo</v>
      </c>
      <c r="R347" t="str">
        <f t="shared" si="37"/>
        <v>AMD Octa-Core Ryzen 9</v>
      </c>
      <c r="S347" t="str">
        <f t="shared" si="34"/>
        <v xml:space="preserve">8 GB </v>
      </c>
    </row>
    <row r="348" spans="1:19">
      <c r="A348" t="str">
        <f>LEFT(B348, LEN(B348)-15)</f>
        <v>Apple MacBook Air M4 MW1G3HN/A Ultrabook (Apple M4/16 GB/256 GB SSD/macOS Sequoia)</v>
      </c>
      <c r="B348" t="s">
        <v>657</v>
      </c>
      <c r="C348" s="1">
        <v>121990</v>
      </c>
      <c r="D348" s="1">
        <v>8</v>
      </c>
      <c r="E348" s="2">
        <v>88</v>
      </c>
      <c r="F348" s="2" t="str" cm="1">
        <f t="array" ref="F348">_xlfn.IFS(AND(101&gt;E348, E348&gt;69), "Top-Tier", AND(70&gt;E348, E348&gt;39), "Mid-Tier", 40&gt;E348, "Low-Tier")</f>
        <v>Top-Tier</v>
      </c>
      <c r="G348" s="4">
        <v>45717</v>
      </c>
      <c r="H348" t="s">
        <v>656</v>
      </c>
      <c r="I348" t="s">
        <v>21</v>
      </c>
      <c r="J348" t="s">
        <v>22</v>
      </c>
      <c r="K348" t="s">
        <v>110</v>
      </c>
      <c r="L348" t="s">
        <v>24</v>
      </c>
      <c r="M348" t="s">
        <v>25</v>
      </c>
      <c r="P348" s="3">
        <v>85</v>
      </c>
      <c r="Q348" t="str">
        <f>LEFT(B348, 5)</f>
        <v>Apple</v>
      </c>
      <c r="R348" t="str">
        <f>LEFT(H348, 21)</f>
        <v>AMD Octa-Core Ryzen 9</v>
      </c>
      <c r="S348" t="str">
        <f t="shared" si="34"/>
        <v>16 GB</v>
      </c>
    </row>
    <row r="349" spans="1:19">
      <c r="A349" t="str">
        <f>LEFT(B349, LEN(B349)-15)</f>
        <v>Infinix INBook Air Pro Plus XL434 (71008302159) Laptop (Core i5 13th Gen/16 GB/512 GB SSD/Windows 11)</v>
      </c>
      <c r="B349" t="s">
        <v>658</v>
      </c>
      <c r="C349" s="1">
        <v>49990</v>
      </c>
      <c r="D349" s="1">
        <v>56</v>
      </c>
      <c r="E349" s="2">
        <v>88</v>
      </c>
      <c r="F349" s="2" t="str" cm="1">
        <f t="array" ref="F349">_xlfn.IFS(AND(101&gt;E349, E349&gt;69), "Top-Tier", AND(70&gt;E349, E349&gt;39), "Mid-Tier", 40&gt;E349, "Low-Tier")</f>
        <v>Top-Tier</v>
      </c>
      <c r="G349" s="4">
        <v>45566</v>
      </c>
      <c r="H349" t="s">
        <v>659</v>
      </c>
      <c r="I349" t="s">
        <v>33</v>
      </c>
      <c r="J349" t="s">
        <v>214</v>
      </c>
      <c r="K349" t="s">
        <v>81</v>
      </c>
      <c r="L349" t="s">
        <v>24</v>
      </c>
      <c r="M349" t="s">
        <v>660</v>
      </c>
      <c r="N349" t="s">
        <v>31</v>
      </c>
      <c r="P349" s="3">
        <v>82</v>
      </c>
      <c r="Q349" t="str">
        <f>LEFT(B349, 7)</f>
        <v>Infinix</v>
      </c>
      <c r="R349" t="str">
        <f t="shared" ref="R349:R352" si="38">LEFT(H349, 21)</f>
        <v>AMD Octa-Core Ryzen 9</v>
      </c>
      <c r="S349" t="str">
        <f t="shared" si="34"/>
        <v>16 GB</v>
      </c>
    </row>
    <row r="350" spans="1:19">
      <c r="A350" t="str">
        <f>LEFT(B350, LEN(B350)-15)</f>
        <v>Infinix INBook Air Pro Plus XL434 (71008302165) Laptop (Core i5 13th Gen/16 GB/512 GB SSD/Windows 11)</v>
      </c>
      <c r="B350" t="s">
        <v>661</v>
      </c>
      <c r="C350" s="1">
        <v>49990</v>
      </c>
      <c r="D350" s="1">
        <v>56</v>
      </c>
      <c r="E350" s="2">
        <v>88</v>
      </c>
      <c r="F350" s="2" t="str" cm="1">
        <f t="array" ref="F350">_xlfn.IFS(AND(101&gt;E350, E350&gt;69), "Top-Tier", AND(70&gt;E350, E350&gt;39), "Mid-Tier", 40&gt;E350, "Low-Tier")</f>
        <v>Top-Tier</v>
      </c>
      <c r="G350" s="4">
        <v>45566</v>
      </c>
      <c r="H350" t="s">
        <v>659</v>
      </c>
      <c r="I350" t="s">
        <v>33</v>
      </c>
      <c r="J350" t="s">
        <v>214</v>
      </c>
      <c r="K350" t="s">
        <v>81</v>
      </c>
      <c r="L350" t="s">
        <v>24</v>
      </c>
      <c r="M350" t="s">
        <v>660</v>
      </c>
      <c r="N350" t="s">
        <v>31</v>
      </c>
      <c r="P350" s="3">
        <v>82</v>
      </c>
      <c r="Q350" t="str">
        <f>LEFT(B350, 7)</f>
        <v>Infinix</v>
      </c>
      <c r="R350" t="str">
        <f t="shared" si="38"/>
        <v>AMD Octa-Core Ryzen 9</v>
      </c>
      <c r="S350" t="str">
        <f t="shared" si="34"/>
        <v>16 GB</v>
      </c>
    </row>
    <row r="351" spans="1:19">
      <c r="A351" t="str">
        <f>LEFT(B351, LEN(B351)-15)</f>
        <v>Asus Zenbook S 14 OLED UX5406SA-PZ7762WS Laptop (Core Ultra 7/32 GB/1 TB SSD/Windows 11)</v>
      </c>
      <c r="B351" t="s">
        <v>662</v>
      </c>
      <c r="C351" s="1">
        <v>143900</v>
      </c>
      <c r="D351" s="1">
        <v>9</v>
      </c>
      <c r="E351" s="2">
        <v>88</v>
      </c>
      <c r="F351" s="2" t="str" cm="1">
        <f t="array" ref="F351">_xlfn.IFS(AND(101&gt;E351, E351&gt;69), "Top-Tier", AND(70&gt;E351, E351&gt;39), "Mid-Tier", 40&gt;E351, "Low-Tier")</f>
        <v>Top-Tier</v>
      </c>
      <c r="G351" s="4">
        <v>45658</v>
      </c>
      <c r="H351" t="s">
        <v>659</v>
      </c>
      <c r="I351" t="s">
        <v>33</v>
      </c>
      <c r="J351" t="s">
        <v>58</v>
      </c>
      <c r="K351" t="s">
        <v>81</v>
      </c>
      <c r="L351" t="s">
        <v>24</v>
      </c>
      <c r="M351" t="s">
        <v>458</v>
      </c>
      <c r="Q351" t="str">
        <f>LEFT(B351, 4)</f>
        <v>Asus</v>
      </c>
      <c r="R351" t="str">
        <f t="shared" si="38"/>
        <v>AMD Octa-Core Ryzen 9</v>
      </c>
      <c r="S351" t="str">
        <f t="shared" si="34"/>
        <v>32 GB</v>
      </c>
    </row>
    <row r="352" spans="1:19">
      <c r="A352" t="str">
        <f>LEFT(B352, LEN(B352)-15)</f>
        <v>Asus Zenbook S 14 OLED UX5406SA-PZ7761WS Laptop (Core Ultra 7/32 GB/1 TB SSD/Windows 11)</v>
      </c>
      <c r="B352" t="s">
        <v>663</v>
      </c>
      <c r="C352" s="1">
        <v>146940</v>
      </c>
      <c r="D352" s="1">
        <v>9</v>
      </c>
      <c r="E352" s="2">
        <v>88</v>
      </c>
      <c r="F352" s="2" t="str" cm="1">
        <f t="array" ref="F352">_xlfn.IFS(AND(101&gt;E352, E352&gt;69), "Top-Tier", AND(70&gt;E352, E352&gt;39), "Mid-Tier", 40&gt;E352, "Low-Tier")</f>
        <v>Top-Tier</v>
      </c>
      <c r="G352" s="4">
        <v>45658</v>
      </c>
      <c r="H352" t="s">
        <v>664</v>
      </c>
      <c r="I352" t="s">
        <v>33</v>
      </c>
      <c r="J352" t="s">
        <v>58</v>
      </c>
      <c r="K352" t="s">
        <v>81</v>
      </c>
      <c r="L352" t="s">
        <v>24</v>
      </c>
      <c r="M352" t="s">
        <v>458</v>
      </c>
      <c r="N352" t="s">
        <v>31</v>
      </c>
      <c r="Q352" t="str">
        <f>LEFT(B352, 4)</f>
        <v>Asus</v>
      </c>
      <c r="R352" t="str">
        <f t="shared" si="38"/>
        <v>AMD Octa-Core Ryzen 9</v>
      </c>
      <c r="S352" t="str">
        <f t="shared" si="34"/>
        <v>32 GB</v>
      </c>
    </row>
    <row r="353" spans="1:19">
      <c r="A353" t="str">
        <f>LEFT(B353, LEN(B353)-15)</f>
        <v>Apple MacBook Air M3 MC9F4HN/A Ultrabook (Apple M3/16 GB/256 GB SSD/macOS Sequoia)</v>
      </c>
      <c r="B353" t="s">
        <v>665</v>
      </c>
      <c r="C353" s="1">
        <v>118990</v>
      </c>
      <c r="D353" s="1">
        <v>7</v>
      </c>
      <c r="E353" s="2">
        <v>88</v>
      </c>
      <c r="F353" s="2" t="str" cm="1">
        <f t="array" ref="F353">_xlfn.IFS(AND(101&gt;E353, E353&gt;69), "Top-Tier", AND(70&gt;E353, E353&gt;39), "Mid-Tier", 40&gt;E353, "Low-Tier")</f>
        <v>Top-Tier</v>
      </c>
      <c r="G353" s="4">
        <v>45597</v>
      </c>
      <c r="H353" t="s">
        <v>666</v>
      </c>
      <c r="I353" t="s">
        <v>21</v>
      </c>
      <c r="J353" t="s">
        <v>22</v>
      </c>
      <c r="K353" t="s">
        <v>23</v>
      </c>
      <c r="L353" t="s">
        <v>24</v>
      </c>
      <c r="M353" t="s">
        <v>25</v>
      </c>
      <c r="P353" s="3">
        <v>84</v>
      </c>
      <c r="Q353" t="str">
        <f>LEFT(B353, 5)</f>
        <v>Apple</v>
      </c>
      <c r="R353" t="str">
        <f>LEFT(H353, 21)</f>
        <v>AMD Octa-Core Ryzen 9</v>
      </c>
      <c r="S353" t="str">
        <f t="shared" si="34"/>
        <v>16 GB</v>
      </c>
    </row>
    <row r="354" spans="1:19">
      <c r="A354" t="str">
        <f>LEFT(B354, LEN(B354)-15)</f>
        <v>Asus Vivobook S430UA-EB091T Laptop (Core i3 8th Gen/8 GB/1 TB 256 GB SSD/Windows 10)</v>
      </c>
      <c r="B354" t="s">
        <v>667</v>
      </c>
      <c r="C354" s="1">
        <v>44990</v>
      </c>
      <c r="D354" s="1">
        <v>464</v>
      </c>
      <c r="E354" s="2">
        <v>88</v>
      </c>
      <c r="F354" s="2" t="str" cm="1">
        <f t="array" ref="F354">_xlfn.IFS(AND(101&gt;E354, E354&gt;69), "Top-Tier", AND(70&gt;E354, E354&gt;39), "Mid-Tier", 40&gt;E354, "Low-Tier")</f>
        <v>Top-Tier</v>
      </c>
      <c r="G354" s="4">
        <v>43405</v>
      </c>
      <c r="H354" t="s">
        <v>668</v>
      </c>
      <c r="I354" t="s">
        <v>248</v>
      </c>
      <c r="J354" t="s">
        <v>332</v>
      </c>
      <c r="K354" t="s">
        <v>439</v>
      </c>
      <c r="L354" t="s">
        <v>24</v>
      </c>
      <c r="M354" t="s">
        <v>74</v>
      </c>
      <c r="N354" t="s">
        <v>31</v>
      </c>
      <c r="O354" t="s">
        <v>152</v>
      </c>
      <c r="Q354" t="str">
        <f>LEFT(B354, 4)</f>
        <v>Asus</v>
      </c>
      <c r="R354" t="str">
        <f t="shared" ref="R354:R358" si="39">LEFT(H354, 21)</f>
        <v>AMD Octa-Core Ryzen 9</v>
      </c>
      <c r="S354" t="str">
        <f t="shared" si="34"/>
        <v xml:space="preserve">8 GB </v>
      </c>
    </row>
    <row r="355" spans="1:19">
      <c r="A355" t="str">
        <f>LEFT(B355, LEN(B355)-15)</f>
        <v>Asus TUF Gaming F15 FX506HE-HN385WS Laptop (Core i7 11th Gen/16 GB/1 TB SSD/Windows 11/4 GB)</v>
      </c>
      <c r="B355" t="s">
        <v>669</v>
      </c>
      <c r="C355" s="1">
        <v>74727</v>
      </c>
      <c r="D355" s="1">
        <v>342</v>
      </c>
      <c r="E355" s="2">
        <v>88</v>
      </c>
      <c r="F355" s="2" t="str" cm="1">
        <f t="array" ref="F355">_xlfn.IFS(AND(101&gt;E355, E355&gt;69), "Top-Tier", AND(70&gt;E355, E355&gt;39), "Mid-Tier", 40&gt;E355, "Low-Tier")</f>
        <v>Top-Tier</v>
      </c>
      <c r="G355" s="4">
        <v>45170</v>
      </c>
      <c r="H355" t="s">
        <v>670</v>
      </c>
      <c r="I355" t="s">
        <v>33</v>
      </c>
      <c r="J355" t="s">
        <v>184</v>
      </c>
      <c r="K355" t="s">
        <v>51</v>
      </c>
      <c r="L355" t="s">
        <v>24</v>
      </c>
      <c r="M355" t="s">
        <v>229</v>
      </c>
      <c r="N355" t="s">
        <v>31</v>
      </c>
      <c r="P355" s="3">
        <v>86</v>
      </c>
      <c r="Q355" t="str">
        <f>LEFT(B355, 4)</f>
        <v>Asus</v>
      </c>
      <c r="R355" t="str">
        <f>LEFT(H355, 24)</f>
        <v>AMD Octa-Core Ryzen AI 7</v>
      </c>
      <c r="S355" t="str">
        <f t="shared" si="34"/>
        <v>16 GB</v>
      </c>
    </row>
    <row r="356" spans="1:19">
      <c r="A356" t="str">
        <f>LEFT(B356, LEN(B356)-15)</f>
        <v>Asus TUF Gaming F16 FX607VB-RL076WS Laptop (Core 5 Series 2 /16 GB/512 GB SSD/Windows 11/4 GB)</v>
      </c>
      <c r="B356" t="s">
        <v>671</v>
      </c>
      <c r="C356" s="1">
        <v>73900</v>
      </c>
      <c r="D356" s="1">
        <v>7</v>
      </c>
      <c r="E356" s="2">
        <v>88</v>
      </c>
      <c r="F356" s="2" t="str" cm="1">
        <f t="array" ref="F356">_xlfn.IFS(AND(101&gt;E356, E356&gt;69), "Top-Tier", AND(70&gt;E356, E356&gt;39), "Mid-Tier", 40&gt;E356, "Low-Tier")</f>
        <v>Top-Tier</v>
      </c>
      <c r="G356" s="4">
        <v>45717</v>
      </c>
      <c r="H356" t="s">
        <v>670</v>
      </c>
      <c r="I356" t="s">
        <v>33</v>
      </c>
      <c r="J356" t="s">
        <v>34</v>
      </c>
      <c r="K356" t="s">
        <v>155</v>
      </c>
      <c r="L356" t="s">
        <v>24</v>
      </c>
      <c r="N356" t="s">
        <v>31</v>
      </c>
      <c r="P356" s="3">
        <v>86</v>
      </c>
      <c r="Q356" t="str">
        <f>LEFT(B356, 4)</f>
        <v>Asus</v>
      </c>
      <c r="R356" t="str">
        <f>LEFT(H356, 24)</f>
        <v>AMD Octa-Core Ryzen AI 7</v>
      </c>
      <c r="S356" t="str">
        <f t="shared" si="34"/>
        <v>16 GB</v>
      </c>
    </row>
    <row r="357" spans="1:19">
      <c r="A357" t="str">
        <f>LEFT(B357, LEN(B357)-15)</f>
        <v>HP Pavilion x360 14-ek1152TU (B6PA4PA) Laptop (Core i7 13th Gen/16 GB/512 GB SSD/Windows 11)</v>
      </c>
      <c r="B357" t="s">
        <v>672</v>
      </c>
      <c r="C357" s="1">
        <v>84490</v>
      </c>
      <c r="D357" s="1">
        <v>14</v>
      </c>
      <c r="E357" s="2">
        <v>88</v>
      </c>
      <c r="F357" s="2" t="str" cm="1">
        <f t="array" ref="F357">_xlfn.IFS(AND(101&gt;E357, E357&gt;69), "Top-Tier", AND(70&gt;E357, E357&gt;39), "Mid-Tier", 40&gt;E357, "Low-Tier")</f>
        <v>Top-Tier</v>
      </c>
      <c r="G357" s="4">
        <v>45658</v>
      </c>
      <c r="H357" t="s">
        <v>670</v>
      </c>
      <c r="I357" t="s">
        <v>33</v>
      </c>
      <c r="J357" t="s">
        <v>34</v>
      </c>
      <c r="K357" t="s">
        <v>149</v>
      </c>
      <c r="L357" t="s">
        <v>24</v>
      </c>
      <c r="M357" t="s">
        <v>122</v>
      </c>
      <c r="N357" t="s">
        <v>31</v>
      </c>
      <c r="P357" s="3">
        <v>82</v>
      </c>
      <c r="Q357" t="str">
        <f>LEFT(B357, 2)</f>
        <v>HP</v>
      </c>
      <c r="R357" t="str">
        <f>LEFT(H357, 24)</f>
        <v>AMD Octa-Core Ryzen AI 7</v>
      </c>
      <c r="S357" t="str">
        <f t="shared" si="34"/>
        <v>16 GB</v>
      </c>
    </row>
    <row r="358" spans="1:19">
      <c r="A358" t="str">
        <f>LEFT(B358, LEN(B358)-15)</f>
        <v>HP 250R G9 (B10MTAT) Laptop (Core i3 13th Gen/8 GB/512 GB SSD/DOS)</v>
      </c>
      <c r="B358" t="s">
        <v>673</v>
      </c>
      <c r="C358" s="1">
        <v>32349</v>
      </c>
      <c r="D358" s="1">
        <v>45</v>
      </c>
      <c r="E358" s="2">
        <v>88</v>
      </c>
      <c r="F358" s="2" t="str" cm="1">
        <f t="array" ref="F358">_xlfn.IFS(AND(101&gt;E358, E358&gt;69), "Top-Tier", AND(70&gt;E358, E358&gt;39), "Mid-Tier", 40&gt;E358, "Low-Tier")</f>
        <v>Top-Tier</v>
      </c>
      <c r="G358" s="4">
        <v>45566</v>
      </c>
      <c r="H358" t="s">
        <v>670</v>
      </c>
      <c r="I358" t="s">
        <v>124</v>
      </c>
      <c r="J358" t="s">
        <v>50</v>
      </c>
      <c r="K358" t="s">
        <v>674</v>
      </c>
      <c r="L358" t="s">
        <v>24</v>
      </c>
      <c r="M358" t="s">
        <v>675</v>
      </c>
      <c r="N358" t="s">
        <v>31</v>
      </c>
      <c r="P358" s="3">
        <v>78</v>
      </c>
      <c r="Q358" t="str">
        <f>LEFT(B358, 2)</f>
        <v>HP</v>
      </c>
      <c r="R358" t="str">
        <f>LEFT(H358, 24)</f>
        <v>AMD Octa-Core Ryzen AI 7</v>
      </c>
      <c r="S358" t="str">
        <f t="shared" si="34"/>
        <v xml:space="preserve">8 GB </v>
      </c>
    </row>
    <row r="359" spans="1:19">
      <c r="A359" t="str">
        <f>LEFT(B359, LEN(B359)-15)</f>
        <v>MSI Modern 14 C7M-284IN Laptop (AMD Hexa Core Ryzen 5/8 GB/512 GB SSD/Windows 11)</v>
      </c>
      <c r="B359" t="s">
        <v>676</v>
      </c>
      <c r="C359" s="1">
        <v>38990</v>
      </c>
      <c r="D359" s="1">
        <v>5</v>
      </c>
      <c r="E359" s="2">
        <v>88</v>
      </c>
      <c r="F359" s="2" t="str" cm="1">
        <f t="array" ref="F359">_xlfn.IFS(AND(101&gt;E359, E359&gt;69), "Top-Tier", AND(70&gt;E359, E359&gt;39), "Mid-Tier", 40&gt;E359, "Low-Tier")</f>
        <v>Top-Tier</v>
      </c>
      <c r="G359" s="4">
        <v>45566</v>
      </c>
      <c r="H359" t="s">
        <v>670</v>
      </c>
      <c r="I359" t="s">
        <v>33</v>
      </c>
      <c r="J359" t="s">
        <v>50</v>
      </c>
      <c r="K359" t="s">
        <v>149</v>
      </c>
      <c r="L359" t="s">
        <v>24</v>
      </c>
      <c r="M359" t="s">
        <v>428</v>
      </c>
      <c r="N359" t="s">
        <v>31</v>
      </c>
      <c r="P359" s="3">
        <v>75</v>
      </c>
      <c r="Q359" t="str">
        <f>LEFT(B359, 3)</f>
        <v>MSI</v>
      </c>
      <c r="R359" t="str">
        <f>LEFT(H359, 22)</f>
        <v>AMD Octa-Core Ryzen AI</v>
      </c>
      <c r="S359" t="str">
        <f t="shared" si="34"/>
        <v xml:space="preserve">8 GB </v>
      </c>
    </row>
    <row r="360" spans="1:19">
      <c r="A360" t="str">
        <f>LEFT(B360, LEN(B360)-15)</f>
        <v>Asus Vivobook S15 K5504VAB-BN417WS Laptop (Core i9 13th Gen/16 GB/512 GB SSD/Windows 11)</v>
      </c>
      <c r="B360" t="s">
        <v>677</v>
      </c>
      <c r="C360" s="1">
        <v>83990</v>
      </c>
      <c r="D360" s="1">
        <v>96</v>
      </c>
      <c r="E360" s="2">
        <v>88</v>
      </c>
      <c r="F360" s="2" t="str" cm="1">
        <f t="array" ref="F360">_xlfn.IFS(AND(101&gt;E360, E360&gt;69), "Top-Tier", AND(70&gt;E360, E360&gt;39), "Mid-Tier", 40&gt;E360, "Low-Tier")</f>
        <v>Top-Tier</v>
      </c>
      <c r="G360" s="4">
        <v>45566</v>
      </c>
      <c r="H360" t="s">
        <v>678</v>
      </c>
      <c r="I360" t="s">
        <v>33</v>
      </c>
      <c r="J360" t="s">
        <v>121</v>
      </c>
      <c r="K360" t="s">
        <v>51</v>
      </c>
      <c r="L360" t="s">
        <v>24</v>
      </c>
      <c r="M360" t="s">
        <v>95</v>
      </c>
      <c r="N360" t="s">
        <v>31</v>
      </c>
      <c r="P360" s="3">
        <v>84</v>
      </c>
      <c r="Q360" t="str">
        <f>LEFT(B360, 4)</f>
        <v>Asus</v>
      </c>
      <c r="R360" t="str">
        <f>LEFT(H360, 20)</f>
        <v>AMD Quad-Core A6 APU</v>
      </c>
      <c r="S360" t="str">
        <f t="shared" si="34"/>
        <v>16 GB</v>
      </c>
    </row>
    <row r="361" spans="1:19">
      <c r="A361" t="str">
        <f>LEFT(B361, LEN(B361)-15)</f>
        <v>Asus TUF Gaming A15 FA566NCR-HN054WS Laptop (AMD Octa Core Ryzen 7/16 GB/512 GB SSD/Windows 11/4 GB)</v>
      </c>
      <c r="B361" t="s">
        <v>679</v>
      </c>
      <c r="C361" s="1">
        <v>68990</v>
      </c>
      <c r="D361" s="1">
        <v>1294</v>
      </c>
      <c r="E361" s="2">
        <v>88</v>
      </c>
      <c r="F361" s="2" t="str" cm="1">
        <f t="array" ref="F361">_xlfn.IFS(AND(101&gt;E361, E361&gt;69), "Top-Tier", AND(70&gt;E361, E361&gt;39), "Mid-Tier", 40&gt;E361, "Low-Tier")</f>
        <v>Top-Tier</v>
      </c>
      <c r="G361" s="4">
        <v>45536</v>
      </c>
      <c r="H361" t="s">
        <v>680</v>
      </c>
      <c r="I361" t="s">
        <v>33</v>
      </c>
      <c r="J361" t="s">
        <v>54</v>
      </c>
      <c r="K361" t="s">
        <v>51</v>
      </c>
      <c r="L361" t="s">
        <v>24</v>
      </c>
      <c r="N361" t="s">
        <v>31</v>
      </c>
      <c r="P361" s="3">
        <v>86</v>
      </c>
      <c r="Q361" t="str">
        <f>LEFT(B361, 4)</f>
        <v>Asus</v>
      </c>
      <c r="R361" t="str">
        <f>LEFT(H361, 21)</f>
        <v xml:space="preserve">AMD Quad-Core A8 APU </v>
      </c>
      <c r="S361" t="str">
        <f t="shared" si="34"/>
        <v>16 GB</v>
      </c>
    </row>
    <row r="362" spans="1:19">
      <c r="A362" t="str">
        <f>LEFT(B362, LEN(B362)-15)</f>
        <v>HP 15s-EQ0144AU (275H3PA) Laptop (AMD Quad Core Ryzen 5/8 GB/512 GB SSD/Windows 10)</v>
      </c>
      <c r="B362" t="s">
        <v>681</v>
      </c>
      <c r="C362" s="1">
        <v>42990</v>
      </c>
      <c r="D362" s="1">
        <v>525</v>
      </c>
      <c r="E362" s="2">
        <v>88</v>
      </c>
      <c r="F362" s="2" t="str" cm="1">
        <f t="array" ref="F362">_xlfn.IFS(AND(101&gt;E362, E362&gt;69), "Top-Tier", AND(70&gt;E362, E362&gt;39), "Mid-Tier", 40&gt;E362, "Low-Tier")</f>
        <v>Top-Tier</v>
      </c>
      <c r="G362" s="4">
        <v>44166</v>
      </c>
      <c r="H362" t="s">
        <v>680</v>
      </c>
      <c r="I362" t="s">
        <v>248</v>
      </c>
      <c r="J362" t="s">
        <v>50</v>
      </c>
      <c r="K362" t="s">
        <v>249</v>
      </c>
      <c r="L362" t="s">
        <v>24</v>
      </c>
      <c r="M362" t="s">
        <v>95</v>
      </c>
      <c r="N362" t="s">
        <v>31</v>
      </c>
      <c r="Q362" t="str">
        <f>LEFT(B362, 2)</f>
        <v>HP</v>
      </c>
      <c r="R362" t="str">
        <f t="shared" ref="R362:R363" si="40">LEFT(H362, 21)</f>
        <v xml:space="preserve">AMD Quad-Core A8 APU </v>
      </c>
      <c r="S362" t="str">
        <f t="shared" si="34"/>
        <v xml:space="preserve">8 GB </v>
      </c>
    </row>
    <row r="363" spans="1:19">
      <c r="A363" t="str">
        <f>LEFT(B363, LEN(B363)-15)</f>
        <v>Asus Vivobook S430UA-EB151T Laptop (Core i3 8th Gen/8 GB/1 TB 256 GB SSD/Windows 10)</v>
      </c>
      <c r="B363" t="s">
        <v>682</v>
      </c>
      <c r="C363" s="1">
        <v>54990</v>
      </c>
      <c r="D363" s="1">
        <v>462</v>
      </c>
      <c r="E363" s="2">
        <v>88</v>
      </c>
      <c r="F363" s="2" t="str" cm="1">
        <f t="array" ref="F363">_xlfn.IFS(AND(101&gt;E363, E363&gt;69), "Top-Tier", AND(70&gt;E363, E363&gt;39), "Mid-Tier", 40&gt;E363, "Low-Tier")</f>
        <v>Top-Tier</v>
      </c>
      <c r="G363" s="4">
        <v>43405</v>
      </c>
      <c r="H363" t="s">
        <v>683</v>
      </c>
      <c r="I363" t="s">
        <v>248</v>
      </c>
      <c r="J363" t="s">
        <v>332</v>
      </c>
      <c r="K363" t="s">
        <v>439</v>
      </c>
      <c r="L363" t="s">
        <v>24</v>
      </c>
      <c r="M363" t="s">
        <v>74</v>
      </c>
      <c r="N363" t="s">
        <v>31</v>
      </c>
      <c r="O363" t="s">
        <v>152</v>
      </c>
      <c r="Q363" t="str">
        <f>LEFT(B363, 4)</f>
        <v>Asus</v>
      </c>
      <c r="R363" t="str">
        <f>LEFT(H363, 18)</f>
        <v xml:space="preserve">AMD Quad-Core APU </v>
      </c>
      <c r="S363" t="str">
        <f t="shared" si="34"/>
        <v xml:space="preserve">8 GB </v>
      </c>
    </row>
    <row r="364" spans="1:19">
      <c r="A364" t="str">
        <f>LEFT(B364, LEN(B364)-15)</f>
        <v>Asus TUF Gaming A15 FA506NC-HN083W Laptop (AMD Hexa Core Ryzen 5/16 GB/512 GB SSD/Windows 11/4 GB)</v>
      </c>
      <c r="B364" t="s">
        <v>684</v>
      </c>
      <c r="C364" s="1">
        <v>59990</v>
      </c>
      <c r="D364" s="1">
        <v>560</v>
      </c>
      <c r="E364" s="2">
        <v>88</v>
      </c>
      <c r="F364" s="2" t="str" cm="1">
        <f t="array" ref="F364">_xlfn.IFS(AND(101&gt;E364, E364&gt;69), "Top-Tier", AND(70&gt;E364, E364&gt;39), "Mid-Tier", 40&gt;E364, "Low-Tier")</f>
        <v>Top-Tier</v>
      </c>
      <c r="G364" s="4">
        <v>45474</v>
      </c>
      <c r="H364" t="s">
        <v>685</v>
      </c>
      <c r="I364" t="s">
        <v>33</v>
      </c>
      <c r="J364" t="s">
        <v>54</v>
      </c>
      <c r="K364" t="s">
        <v>51</v>
      </c>
      <c r="L364" t="s">
        <v>24</v>
      </c>
      <c r="N364" t="s">
        <v>31</v>
      </c>
      <c r="P364" s="3">
        <v>86</v>
      </c>
      <c r="Q364" t="str">
        <f>LEFT(B364, 4)</f>
        <v>Asus</v>
      </c>
      <c r="R364" t="str">
        <f>LEFT(H364, 21)</f>
        <v>AMD Quad-Core Ryzen 3</v>
      </c>
      <c r="S364" t="str">
        <f t="shared" si="34"/>
        <v>16 GB</v>
      </c>
    </row>
    <row r="365" spans="1:19">
      <c r="A365" t="str">
        <f>LEFT(B365, LEN(B365)-15)</f>
        <v>Asus Vivobook Flip TM420UA-EC501TS Laptop (AMD Hexa Core Ryzen 5/8 GB/512 GB SSD/Windows 10)</v>
      </c>
      <c r="B365" t="s">
        <v>686</v>
      </c>
      <c r="C365" s="1">
        <v>59988</v>
      </c>
      <c r="D365" s="1">
        <v>295</v>
      </c>
      <c r="E365" s="2">
        <v>88</v>
      </c>
      <c r="F365" s="2" t="str" cm="1">
        <f t="array" ref="F365">_xlfn.IFS(AND(101&gt;E365, E365&gt;69), "Top-Tier", AND(70&gt;E365, E365&gt;39), "Mid-Tier", 40&gt;E365, "Low-Tier")</f>
        <v>Top-Tier</v>
      </c>
      <c r="G365" s="4">
        <v>44317</v>
      </c>
      <c r="H365" t="s">
        <v>685</v>
      </c>
      <c r="I365" t="s">
        <v>248</v>
      </c>
      <c r="J365" t="s">
        <v>50</v>
      </c>
      <c r="K365" t="s">
        <v>149</v>
      </c>
      <c r="L365" t="s">
        <v>24</v>
      </c>
      <c r="M365" t="s">
        <v>483</v>
      </c>
      <c r="N365" t="s">
        <v>31</v>
      </c>
      <c r="O365" t="s">
        <v>152</v>
      </c>
      <c r="Q365" t="str">
        <f>LEFT(B365, 4)</f>
        <v>Asus</v>
      </c>
      <c r="R365" t="str">
        <f t="shared" ref="R365:R367" si="41">LEFT(H365, 21)</f>
        <v>AMD Quad-Core Ryzen 3</v>
      </c>
      <c r="S365" t="str">
        <f t="shared" si="34"/>
        <v xml:space="preserve">8 GB </v>
      </c>
    </row>
    <row r="366" spans="1:19">
      <c r="A366" t="str">
        <f>LEFT(B366, LEN(B366)-15)</f>
        <v>Dell Latitude 14 3420 (P144G201) Laptop (Core i3 11th Gen/8 GB/512 GB SSD/DOS)</v>
      </c>
      <c r="B366" t="s">
        <v>687</v>
      </c>
      <c r="C366" s="1">
        <v>29924</v>
      </c>
      <c r="D366" s="1">
        <v>38</v>
      </c>
      <c r="E366" s="2">
        <v>88</v>
      </c>
      <c r="F366" s="2" t="str" cm="1">
        <f t="array" ref="F366">_xlfn.IFS(AND(101&gt;E366, E366&gt;69), "Top-Tier", AND(70&gt;E366, E366&gt;39), "Mid-Tier", 40&gt;E366, "Low-Tier")</f>
        <v>Top-Tier</v>
      </c>
      <c r="G366" s="4">
        <v>45627</v>
      </c>
      <c r="H366" t="s">
        <v>685</v>
      </c>
      <c r="I366" t="s">
        <v>124</v>
      </c>
      <c r="J366" t="s">
        <v>50</v>
      </c>
      <c r="K366" t="s">
        <v>427</v>
      </c>
      <c r="L366" t="s">
        <v>24</v>
      </c>
      <c r="N366" t="s">
        <v>31</v>
      </c>
      <c r="Q366" t="str">
        <f>LEFT(B366, 4)</f>
        <v>Dell</v>
      </c>
      <c r="R366" t="str">
        <f t="shared" si="41"/>
        <v>AMD Quad-Core Ryzen 3</v>
      </c>
      <c r="S366" t="str">
        <f t="shared" si="34"/>
        <v xml:space="preserve">8 GB </v>
      </c>
    </row>
    <row r="367" spans="1:19">
      <c r="A367" t="str">
        <f>LEFT(B367, LEN(B367)-15)</f>
        <v>Microsoft Surface Pro 11 (ZHX-00014) Laptop (Snapdragon X Plus/16 GB/256 GB SSD/Windows 11)</v>
      </c>
      <c r="B367" t="s">
        <v>688</v>
      </c>
      <c r="C367" s="1">
        <v>113990</v>
      </c>
      <c r="D367" s="1">
        <v>20</v>
      </c>
      <c r="E367" s="2">
        <v>88</v>
      </c>
      <c r="F367" s="2" t="str" cm="1">
        <f t="array" ref="F367">_xlfn.IFS(AND(101&gt;E367, E367&gt;69), "Top-Tier", AND(70&gt;E367, E367&gt;39), "Mid-Tier", 40&gt;E367, "Low-Tier")</f>
        <v>Top-Tier</v>
      </c>
      <c r="G367" s="4">
        <v>45474</v>
      </c>
      <c r="H367" t="s">
        <v>689</v>
      </c>
      <c r="I367" t="s">
        <v>33</v>
      </c>
      <c r="J367" t="s">
        <v>77</v>
      </c>
      <c r="K367" t="s">
        <v>690</v>
      </c>
      <c r="L367" t="s">
        <v>24</v>
      </c>
      <c r="P367" s="3">
        <v>80</v>
      </c>
      <c r="Q367" t="str">
        <f>LEFT(B367, 9)</f>
        <v>Microsoft</v>
      </c>
      <c r="R367" t="str">
        <f t="shared" si="41"/>
        <v>AMD Quad-Core Ryzen 3</v>
      </c>
      <c r="S367" t="str">
        <f t="shared" si="34"/>
        <v>16 GB</v>
      </c>
    </row>
    <row r="368" spans="1:19">
      <c r="A368" t="str">
        <f>LEFT(B368, LEN(B368)-15)</f>
        <v>Asus VivoBook Pro 15 M6500QC-HN542WS Laptop (AMD Hexa Core Ryzen 5/16 GB/512 GB SSD/Windows 11/4 GB)</v>
      </c>
      <c r="B368" t="s">
        <v>691</v>
      </c>
      <c r="C368" s="1">
        <v>65990</v>
      </c>
      <c r="D368" s="1">
        <v>200</v>
      </c>
      <c r="E368" s="2">
        <v>88</v>
      </c>
      <c r="F368" s="2" t="str" cm="1">
        <f t="array" ref="F368">_xlfn.IFS(AND(101&gt;E368, E368&gt;69), "Top-Tier", AND(70&gt;E368, E368&gt;39), "Mid-Tier", 40&gt;E368, "Low-Tier")</f>
        <v>Top-Tier</v>
      </c>
      <c r="G368" s="4">
        <v>45108</v>
      </c>
      <c r="H368" t="s">
        <v>689</v>
      </c>
      <c r="I368" t="s">
        <v>33</v>
      </c>
      <c r="J368" t="s">
        <v>34</v>
      </c>
      <c r="K368" t="s">
        <v>159</v>
      </c>
      <c r="L368" t="s">
        <v>24</v>
      </c>
      <c r="M368" t="s">
        <v>52</v>
      </c>
      <c r="N368" t="s">
        <v>31</v>
      </c>
      <c r="P368" s="3">
        <v>84</v>
      </c>
      <c r="Q368" t="str">
        <f>LEFT(B368, 4)</f>
        <v>Asus</v>
      </c>
      <c r="R368" t="str">
        <f>LEFT(H368, 21)</f>
        <v>AMD Quad-Core Ryzen 3</v>
      </c>
      <c r="S368" t="str">
        <f t="shared" si="34"/>
        <v>16 GB</v>
      </c>
    </row>
    <row r="369" spans="1:19">
      <c r="A369" t="str">
        <f>LEFT(B369, LEN(B369)-15)</f>
        <v>HP Pavilion 14-dv0055TU (2N1L1PA) Laptop (Core i5 11th Gen/16 GB/512 GB SSD/Windows 10)</v>
      </c>
      <c r="B369" t="s">
        <v>692</v>
      </c>
      <c r="C369" s="1">
        <v>71990</v>
      </c>
      <c r="D369" s="1">
        <v>729</v>
      </c>
      <c r="E369" s="2">
        <v>88</v>
      </c>
      <c r="F369" s="2" t="str" cm="1">
        <f t="array" ref="F369">_xlfn.IFS(AND(101&gt;E369, E369&gt;69), "Top-Tier", AND(70&gt;E369, E369&gt;39), "Mid-Tier", 40&gt;E369, "Low-Tier")</f>
        <v>Top-Tier</v>
      </c>
      <c r="G369" s="4">
        <v>44317</v>
      </c>
      <c r="H369" t="s">
        <v>693</v>
      </c>
      <c r="I369" t="s">
        <v>248</v>
      </c>
      <c r="J369" t="s">
        <v>34</v>
      </c>
      <c r="K369" t="s">
        <v>439</v>
      </c>
      <c r="L369" t="s">
        <v>24</v>
      </c>
      <c r="M369" t="s">
        <v>203</v>
      </c>
      <c r="N369" t="s">
        <v>31</v>
      </c>
      <c r="P369" s="3">
        <v>73</v>
      </c>
      <c r="Q369" t="str">
        <f>LEFT(B369, 2)</f>
        <v>HP</v>
      </c>
      <c r="R369" t="str">
        <f t="shared" ref="R369:R387" si="42">LEFT(H369, 21)</f>
        <v>AMD Quad-Core Ryzen 3</v>
      </c>
      <c r="S369" t="str">
        <f t="shared" si="34"/>
        <v>16 GB</v>
      </c>
    </row>
    <row r="370" spans="1:19">
      <c r="A370" t="str">
        <f>LEFT(B370, LEN(B370)-15)</f>
        <v>Asus VivoBook Flip 14 TP470EA-EC301TS Laptop (Core i3 11th Gen/8 GB/256 GB SSD/Windows 10)</v>
      </c>
      <c r="B370" t="s">
        <v>694</v>
      </c>
      <c r="C370" s="1">
        <v>62990</v>
      </c>
      <c r="D370" s="1">
        <v>847</v>
      </c>
      <c r="E370" s="2">
        <v>88</v>
      </c>
      <c r="F370" s="2" t="str" cm="1">
        <f t="array" ref="F370">_xlfn.IFS(AND(101&gt;E370, E370&gt;69), "Top-Tier", AND(70&gt;E370, E370&gt;39), "Mid-Tier", 40&gt;E370, "Low-Tier")</f>
        <v>Top-Tier</v>
      </c>
      <c r="G370" s="4">
        <v>44317</v>
      </c>
      <c r="H370" t="s">
        <v>695</v>
      </c>
      <c r="I370" t="s">
        <v>248</v>
      </c>
      <c r="J370" t="s">
        <v>338</v>
      </c>
      <c r="K370" t="s">
        <v>439</v>
      </c>
      <c r="L370" t="s">
        <v>24</v>
      </c>
      <c r="M370" t="s">
        <v>138</v>
      </c>
      <c r="N370" t="s">
        <v>31</v>
      </c>
      <c r="Q370" t="str">
        <f>LEFT(B370, 4)</f>
        <v>Asus</v>
      </c>
      <c r="R370" t="str">
        <f t="shared" si="42"/>
        <v>AMD Quad-Core Ryzen 3</v>
      </c>
      <c r="S370" t="str">
        <f t="shared" si="34"/>
        <v xml:space="preserve">8 GB </v>
      </c>
    </row>
    <row r="371" spans="1:19">
      <c r="A371" t="str">
        <f>LEFT(B371, LEN(B371)-15)</f>
        <v>HP Pavilion TouchSmart 14 x360-14-dh1006tu (8GA81PA) Laptop (Core i3 10th Gen/4 GB/256 GB SSD/Windows 10)</v>
      </c>
      <c r="B371" t="s">
        <v>696</v>
      </c>
      <c r="C371" s="1">
        <v>44441</v>
      </c>
      <c r="D371" s="1">
        <v>54</v>
      </c>
      <c r="E371" s="2">
        <v>88</v>
      </c>
      <c r="F371" s="2" t="str" cm="1">
        <f t="array" ref="F371">_xlfn.IFS(AND(101&gt;E371, E371&gt;69), "Top-Tier", AND(70&gt;E371, E371&gt;39), "Mid-Tier", 40&gt;E371, "Low-Tier")</f>
        <v>Top-Tier</v>
      </c>
      <c r="G371" s="4">
        <v>43739</v>
      </c>
      <c r="H371" t="s">
        <v>697</v>
      </c>
      <c r="I371" t="s">
        <v>248</v>
      </c>
      <c r="J371" t="s">
        <v>698</v>
      </c>
      <c r="K371" t="s">
        <v>699</v>
      </c>
      <c r="L371" t="s">
        <v>24</v>
      </c>
      <c r="M371" t="s">
        <v>222</v>
      </c>
      <c r="N371" t="s">
        <v>31</v>
      </c>
      <c r="Q371" t="str">
        <f>LEFT(B371, 2)</f>
        <v>HP</v>
      </c>
      <c r="R371" t="str">
        <f t="shared" si="42"/>
        <v>AMD Quad-Core Ryzen 3</v>
      </c>
      <c r="S371" t="str">
        <f t="shared" si="34"/>
        <v xml:space="preserve">4 GB </v>
      </c>
    </row>
    <row r="372" spans="1:19">
      <c r="A372" t="str">
        <f>LEFT(B372, LEN(B372)-15)</f>
        <v>Apple MacBook Pro MUHQ2HN/A Ultrabook (Core i5 8th Gen/8 GB/128 GB SSD/macOS Mojave)</v>
      </c>
      <c r="B372" t="s">
        <v>700</v>
      </c>
      <c r="C372" s="1">
        <v>97040</v>
      </c>
      <c r="D372" s="1">
        <v>104</v>
      </c>
      <c r="E372" s="2">
        <v>88</v>
      </c>
      <c r="F372" s="2" t="str" cm="1">
        <f t="array" ref="F372">_xlfn.IFS(AND(101&gt;E372, E372&gt;69), "Top-Tier", AND(70&gt;E372, E372&gt;39), "Mid-Tier", 40&gt;E372, "Low-Tier")</f>
        <v>Top-Tier</v>
      </c>
      <c r="G372" s="4">
        <v>43678</v>
      </c>
      <c r="H372" t="s">
        <v>697</v>
      </c>
      <c r="I372" t="s">
        <v>701</v>
      </c>
      <c r="J372" t="s">
        <v>702</v>
      </c>
      <c r="K372" t="s">
        <v>703</v>
      </c>
      <c r="L372" t="s">
        <v>24</v>
      </c>
      <c r="M372" t="s">
        <v>108</v>
      </c>
      <c r="Q372" t="str">
        <f>LEFT(B372, 5)</f>
        <v>Apple</v>
      </c>
      <c r="R372" t="str">
        <f t="shared" si="42"/>
        <v>AMD Quad-Core Ryzen 3</v>
      </c>
      <c r="S372" t="str">
        <f t="shared" si="34"/>
        <v xml:space="preserve">8 GB </v>
      </c>
    </row>
    <row r="373" spans="1:19">
      <c r="A373" t="str">
        <f>LEFT(B373, LEN(B373)-15)</f>
        <v>Acer Aspire A515-51G (NX.GUGSI.001) Laptop (Core i5 8th Gen/8 GB/1 TB/Windows 10/2 GB)</v>
      </c>
      <c r="B373" t="s">
        <v>704</v>
      </c>
      <c r="C373" s="1">
        <v>57999</v>
      </c>
      <c r="D373" s="1">
        <v>310</v>
      </c>
      <c r="E373" s="2">
        <v>88</v>
      </c>
      <c r="F373" s="2" t="str" cm="1">
        <f t="array" ref="F373">_xlfn.IFS(AND(101&gt;E373, E373&gt;69), "Top-Tier", AND(70&gt;E373, E373&gt;39), "Mid-Tier", 40&gt;E373, "Low-Tier")</f>
        <v>Top-Tier</v>
      </c>
      <c r="H373" t="s">
        <v>697</v>
      </c>
      <c r="I373" t="s">
        <v>248</v>
      </c>
      <c r="J373" t="s">
        <v>332</v>
      </c>
      <c r="K373" t="s">
        <v>705</v>
      </c>
      <c r="L373" t="s">
        <v>24</v>
      </c>
      <c r="M373" t="s">
        <v>237</v>
      </c>
      <c r="N373" t="s">
        <v>31</v>
      </c>
      <c r="O373" t="s">
        <v>152</v>
      </c>
      <c r="Q373" t="str">
        <f>LEFT(B373, 4)</f>
        <v>Acer</v>
      </c>
      <c r="R373" t="str">
        <f t="shared" si="42"/>
        <v>AMD Quad-Core Ryzen 3</v>
      </c>
      <c r="S373" t="str">
        <f t="shared" si="34"/>
        <v xml:space="preserve">8 GB </v>
      </c>
    </row>
    <row r="374" spans="1:19">
      <c r="A374" t="str">
        <f>LEFT(B374, LEN(B374)-15)</f>
        <v>Lenovo Yoga 7 14IRL8 (82YL00AYIN) Laptop (Core i5 13th Gen/16 GB/512 GB SSD/Windows 11)</v>
      </c>
      <c r="B374" t="s">
        <v>706</v>
      </c>
      <c r="C374" s="1">
        <v>86190</v>
      </c>
      <c r="D374" s="1">
        <v>28</v>
      </c>
      <c r="E374" s="2">
        <v>88</v>
      </c>
      <c r="F374" s="2" t="str" cm="1">
        <f t="array" ref="F374">_xlfn.IFS(AND(101&gt;E374, E374&gt;69), "Top-Tier", AND(70&gt;E374, E374&gt;39), "Mid-Tier", 40&gt;E374, "Low-Tier")</f>
        <v>Top-Tier</v>
      </c>
      <c r="G374" s="4">
        <v>45536</v>
      </c>
      <c r="H374" t="s">
        <v>707</v>
      </c>
      <c r="I374" t="s">
        <v>33</v>
      </c>
      <c r="J374" t="s">
        <v>121</v>
      </c>
      <c r="K374" t="s">
        <v>59</v>
      </c>
      <c r="L374" t="s">
        <v>24</v>
      </c>
      <c r="M374" t="s">
        <v>708</v>
      </c>
      <c r="N374" t="s">
        <v>31</v>
      </c>
      <c r="P374" s="3">
        <v>83</v>
      </c>
      <c r="Q374" t="str">
        <f>LEFT(B374, 6)</f>
        <v>Lenovo</v>
      </c>
      <c r="R374" t="str">
        <f t="shared" si="42"/>
        <v>AMD Quad-Core Ryzen 3</v>
      </c>
      <c r="S374" t="str">
        <f t="shared" si="34"/>
        <v>16 GB</v>
      </c>
    </row>
    <row r="375" spans="1:19">
      <c r="A375" t="str">
        <f>LEFT(B375, LEN(B375)-15)</f>
        <v>Asus TUF Gaming A15 FA507UV-LP137WS Laptop (AMD Octa Core Ryzen 9/16 GB/1 TB SSD/Windows 11/8 GB)</v>
      </c>
      <c r="B375" t="s">
        <v>709</v>
      </c>
      <c r="C375" s="1">
        <v>124990</v>
      </c>
      <c r="D375" s="1">
        <v>7</v>
      </c>
      <c r="E375" s="2">
        <v>88</v>
      </c>
      <c r="F375" s="2" t="str" cm="1">
        <f t="array" ref="F375">_xlfn.IFS(AND(101&gt;E375, E375&gt;69), "Top-Tier", AND(70&gt;E375, E375&gt;39), "Mid-Tier", 40&gt;E375, "Low-Tier")</f>
        <v>Top-Tier</v>
      </c>
      <c r="G375" s="4">
        <v>45505</v>
      </c>
      <c r="H375" t="s">
        <v>710</v>
      </c>
      <c r="I375" t="s">
        <v>33</v>
      </c>
      <c r="J375" t="s">
        <v>72</v>
      </c>
      <c r="K375" t="s">
        <v>51</v>
      </c>
      <c r="L375" t="s">
        <v>24</v>
      </c>
      <c r="N375" t="s">
        <v>31</v>
      </c>
      <c r="Q375" t="str">
        <f>LEFT(B375, 4)</f>
        <v>Asus</v>
      </c>
      <c r="R375" t="str">
        <f t="shared" si="42"/>
        <v>AMD Quad-Core Ryzen 3</v>
      </c>
      <c r="S375" t="str">
        <f t="shared" si="34"/>
        <v>16 GB</v>
      </c>
    </row>
    <row r="376" spans="1:19">
      <c r="A376" t="str">
        <f>LEFT(B376, LEN(B376)-15)</f>
        <v>MSI GF63 Thin 12VE-070IN Laptop (Core i7 12th Gen/16 GB/512 GB SSD/Windows 11/6 GB)</v>
      </c>
      <c r="B376" t="s">
        <v>711</v>
      </c>
      <c r="C376" s="1">
        <v>74999</v>
      </c>
      <c r="D376" s="1">
        <v>332</v>
      </c>
      <c r="E376" s="2">
        <v>88</v>
      </c>
      <c r="F376" s="2" t="str" cm="1">
        <f t="array" ref="F376">_xlfn.IFS(AND(101&gt;E376, E376&gt;69), "Top-Tier", AND(70&gt;E376, E376&gt;39), "Mid-Tier", 40&gt;E376, "Low-Tier")</f>
        <v>Top-Tier</v>
      </c>
      <c r="G376" s="4">
        <v>45474</v>
      </c>
      <c r="H376" t="s">
        <v>710</v>
      </c>
      <c r="I376" t="s">
        <v>33</v>
      </c>
      <c r="J376" t="s">
        <v>34</v>
      </c>
      <c r="K376" t="s">
        <v>51</v>
      </c>
      <c r="L376" t="s">
        <v>24</v>
      </c>
      <c r="M376" t="s">
        <v>113</v>
      </c>
      <c r="N376" t="s">
        <v>31</v>
      </c>
      <c r="Q376" t="str">
        <f>LEFT(B376, 3)</f>
        <v>MSI</v>
      </c>
      <c r="R376" t="str">
        <f t="shared" si="42"/>
        <v>AMD Quad-Core Ryzen 3</v>
      </c>
      <c r="S376" t="str">
        <f t="shared" si="34"/>
        <v>16 GB</v>
      </c>
    </row>
    <row r="377" spans="1:19">
      <c r="A377" t="str">
        <f>LEFT(B377, LEN(B377)-15)</f>
        <v>Asus VivoBook S14 OLED M5406WA-PP961WS Laptop (AMD Dodeca Core Ryzen 9/24 GB/512 GB SSD/Windows 11)</v>
      </c>
      <c r="B377" t="s">
        <v>712</v>
      </c>
      <c r="C377" s="1">
        <v>114990</v>
      </c>
      <c r="D377" s="1">
        <v>23</v>
      </c>
      <c r="E377" s="2">
        <v>88</v>
      </c>
      <c r="F377" s="2" t="str" cm="1">
        <f t="array" ref="F377">_xlfn.IFS(AND(101&gt;E377, E377&gt;69), "Top-Tier", AND(70&gt;E377, E377&gt;39), "Mid-Tier", 40&gt;E377, "Low-Tier")</f>
        <v>Top-Tier</v>
      </c>
      <c r="G377" s="4">
        <v>45474</v>
      </c>
      <c r="H377" t="s">
        <v>710</v>
      </c>
      <c r="I377" t="s">
        <v>33</v>
      </c>
      <c r="J377" t="s">
        <v>713</v>
      </c>
      <c r="K377" t="s">
        <v>81</v>
      </c>
      <c r="L377" t="s">
        <v>24</v>
      </c>
      <c r="M377" t="s">
        <v>44</v>
      </c>
      <c r="N377" t="s">
        <v>31</v>
      </c>
      <c r="Q377" t="str">
        <f>LEFT(B377, 4)</f>
        <v>Asus</v>
      </c>
      <c r="R377" t="str">
        <f t="shared" si="42"/>
        <v>AMD Quad-Core Ryzen 3</v>
      </c>
      <c r="S377" t="str">
        <f t="shared" si="34"/>
        <v>24 GB</v>
      </c>
    </row>
    <row r="378" spans="1:19">
      <c r="A378" t="str">
        <f>LEFT(B378, LEN(B378)-15)</f>
        <v>Asus Zenbook 14 UX435EG-AI501TS Laptop (Core i5 11th Gen/8 GB/512 GB SSD/Windows 10/2 GB)</v>
      </c>
      <c r="B378" t="s">
        <v>714</v>
      </c>
      <c r="C378" s="1">
        <v>67500</v>
      </c>
      <c r="D378" s="1">
        <v>76</v>
      </c>
      <c r="E378" s="2">
        <v>88</v>
      </c>
      <c r="F378" s="2" t="str" cm="1">
        <f t="array" ref="F378">_xlfn.IFS(AND(101&gt;E378, E378&gt;69), "Top-Tier", AND(70&gt;E378, E378&gt;39), "Mid-Tier", 40&gt;E378, "Low-Tier")</f>
        <v>Top-Tier</v>
      </c>
      <c r="G378" s="4">
        <v>44287</v>
      </c>
      <c r="H378" t="s">
        <v>710</v>
      </c>
      <c r="I378" t="s">
        <v>248</v>
      </c>
      <c r="J378" t="s">
        <v>494</v>
      </c>
      <c r="K378" t="s">
        <v>439</v>
      </c>
      <c r="L378" t="s">
        <v>24</v>
      </c>
      <c r="M378" t="s">
        <v>178</v>
      </c>
      <c r="N378" t="s">
        <v>31</v>
      </c>
      <c r="P378" s="3">
        <v>73</v>
      </c>
      <c r="Q378" t="str">
        <f>LEFT(B378, 4)</f>
        <v>Asus</v>
      </c>
      <c r="R378" t="str">
        <f t="shared" si="42"/>
        <v>AMD Quad-Core Ryzen 3</v>
      </c>
      <c r="S378" t="str">
        <f t="shared" si="34"/>
        <v xml:space="preserve">8 GB </v>
      </c>
    </row>
    <row r="379" spans="1:19">
      <c r="A379" t="str">
        <f>LEFT(B379, LEN(B379)-15)</f>
        <v>HP 15s-fr2005tu (2N8P8PA) Laptop (Core i5 11th Gen/8 GB/1 TB SSD/Windows 10)</v>
      </c>
      <c r="B379" t="s">
        <v>715</v>
      </c>
      <c r="C379" s="1">
        <v>54990</v>
      </c>
      <c r="D379" s="1">
        <v>314</v>
      </c>
      <c r="E379" s="2">
        <v>88</v>
      </c>
      <c r="F379" s="2" t="str" cm="1">
        <f t="array" ref="F379">_xlfn.IFS(AND(101&gt;E379, E379&gt;69), "Top-Tier", AND(70&gt;E379, E379&gt;39), "Mid-Tier", 40&gt;E379, "Low-Tier")</f>
        <v>Top-Tier</v>
      </c>
      <c r="G379" s="4">
        <v>44197</v>
      </c>
      <c r="H379" t="s">
        <v>710</v>
      </c>
      <c r="I379" t="s">
        <v>248</v>
      </c>
      <c r="J379" t="s">
        <v>98</v>
      </c>
      <c r="K379" t="s">
        <v>249</v>
      </c>
      <c r="L379" t="s">
        <v>24</v>
      </c>
      <c r="M379" t="s">
        <v>52</v>
      </c>
      <c r="N379" t="s">
        <v>31</v>
      </c>
      <c r="O379" t="s">
        <v>261</v>
      </c>
      <c r="P379" s="3">
        <v>73</v>
      </c>
      <c r="Q379" t="str">
        <f>LEFT(B379, 2)</f>
        <v>HP</v>
      </c>
      <c r="R379" t="str">
        <f t="shared" si="42"/>
        <v>AMD Quad-Core Ryzen 3</v>
      </c>
      <c r="S379" t="str">
        <f t="shared" si="34"/>
        <v xml:space="preserve">8 GB </v>
      </c>
    </row>
    <row r="380" spans="1:19">
      <c r="A380" t="str">
        <f>LEFT(B380, LEN(B380)-15)</f>
        <v>Lenovo Legion 5i (82AU00KLIN) Laptop (Core i5 10th Gen/8 GB/512 GB SSD/Windows 10/4 GB)</v>
      </c>
      <c r="B380" t="s">
        <v>716</v>
      </c>
      <c r="C380" s="1">
        <v>71799</v>
      </c>
      <c r="D380" s="1">
        <v>127</v>
      </c>
      <c r="E380" s="2">
        <v>88</v>
      </c>
      <c r="F380" s="2" t="str" cm="1">
        <f t="array" ref="F380">_xlfn.IFS(AND(101&gt;E380, E380&gt;69), "Top-Tier", AND(70&gt;E380, E380&gt;39), "Mid-Tier", 40&gt;E380, "Low-Tier")</f>
        <v>Top-Tier</v>
      </c>
      <c r="G380" s="4">
        <v>44136</v>
      </c>
      <c r="H380" t="s">
        <v>710</v>
      </c>
      <c r="I380" t="s">
        <v>248</v>
      </c>
      <c r="J380" t="s">
        <v>50</v>
      </c>
      <c r="K380" t="s">
        <v>249</v>
      </c>
      <c r="L380" t="s">
        <v>24</v>
      </c>
      <c r="N380" t="s">
        <v>31</v>
      </c>
      <c r="P380" s="3">
        <v>73</v>
      </c>
      <c r="Q380" t="str">
        <f>LEFT(B380, 6)</f>
        <v>Lenovo</v>
      </c>
      <c r="R380" t="str">
        <f t="shared" si="42"/>
        <v>AMD Quad-Core Ryzen 3</v>
      </c>
      <c r="S380" t="str">
        <f t="shared" si="34"/>
        <v xml:space="preserve">8 GB </v>
      </c>
    </row>
    <row r="381" spans="1:19">
      <c r="A381" t="str">
        <f>LEFT(B381, LEN(B381)-15)</f>
        <v>Acer Swift 3 SF315-51G-57QM (NX.GSJSI.004) Laptop (Core i5 8th Gen/8 GB/1 TB/Linux/2 GB)</v>
      </c>
      <c r="B381" t="s">
        <v>717</v>
      </c>
      <c r="C381" s="1">
        <v>55990</v>
      </c>
      <c r="D381" s="1">
        <v>143</v>
      </c>
      <c r="E381" s="2">
        <v>88</v>
      </c>
      <c r="F381" s="2" t="str" cm="1">
        <f t="array" ref="F381">_xlfn.IFS(AND(101&gt;E381, E381&gt;69), "Top-Tier", AND(70&gt;E381, E381&gt;39), "Mid-Tier", 40&gt;E381, "Low-Tier")</f>
        <v>Top-Tier</v>
      </c>
      <c r="H381" t="s">
        <v>710</v>
      </c>
      <c r="I381" t="s">
        <v>718</v>
      </c>
      <c r="J381" t="s">
        <v>332</v>
      </c>
      <c r="K381" t="s">
        <v>249</v>
      </c>
      <c r="L381" t="s">
        <v>24</v>
      </c>
      <c r="M381" t="s">
        <v>122</v>
      </c>
      <c r="N381" t="s">
        <v>31</v>
      </c>
      <c r="O381" t="s">
        <v>152</v>
      </c>
      <c r="Q381" t="str">
        <f>LEFT(B381, 4)</f>
        <v>Acer</v>
      </c>
      <c r="R381" t="str">
        <f t="shared" si="42"/>
        <v>AMD Quad-Core Ryzen 3</v>
      </c>
      <c r="S381" t="str">
        <f t="shared" si="34"/>
        <v xml:space="preserve">8 GB </v>
      </c>
    </row>
    <row r="382" spans="1:19">
      <c r="A382" t="str">
        <f>LEFT(B382, LEN(B382)-15)</f>
        <v>MSI Cyborg 14 A13UCX-205IN Laptop (Core i5 13th Gen/16 GB/512 GB SSD/Windows 11/4 GB)</v>
      </c>
      <c r="B382" t="s">
        <v>719</v>
      </c>
      <c r="C382" s="1">
        <v>59990</v>
      </c>
      <c r="D382" s="1">
        <v>8</v>
      </c>
      <c r="E382" s="2">
        <v>88</v>
      </c>
      <c r="F382" s="2" t="str" cm="1">
        <f t="array" ref="F382">_xlfn.IFS(AND(101&gt;E382, E382&gt;69), "Top-Tier", AND(70&gt;E382, E382&gt;39), "Mid-Tier", 40&gt;E382, "Low-Tier")</f>
        <v>Top-Tier</v>
      </c>
      <c r="G382" s="4">
        <v>45444</v>
      </c>
      <c r="H382" t="s">
        <v>710</v>
      </c>
      <c r="I382" t="s">
        <v>33</v>
      </c>
      <c r="J382" t="s">
        <v>54</v>
      </c>
      <c r="K382" t="s">
        <v>94</v>
      </c>
      <c r="L382" t="s">
        <v>24</v>
      </c>
      <c r="M382" t="s">
        <v>99</v>
      </c>
      <c r="N382" t="s">
        <v>31</v>
      </c>
      <c r="P382" s="3">
        <v>86</v>
      </c>
      <c r="Q382" t="str">
        <f>LEFT(B382, 3)</f>
        <v>MSI</v>
      </c>
      <c r="R382" t="str">
        <f t="shared" si="42"/>
        <v>AMD Quad-Core Ryzen 3</v>
      </c>
      <c r="S382" t="str">
        <f t="shared" si="34"/>
        <v>16 GB</v>
      </c>
    </row>
    <row r="383" spans="1:19">
      <c r="A383" t="str">
        <f>LEFT(B383, LEN(B383)-15)</f>
        <v>HP Victus 15-fb2117AX (A94BWPA) Laptop (AMD Octa Core Ryzen 7/16 GB/1 TB SSD/Windows 11/6 GB)</v>
      </c>
      <c r="B383" t="s">
        <v>720</v>
      </c>
      <c r="C383" s="1">
        <v>92990</v>
      </c>
      <c r="D383" s="1">
        <v>25</v>
      </c>
      <c r="E383" s="2">
        <v>88</v>
      </c>
      <c r="F383" s="2" t="str" cm="1">
        <f t="array" ref="F383">_xlfn.IFS(AND(101&gt;E383, E383&gt;69), "Top-Tier", AND(70&gt;E383, E383&gt;39), "Mid-Tier", 40&gt;E383, "Low-Tier")</f>
        <v>Top-Tier</v>
      </c>
      <c r="G383" s="4">
        <v>45444</v>
      </c>
      <c r="H383" t="s">
        <v>710</v>
      </c>
      <c r="I383" t="s">
        <v>33</v>
      </c>
      <c r="J383" t="s">
        <v>72</v>
      </c>
      <c r="K383" t="s">
        <v>51</v>
      </c>
      <c r="L383" t="s">
        <v>24</v>
      </c>
      <c r="N383" t="s">
        <v>31</v>
      </c>
      <c r="Q383" t="str">
        <f>LEFT(B383, 2)</f>
        <v>HP</v>
      </c>
      <c r="R383" t="str">
        <f t="shared" si="42"/>
        <v>AMD Quad-Core Ryzen 3</v>
      </c>
      <c r="S383" t="str">
        <f t="shared" si="34"/>
        <v>16 GB</v>
      </c>
    </row>
    <row r="384" spans="1:19">
      <c r="A384" t="str">
        <f>LEFT(B384, LEN(B384)-15)</f>
        <v>Infinix GTBook GL613 Laptop (Core i9 13th Gen/32 GB/1 TB SSD/Windows 11/8 GB)</v>
      </c>
      <c r="B384" t="s">
        <v>721</v>
      </c>
      <c r="C384" s="1">
        <v>109990</v>
      </c>
      <c r="D384" s="1">
        <v>43</v>
      </c>
      <c r="E384" s="2">
        <v>88</v>
      </c>
      <c r="F384" s="2" t="str" cm="1">
        <f t="array" ref="F384">_xlfn.IFS(AND(101&gt;E384, E384&gt;69), "Top-Tier", AND(70&gt;E384, E384&gt;39), "Mid-Tier", 40&gt;E384, "Low-Tier")</f>
        <v>Top-Tier</v>
      </c>
      <c r="G384" s="4">
        <v>45413</v>
      </c>
      <c r="H384" t="s">
        <v>710</v>
      </c>
      <c r="I384" t="s">
        <v>33</v>
      </c>
      <c r="J384" t="s">
        <v>58</v>
      </c>
      <c r="K384" t="s">
        <v>155</v>
      </c>
      <c r="L384" t="s">
        <v>24</v>
      </c>
      <c r="M384" t="s">
        <v>122</v>
      </c>
      <c r="N384" t="s">
        <v>31</v>
      </c>
      <c r="Q384" t="str">
        <f>LEFT(B384, 7)</f>
        <v>Infinix</v>
      </c>
      <c r="R384" t="str">
        <f t="shared" si="42"/>
        <v>AMD Quad-Core Ryzen 3</v>
      </c>
      <c r="S384" t="str">
        <f t="shared" si="34"/>
        <v>32 GB</v>
      </c>
    </row>
    <row r="385" spans="1:19">
      <c r="A385" t="str">
        <f>LEFT(B385, LEN(B385)-15)</f>
        <v>Infinix GTBook GL613 Laptop (Core i5 13th Gen/16 GB/512 GB SSD/Windows 11/6 GB)</v>
      </c>
      <c r="B385" t="s">
        <v>722</v>
      </c>
      <c r="C385" s="1">
        <v>69990</v>
      </c>
      <c r="D385" s="1">
        <v>10</v>
      </c>
      <c r="E385" s="2">
        <v>88</v>
      </c>
      <c r="F385" s="2" t="str" cm="1">
        <f t="array" ref="F385">_xlfn.IFS(AND(101&gt;E385, E385&gt;69), "Top-Tier", AND(70&gt;E385, E385&gt;39), "Mid-Tier", 40&gt;E385, "Low-Tier")</f>
        <v>Top-Tier</v>
      </c>
      <c r="G385" s="4">
        <v>45413</v>
      </c>
      <c r="H385" t="s">
        <v>723</v>
      </c>
      <c r="I385" t="s">
        <v>33</v>
      </c>
      <c r="J385" t="s">
        <v>63</v>
      </c>
      <c r="K385" t="s">
        <v>155</v>
      </c>
      <c r="L385" t="s">
        <v>24</v>
      </c>
      <c r="M385" t="s">
        <v>122</v>
      </c>
      <c r="N385" t="s">
        <v>31</v>
      </c>
      <c r="Q385" t="str">
        <f>LEFT(B385, 7)</f>
        <v>Infinix</v>
      </c>
      <c r="R385" t="str">
        <f t="shared" si="42"/>
        <v>AMD Quad-Core Ryzen 3</v>
      </c>
      <c r="S385" t="str">
        <f t="shared" si="34"/>
        <v>16 GB</v>
      </c>
    </row>
    <row r="386" spans="1:19">
      <c r="A386" t="str">
        <f>LEFT(B386, LEN(B386)-15)</f>
        <v>HP Victus 15-fa1226TX (A03H2PA) Laptop (Core i5 12th Gen/8 GB/512 GB SSD/Windows 11/4 GB)</v>
      </c>
      <c r="B386" t="s">
        <v>724</v>
      </c>
      <c r="C386" s="1">
        <v>57990</v>
      </c>
      <c r="D386" s="1">
        <v>119</v>
      </c>
      <c r="E386" s="2">
        <v>88</v>
      </c>
      <c r="F386" s="2" t="str" cm="1">
        <f t="array" ref="F386">_xlfn.IFS(AND(101&gt;E386, E386&gt;69), "Top-Tier", AND(70&gt;E386, E386&gt;39), "Mid-Tier", 40&gt;E386, "Low-Tier")</f>
        <v>Top-Tier</v>
      </c>
      <c r="G386" s="4">
        <v>45383</v>
      </c>
      <c r="H386" t="s">
        <v>723</v>
      </c>
      <c r="I386" t="s">
        <v>33</v>
      </c>
      <c r="J386" t="s">
        <v>50</v>
      </c>
      <c r="K386" t="s">
        <v>159</v>
      </c>
      <c r="L386" t="s">
        <v>24</v>
      </c>
      <c r="N386" t="s">
        <v>31</v>
      </c>
      <c r="P386" s="3">
        <v>81</v>
      </c>
      <c r="Q386" t="str">
        <f>LEFT(B386, 2)</f>
        <v>HP</v>
      </c>
      <c r="R386" t="str">
        <f t="shared" si="42"/>
        <v>AMD Quad-Core Ryzen 3</v>
      </c>
      <c r="S386" t="str">
        <f t="shared" si="34"/>
        <v xml:space="preserve">8 GB </v>
      </c>
    </row>
    <row r="387" spans="1:19">
      <c r="A387" t="str">
        <f>LEFT(B387, LEN(B387)-15)</f>
        <v>Lenovo LOQ 15IAX9 (83GS008VIN) Laptop (Core i5 12th Gen/12 GB/512 GB SSD/Windows 11/4 GB)</v>
      </c>
      <c r="B387" t="s">
        <v>725</v>
      </c>
      <c r="C387" s="1">
        <v>59899</v>
      </c>
      <c r="D387" s="1">
        <v>18</v>
      </c>
      <c r="E387" s="2">
        <v>88</v>
      </c>
      <c r="F387" s="2" t="str" cm="1">
        <f t="array" ref="F387">_xlfn.IFS(AND(101&gt;E387, E387&gt;69), "Top-Tier", AND(70&gt;E387, E387&gt;39), "Mid-Tier", 40&gt;E387, "Low-Tier")</f>
        <v>Top-Tier</v>
      </c>
      <c r="G387" s="4">
        <v>45383</v>
      </c>
      <c r="H387" t="s">
        <v>723</v>
      </c>
      <c r="I387" t="s">
        <v>33</v>
      </c>
      <c r="J387" t="s">
        <v>726</v>
      </c>
      <c r="K387" t="s">
        <v>51</v>
      </c>
      <c r="L387" t="s">
        <v>24</v>
      </c>
      <c r="N387" t="s">
        <v>31</v>
      </c>
      <c r="P387" s="3">
        <v>83</v>
      </c>
      <c r="Q387" t="str">
        <f>LEFT(B387, 6)</f>
        <v>Lenovo</v>
      </c>
      <c r="R387" t="str">
        <f t="shared" si="42"/>
        <v>AMD Quad-Core Ryzen 3</v>
      </c>
      <c r="S387" t="str">
        <f t="shared" ref="S387:S448" si="43">LEFT(J387, 5)</f>
        <v>12 GB</v>
      </c>
    </row>
    <row r="388" spans="1:19">
      <c r="A388" t="str">
        <f>LEFT(B388, LEN(B388)-15)</f>
        <v>HP Victus 15-fb0137AX (87B83PA) Laptop (AMD Octa Core Ryzen 7/16 GB/512 GB SSD/Windows 11/4 GB)</v>
      </c>
      <c r="B388" t="s">
        <v>727</v>
      </c>
      <c r="C388" s="1">
        <v>64990</v>
      </c>
      <c r="D388" s="1">
        <v>467</v>
      </c>
      <c r="E388" s="2">
        <v>88</v>
      </c>
      <c r="F388" s="2" t="str" cm="1">
        <f t="array" ref="F388">_xlfn.IFS(AND(101&gt;E388, E388&gt;69), "Top-Tier", AND(70&gt;E388, E388&gt;39), "Mid-Tier", 40&gt;E388, "Low-Tier")</f>
        <v>Top-Tier</v>
      </c>
      <c r="G388" s="4">
        <v>45323</v>
      </c>
      <c r="H388" t="s">
        <v>723</v>
      </c>
      <c r="I388" t="s">
        <v>33</v>
      </c>
      <c r="J388" t="s">
        <v>34</v>
      </c>
      <c r="K388" t="s">
        <v>51</v>
      </c>
      <c r="L388" t="s">
        <v>24</v>
      </c>
      <c r="N388" t="s">
        <v>31</v>
      </c>
      <c r="P388" s="3">
        <v>83</v>
      </c>
      <c r="Q388" t="str">
        <f>LEFT(B388, 2)</f>
        <v>HP</v>
      </c>
      <c r="R388" t="str">
        <f t="shared" ref="R388:R393" si="44">LEFT(H388, 21)</f>
        <v>AMD Quad-Core Ryzen 3</v>
      </c>
      <c r="S388" t="str">
        <f t="shared" si="43"/>
        <v>16 GB</v>
      </c>
    </row>
    <row r="389" spans="1:19">
      <c r="A389" t="str">
        <f>LEFT(B389, LEN(B389)-15)</f>
        <v>Asus Vivobook S 14 Flip TN3402QA-LZ520WS Laptop (AMD Hexa Core Ryzen 5/8 GB/512 GB SSD/Windows 11)</v>
      </c>
      <c r="B389" t="s">
        <v>728</v>
      </c>
      <c r="C389" s="1">
        <v>47990</v>
      </c>
      <c r="D389" s="1">
        <v>521</v>
      </c>
      <c r="E389" s="2">
        <v>88</v>
      </c>
      <c r="F389" s="2" t="str" cm="1">
        <f t="array" ref="F389">_xlfn.IFS(AND(101&gt;E389, E389&gt;69), "Top-Tier", AND(70&gt;E389, E389&gt;39), "Mid-Tier", 40&gt;E389, "Low-Tier")</f>
        <v>Top-Tier</v>
      </c>
      <c r="G389" s="4">
        <v>45292</v>
      </c>
      <c r="H389" t="s">
        <v>729</v>
      </c>
      <c r="I389" t="s">
        <v>33</v>
      </c>
      <c r="J389" t="s">
        <v>50</v>
      </c>
      <c r="K389" t="s">
        <v>94</v>
      </c>
      <c r="L389" t="s">
        <v>24</v>
      </c>
      <c r="N389" t="s">
        <v>31</v>
      </c>
      <c r="P389" s="3">
        <v>72</v>
      </c>
      <c r="Q389" t="str">
        <f>LEFT(B389, 4)</f>
        <v>Asus</v>
      </c>
      <c r="R389" t="str">
        <f t="shared" si="44"/>
        <v>AMD Quad-Core Ryzen 3</v>
      </c>
      <c r="S389" t="str">
        <f t="shared" si="43"/>
        <v xml:space="preserve">8 GB </v>
      </c>
    </row>
    <row r="390" spans="1:19">
      <c r="A390" t="str">
        <f>LEFT(B390, LEN(B390)-15)</f>
        <v>Gigabyte G5 MF-G2IN313SH Laptop (Core i7 12th Gen/16 GB/512 GB SSD/Windows 11/6 GB)</v>
      </c>
      <c r="B390" t="s">
        <v>730</v>
      </c>
      <c r="C390" s="1">
        <v>148500</v>
      </c>
      <c r="D390" s="1">
        <v>54</v>
      </c>
      <c r="E390" s="2">
        <v>88</v>
      </c>
      <c r="F390" s="2" t="str" cm="1">
        <f t="array" ref="F390">_xlfn.IFS(AND(101&gt;E390, E390&gt;69), "Top-Tier", AND(70&gt;E390, E390&gt;39), "Mid-Tier", 40&gt;E390, "Low-Tier")</f>
        <v>Top-Tier</v>
      </c>
      <c r="G390" s="4">
        <v>45261</v>
      </c>
      <c r="H390" t="s">
        <v>729</v>
      </c>
      <c r="I390" t="s">
        <v>33</v>
      </c>
      <c r="J390" t="s">
        <v>34</v>
      </c>
      <c r="K390" t="s">
        <v>466</v>
      </c>
      <c r="L390" t="s">
        <v>24</v>
      </c>
      <c r="O390" t="s">
        <v>254</v>
      </c>
      <c r="P390" s="3">
        <v>82</v>
      </c>
      <c r="Q390" t="str">
        <f>LEFT(B390, 8)</f>
        <v>Gigabyte</v>
      </c>
      <c r="R390" t="str">
        <f t="shared" si="44"/>
        <v>AMD Quad-Core Ryzen 3</v>
      </c>
      <c r="S390" t="str">
        <f t="shared" si="43"/>
        <v>16 GB</v>
      </c>
    </row>
    <row r="391" spans="1:19">
      <c r="A391" t="str">
        <f>LEFT(B391, LEN(B391)-15)</f>
        <v>Lenovo Ideapad Slim 5i 16IRL8 (82XF0077IN) Laptop (Core i5 13th Gen/16 GB/1 TB SSD/Windows 11)</v>
      </c>
      <c r="B391" t="s">
        <v>731</v>
      </c>
      <c r="C391" s="1">
        <v>80490</v>
      </c>
      <c r="D391" s="1">
        <v>10</v>
      </c>
      <c r="E391" s="2">
        <v>88</v>
      </c>
      <c r="F391" s="2" t="str" cm="1">
        <f t="array" ref="F391">_xlfn.IFS(AND(101&gt;E391, E391&gt;69), "Top-Tier", AND(70&gt;E391, E391&gt;39), "Mid-Tier", 40&gt;E391, "Low-Tier")</f>
        <v>Top-Tier</v>
      </c>
      <c r="G391" s="4">
        <v>45231</v>
      </c>
      <c r="H391" t="s">
        <v>729</v>
      </c>
      <c r="I391" t="s">
        <v>33</v>
      </c>
      <c r="J391" t="s">
        <v>167</v>
      </c>
      <c r="K391" t="s">
        <v>117</v>
      </c>
      <c r="L391" t="s">
        <v>24</v>
      </c>
      <c r="M391" t="s">
        <v>732</v>
      </c>
      <c r="N391" t="s">
        <v>31</v>
      </c>
      <c r="P391" s="3">
        <v>84</v>
      </c>
      <c r="Q391" t="str">
        <f>LEFT(B391, 6)</f>
        <v>Lenovo</v>
      </c>
      <c r="R391" t="str">
        <f t="shared" si="44"/>
        <v>AMD Quad-Core Ryzen 3</v>
      </c>
      <c r="S391" t="str">
        <f t="shared" si="43"/>
        <v>16 GB</v>
      </c>
    </row>
    <row r="392" spans="1:19">
      <c r="A392" t="str">
        <f>LEFT(B392, LEN(B392)-15)</f>
        <v>HP 15s-fq2510TU (943V8PA) Laptop (Core i5 11th Gen/16 GB/512 GB SSD/Windows 11)</v>
      </c>
      <c r="B392" t="s">
        <v>733</v>
      </c>
      <c r="C392" s="1">
        <v>52950</v>
      </c>
      <c r="D392" s="1">
        <v>77</v>
      </c>
      <c r="E392" s="2">
        <v>88</v>
      </c>
      <c r="F392" s="2" t="str" cm="1">
        <f t="array" ref="F392">_xlfn.IFS(AND(101&gt;E392, E392&gt;69), "Top-Tier", AND(70&gt;E392, E392&gt;39), "Mid-Tier", 40&gt;E392, "Low-Tier")</f>
        <v>Top-Tier</v>
      </c>
      <c r="G392" s="4">
        <v>45200</v>
      </c>
      <c r="H392" t="s">
        <v>729</v>
      </c>
      <c r="I392" t="s">
        <v>33</v>
      </c>
      <c r="J392" t="s">
        <v>34</v>
      </c>
      <c r="K392" t="s">
        <v>51</v>
      </c>
      <c r="L392" t="s">
        <v>24</v>
      </c>
      <c r="M392" t="s">
        <v>95</v>
      </c>
      <c r="N392" t="s">
        <v>31</v>
      </c>
      <c r="P392" s="3">
        <v>73</v>
      </c>
      <c r="Q392" t="str">
        <f>LEFT(B392, 2)</f>
        <v>HP</v>
      </c>
      <c r="R392" t="str">
        <f t="shared" si="44"/>
        <v>AMD Quad-Core Ryzen 3</v>
      </c>
      <c r="S392" t="str">
        <f t="shared" si="43"/>
        <v>16 GB</v>
      </c>
    </row>
    <row r="393" spans="1:19">
      <c r="A393" t="str">
        <f>LEFT(B393, LEN(B393)-15)</f>
        <v>Asus Chromebook Flip 14 CX1400FKA-EC0168 Laptop (Intel Celeron Dual Core/8 GB/128 GB eMMC/Google Chrome)</v>
      </c>
      <c r="B393" t="s">
        <v>734</v>
      </c>
      <c r="C393" s="1">
        <v>23990</v>
      </c>
      <c r="D393" s="1">
        <v>36</v>
      </c>
      <c r="E393" s="2">
        <v>88</v>
      </c>
      <c r="F393" s="2" t="str" cm="1">
        <f t="array" ref="F393">_xlfn.IFS(AND(101&gt;E393, E393&gt;69), "Top-Tier", AND(70&gt;E393, E393&gt;39), "Mid-Tier", 40&gt;E393, "Low-Tier")</f>
        <v>Top-Tier</v>
      </c>
      <c r="G393" s="4">
        <v>45200</v>
      </c>
      <c r="H393" t="s">
        <v>729</v>
      </c>
      <c r="I393" t="s">
        <v>735</v>
      </c>
      <c r="J393" t="s">
        <v>736</v>
      </c>
      <c r="K393" t="s">
        <v>427</v>
      </c>
      <c r="L393" t="s">
        <v>24</v>
      </c>
      <c r="M393" t="s">
        <v>99</v>
      </c>
      <c r="Q393" t="str">
        <f>LEFT(B393, 4)</f>
        <v>Asus</v>
      </c>
      <c r="R393" t="str">
        <f t="shared" si="44"/>
        <v>AMD Quad-Core Ryzen 3</v>
      </c>
      <c r="S393" t="str">
        <f t="shared" si="43"/>
        <v xml:space="preserve">8 GB </v>
      </c>
    </row>
    <row r="394" spans="1:19">
      <c r="A394" t="str">
        <f>LEFT(B394, LEN(B394)-15)</f>
        <v>Lenovo IdeaPad Gaming 3 15ARH7 (82SB00QYIN) Laptop (AMD Octa Core Ryzen 7/16 GB/512 GB SSD/Windows 11/6 GB)</v>
      </c>
      <c r="B394" t="s">
        <v>737</v>
      </c>
      <c r="C394" s="1">
        <v>76000</v>
      </c>
      <c r="D394" s="1">
        <v>14</v>
      </c>
      <c r="E394" s="2">
        <v>88</v>
      </c>
      <c r="F394" s="2" t="str" cm="1">
        <f t="array" ref="F394">_xlfn.IFS(AND(101&gt;E394, E394&gt;69), "Top-Tier", AND(70&gt;E394, E394&gt;39), "Mid-Tier", 40&gt;E394, "Low-Tier")</f>
        <v>Top-Tier</v>
      </c>
      <c r="G394" s="4">
        <v>45200</v>
      </c>
      <c r="H394" t="s">
        <v>729</v>
      </c>
      <c r="I394" t="s">
        <v>33</v>
      </c>
      <c r="J394" t="s">
        <v>54</v>
      </c>
      <c r="K394" t="s">
        <v>51</v>
      </c>
      <c r="L394" t="s">
        <v>24</v>
      </c>
      <c r="M394" t="s">
        <v>738</v>
      </c>
      <c r="N394" t="s">
        <v>31</v>
      </c>
      <c r="P394" s="3">
        <v>87</v>
      </c>
      <c r="Q394" t="str">
        <f>LEFT(B394, 6)</f>
        <v>Lenovo</v>
      </c>
      <c r="R394" t="str">
        <f>LEFT(H394, 21)</f>
        <v>AMD Quad-Core Ryzen 3</v>
      </c>
      <c r="S394" t="str">
        <f t="shared" si="43"/>
        <v>16 GB</v>
      </c>
    </row>
    <row r="395" spans="1:19">
      <c r="A395" t="str">
        <f>LEFT(B395, LEN(B395)-15)</f>
        <v>HP Pavilion x360 14-ek1009TU (7N759PA) Laptop (Core i5 13th Gen/16 GB/1 TB SSD/Windows 11)</v>
      </c>
      <c r="B395" t="s">
        <v>739</v>
      </c>
      <c r="C395" s="1">
        <v>77450</v>
      </c>
      <c r="D395" s="1">
        <v>71</v>
      </c>
      <c r="E395" s="2">
        <v>88</v>
      </c>
      <c r="F395" s="2" t="str" cm="1">
        <f t="array" ref="F395">_xlfn.IFS(AND(101&gt;E395, E395&gt;69), "Top-Tier", AND(70&gt;E395, E395&gt;39), "Mid-Tier", 40&gt;E395, "Low-Tier")</f>
        <v>Top-Tier</v>
      </c>
      <c r="G395" s="4">
        <v>45200</v>
      </c>
      <c r="H395" t="s">
        <v>729</v>
      </c>
      <c r="I395" t="s">
        <v>33</v>
      </c>
      <c r="J395" t="s">
        <v>184</v>
      </c>
      <c r="K395" t="s">
        <v>149</v>
      </c>
      <c r="L395" t="s">
        <v>24</v>
      </c>
      <c r="M395" t="s">
        <v>52</v>
      </c>
      <c r="N395" t="s">
        <v>31</v>
      </c>
      <c r="P395" s="3">
        <v>81</v>
      </c>
      <c r="Q395" t="str">
        <f>LEFT(B395, 2)</f>
        <v>HP</v>
      </c>
      <c r="R395" t="str">
        <f>LEFT(H395, 21)</f>
        <v>AMD Quad-Core Ryzen 3</v>
      </c>
      <c r="S395" t="str">
        <f t="shared" si="43"/>
        <v>16 GB</v>
      </c>
    </row>
    <row r="396" spans="1:19">
      <c r="A396" t="str">
        <f>LEFT(B396, LEN(B396)-15)</f>
        <v>Acer Nitro 5 AN515-47 (UN.QL3SI.006) Laptop (AMD Octa Core Ryzen 7/16 GB/512 GB SSD/Windows 11/4 GB)</v>
      </c>
      <c r="B396" t="s">
        <v>740</v>
      </c>
      <c r="C396" s="1">
        <v>79990</v>
      </c>
      <c r="D396" s="1">
        <v>40</v>
      </c>
      <c r="E396" s="2">
        <v>88</v>
      </c>
      <c r="F396" s="2" t="str" cm="1">
        <f t="array" ref="F396">_xlfn.IFS(AND(101&gt;E396, E396&gt;69), "Top-Tier", AND(70&gt;E396, E396&gt;39), "Mid-Tier", 40&gt;E396, "Low-Tier")</f>
        <v>Top-Tier</v>
      </c>
      <c r="G396" s="4">
        <v>45200</v>
      </c>
      <c r="H396" t="s">
        <v>729</v>
      </c>
      <c r="I396" t="s">
        <v>33</v>
      </c>
      <c r="J396" t="s">
        <v>54</v>
      </c>
      <c r="K396" t="s">
        <v>741</v>
      </c>
      <c r="L396" t="s">
        <v>24</v>
      </c>
      <c r="N396" t="s">
        <v>31</v>
      </c>
      <c r="P396" s="3">
        <v>85</v>
      </c>
      <c r="Q396" t="str">
        <f>LEFT(B396, 4)</f>
        <v>Acer</v>
      </c>
      <c r="R396" t="str">
        <f t="shared" ref="R396:R399" si="45">LEFT(H396, 21)</f>
        <v>AMD Quad-Core Ryzen 3</v>
      </c>
      <c r="S396" t="str">
        <f t="shared" si="43"/>
        <v>16 GB</v>
      </c>
    </row>
    <row r="397" spans="1:19">
      <c r="A397" t="str">
        <f>LEFT(B397, LEN(B397)-15)</f>
        <v>Asus VivoBook S14 Flip TN3402QA-LZ740WS Laptop (AMD Octa Core Ryzen 7/16 GB/512 GB SSD/Windows 11)</v>
      </c>
      <c r="B397" t="s">
        <v>742</v>
      </c>
      <c r="C397" s="1">
        <v>64990</v>
      </c>
      <c r="D397" s="1">
        <v>217</v>
      </c>
      <c r="E397" s="2">
        <v>88</v>
      </c>
      <c r="F397" s="2" t="str" cm="1">
        <f t="array" ref="F397">_xlfn.IFS(AND(101&gt;E397, E397&gt;69), "Top-Tier", AND(70&gt;E397, E397&gt;39), "Mid-Tier", 40&gt;E397, "Low-Tier")</f>
        <v>Top-Tier</v>
      </c>
      <c r="G397" s="4">
        <v>45170</v>
      </c>
      <c r="H397" t="s">
        <v>729</v>
      </c>
      <c r="I397" t="s">
        <v>33</v>
      </c>
      <c r="J397" t="s">
        <v>34</v>
      </c>
      <c r="K397" t="s">
        <v>185</v>
      </c>
      <c r="L397" t="s">
        <v>24</v>
      </c>
      <c r="M397" t="s">
        <v>122</v>
      </c>
      <c r="N397" t="s">
        <v>31</v>
      </c>
      <c r="P397" s="3">
        <v>75</v>
      </c>
      <c r="Q397" t="str">
        <f>LEFT(B397, 4)</f>
        <v>Asus</v>
      </c>
      <c r="R397" t="str">
        <f t="shared" si="45"/>
        <v>AMD Quad-Core Ryzen 3</v>
      </c>
      <c r="S397" t="str">
        <f t="shared" si="43"/>
        <v>16 GB</v>
      </c>
    </row>
    <row r="398" spans="1:19">
      <c r="A398" t="str">
        <f>LEFT(B398, LEN(B398)-15)</f>
        <v>HP Victus 15-fa1132TX (8U6Z8PA) Laptop (Core i5 12th Gen/8 GB/512 GB SSD/Windows 11/4 GB)</v>
      </c>
      <c r="B398" t="s">
        <v>743</v>
      </c>
      <c r="C398" s="1">
        <v>57056</v>
      </c>
      <c r="D398" s="1">
        <v>466</v>
      </c>
      <c r="E398" s="2">
        <v>88</v>
      </c>
      <c r="F398" s="2" t="str" cm="1">
        <f t="array" ref="F398">_xlfn.IFS(AND(101&gt;E398, E398&gt;69), "Top-Tier", AND(70&gt;E398, E398&gt;39), "Mid-Tier", 40&gt;E398, "Low-Tier")</f>
        <v>Top-Tier</v>
      </c>
      <c r="G398" s="4">
        <v>45170</v>
      </c>
      <c r="H398" t="s">
        <v>729</v>
      </c>
      <c r="I398" t="s">
        <v>33</v>
      </c>
      <c r="J398" t="s">
        <v>50</v>
      </c>
      <c r="K398" t="s">
        <v>51</v>
      </c>
      <c r="L398" t="s">
        <v>24</v>
      </c>
      <c r="N398" t="s">
        <v>31</v>
      </c>
      <c r="P398" s="3">
        <v>78</v>
      </c>
      <c r="Q398" t="str">
        <f>LEFT(B398, 2)</f>
        <v>HP</v>
      </c>
      <c r="R398" t="str">
        <f t="shared" si="45"/>
        <v>AMD Quad-Core Ryzen 3</v>
      </c>
      <c r="S398" t="str">
        <f t="shared" si="43"/>
        <v xml:space="preserve">8 GB </v>
      </c>
    </row>
    <row r="399" spans="1:19">
      <c r="A399" t="str">
        <f>LEFT(B399, LEN(B399)-15)</f>
        <v>Asus VivoBook 16 M1605YA-MB542WS Laptop (AMD Hexa Core Ryzen 5/16 GB/512 GB SSD/Windows 11)</v>
      </c>
      <c r="B399" t="s">
        <v>744</v>
      </c>
      <c r="C399" s="1">
        <v>45999</v>
      </c>
      <c r="D399" s="1">
        <v>285</v>
      </c>
      <c r="E399" s="2">
        <v>88</v>
      </c>
      <c r="F399" s="2" t="str" cm="1">
        <f t="array" ref="F399">_xlfn.IFS(AND(101&gt;E399, E399&gt;69), "Top-Tier", AND(70&gt;E399, E399&gt;39), "Mid-Tier", 40&gt;E399, "Low-Tier")</f>
        <v>Top-Tier</v>
      </c>
      <c r="G399" s="4">
        <v>45170</v>
      </c>
      <c r="H399" t="s">
        <v>745</v>
      </c>
      <c r="I399" t="s">
        <v>33</v>
      </c>
      <c r="J399" t="s">
        <v>34</v>
      </c>
      <c r="K399" t="s">
        <v>155</v>
      </c>
      <c r="L399" t="s">
        <v>24</v>
      </c>
      <c r="M399" t="s">
        <v>52</v>
      </c>
      <c r="N399" t="s">
        <v>31</v>
      </c>
      <c r="Q399" t="str">
        <f>LEFT(B399, 4)</f>
        <v>Asus</v>
      </c>
      <c r="R399" t="str">
        <f t="shared" si="45"/>
        <v>AMD Quad-Core Ryzen 3</v>
      </c>
      <c r="S399" t="str">
        <f t="shared" si="43"/>
        <v>16 GB</v>
      </c>
    </row>
    <row r="400" spans="1:19">
      <c r="A400" t="str">
        <f>LEFT(B400, LEN(B400)-15)</f>
        <v>MSI Bravo 15 B5ED-035IN Laptop (AMD Octa Core Ryzen 7/16 GB/512 GB SSD/Windows 11/4 GB)</v>
      </c>
      <c r="B400" t="s">
        <v>746</v>
      </c>
      <c r="C400" s="1">
        <v>72990</v>
      </c>
      <c r="D400" s="1">
        <v>1245</v>
      </c>
      <c r="E400" s="2">
        <v>88</v>
      </c>
      <c r="F400" s="2" t="str" cm="1">
        <f t="array" ref="F400">_xlfn.IFS(AND(101&gt;E400, E400&gt;69), "Top-Tier", AND(70&gt;E400, E400&gt;39), "Mid-Tier", 40&gt;E400, "Low-Tier")</f>
        <v>Top-Tier</v>
      </c>
      <c r="G400" s="4">
        <v>45170</v>
      </c>
      <c r="H400" t="s">
        <v>747</v>
      </c>
      <c r="I400" t="s">
        <v>33</v>
      </c>
      <c r="J400" t="s">
        <v>34</v>
      </c>
      <c r="K400" t="s">
        <v>51</v>
      </c>
      <c r="L400" t="s">
        <v>24</v>
      </c>
      <c r="N400" t="s">
        <v>31</v>
      </c>
      <c r="P400" s="3">
        <v>83</v>
      </c>
      <c r="Q400" t="str">
        <f>LEFT(B400, 3)</f>
        <v>MSI</v>
      </c>
      <c r="R400" t="str">
        <f>LEFT(H400, 21)</f>
        <v>AMD Quad-Core Ryzen 3</v>
      </c>
      <c r="S400" t="str">
        <f t="shared" si="43"/>
        <v>16 GB</v>
      </c>
    </row>
    <row r="401" spans="1:19">
      <c r="A401" t="str">
        <f>LEFT(B401, LEN(B401)-15)</f>
        <v>Lenovo Ideapad Slim 3i (82H803HRIN) Laptop (Core i7 11th Gen/16 GB/512 GB SSD/Windows 11)</v>
      </c>
      <c r="B401" t="s">
        <v>748</v>
      </c>
      <c r="C401" s="1">
        <v>62990</v>
      </c>
      <c r="D401" s="1">
        <v>8</v>
      </c>
      <c r="E401" s="2">
        <v>88</v>
      </c>
      <c r="F401" s="2" t="str" cm="1">
        <f t="array" ref="F401">_xlfn.IFS(AND(101&gt;E401, E401&gt;69), "Top-Tier", AND(70&gt;E401, E401&gt;39), "Mid-Tier", 40&gt;E401, "Low-Tier")</f>
        <v>Top-Tier</v>
      </c>
      <c r="G401" s="4">
        <v>45170</v>
      </c>
      <c r="H401" t="s">
        <v>749</v>
      </c>
      <c r="I401" t="s">
        <v>33</v>
      </c>
      <c r="J401" t="s">
        <v>34</v>
      </c>
      <c r="K401" t="s">
        <v>51</v>
      </c>
      <c r="L401" t="s">
        <v>24</v>
      </c>
      <c r="N401" t="s">
        <v>31</v>
      </c>
      <c r="P401" s="3">
        <v>77</v>
      </c>
      <c r="Q401" t="str">
        <f>LEFT(B401, 6)</f>
        <v>Lenovo</v>
      </c>
      <c r="R401" t="str">
        <f>LEFT(H401, 21)</f>
        <v>AMD Quad-Core Ryzen 5</v>
      </c>
      <c r="S401" t="str">
        <f t="shared" si="43"/>
        <v>16 GB</v>
      </c>
    </row>
    <row r="402" spans="1:19">
      <c r="A402" t="str">
        <f>LEFT(B402, LEN(B402)-15)</f>
        <v>Asus ROG Strix G17 G713RC-HX109WS Laptop (AMD Octa Core Ryzen 7/16 GB/512 GB SSD/Windows 11/4 GB)</v>
      </c>
      <c r="B402" t="s">
        <v>750</v>
      </c>
      <c r="C402" s="1">
        <v>88990</v>
      </c>
      <c r="D402" s="1">
        <v>23</v>
      </c>
      <c r="E402" s="2">
        <v>88</v>
      </c>
      <c r="F402" s="2" t="str" cm="1">
        <f t="array" ref="F402">_xlfn.IFS(AND(101&gt;E402, E402&gt;69), "Top-Tier", AND(70&gt;E402, E402&gt;39), "Mid-Tier", 40&gt;E402, "Low-Tier")</f>
        <v>Top-Tier</v>
      </c>
      <c r="G402" s="4">
        <v>45170</v>
      </c>
      <c r="H402" t="s">
        <v>751</v>
      </c>
      <c r="I402" t="s">
        <v>33</v>
      </c>
      <c r="J402" t="s">
        <v>54</v>
      </c>
      <c r="K402" t="s">
        <v>395</v>
      </c>
      <c r="N402" t="s">
        <v>31</v>
      </c>
      <c r="P402" s="3">
        <v>81</v>
      </c>
      <c r="Q402" t="str">
        <f>LEFT(B402, 4)</f>
        <v>Asus</v>
      </c>
      <c r="R402" t="str">
        <f t="shared" ref="R402:R420" si="46">LEFT(H402, 21)</f>
        <v>AMD Quad-Core Ryzen 5</v>
      </c>
      <c r="S402" t="str">
        <f t="shared" si="43"/>
        <v>16 GB</v>
      </c>
    </row>
    <row r="403" spans="1:19">
      <c r="A403" t="str">
        <f>LEFT(B403, LEN(B403)-15)</f>
        <v>HP 255 G8 (7J035AA) Laptop (AMD Hexa Core Ryzen 5/8 GB/256 GB SSD/Windows 11)</v>
      </c>
      <c r="B403" t="s">
        <v>752</v>
      </c>
      <c r="C403" s="1">
        <v>30400</v>
      </c>
      <c r="D403" s="1">
        <v>55</v>
      </c>
      <c r="E403" s="2">
        <v>88</v>
      </c>
      <c r="F403" s="2" t="str" cm="1">
        <f t="array" ref="F403">_xlfn.IFS(AND(101&gt;E403, E403&gt;69), "Top-Tier", AND(70&gt;E403, E403&gt;39), "Mid-Tier", 40&gt;E403, "Low-Tier")</f>
        <v>Top-Tier</v>
      </c>
      <c r="G403" s="4">
        <v>45170</v>
      </c>
      <c r="H403" t="s">
        <v>751</v>
      </c>
      <c r="I403" t="s">
        <v>33</v>
      </c>
      <c r="J403" t="s">
        <v>338</v>
      </c>
      <c r="K403" t="s">
        <v>51</v>
      </c>
      <c r="L403" t="s">
        <v>24</v>
      </c>
      <c r="M403" t="s">
        <v>52</v>
      </c>
      <c r="N403" t="s">
        <v>31</v>
      </c>
      <c r="P403" s="3">
        <v>72</v>
      </c>
      <c r="Q403" t="str">
        <f>LEFT(B403, 2)</f>
        <v>HP</v>
      </c>
      <c r="R403" t="str">
        <f t="shared" si="46"/>
        <v>AMD Quad-Core Ryzen 5</v>
      </c>
      <c r="S403" t="str">
        <f t="shared" si="43"/>
        <v xml:space="preserve">8 GB </v>
      </c>
    </row>
    <row r="404" spans="1:19">
      <c r="A404" t="str">
        <f>LEFT(B404, LEN(B404)-15)</f>
        <v>Lenovo Ideapad Gaming 3 15ARH7 (82SB00V2IN) Laptop (AMD Hexa Core Ryzen 5/8 GB/512 GB SSD/Windows 11/4 GB)</v>
      </c>
      <c r="B404" t="s">
        <v>753</v>
      </c>
      <c r="C404" s="1">
        <v>59990</v>
      </c>
      <c r="D404" s="1">
        <v>212</v>
      </c>
      <c r="E404" s="2">
        <v>88</v>
      </c>
      <c r="F404" s="2" t="str" cm="1">
        <f t="array" ref="F404">_xlfn.IFS(AND(101&gt;E404, E404&gt;69), "Top-Tier", AND(70&gt;E404, E404&gt;39), "Mid-Tier", 40&gt;E404, "Low-Tier")</f>
        <v>Top-Tier</v>
      </c>
      <c r="G404" s="4">
        <v>45139</v>
      </c>
      <c r="H404" t="s">
        <v>751</v>
      </c>
      <c r="I404" t="s">
        <v>33</v>
      </c>
      <c r="J404" t="s">
        <v>119</v>
      </c>
      <c r="K404" t="s">
        <v>51</v>
      </c>
      <c r="L404" t="s">
        <v>24</v>
      </c>
      <c r="N404" t="s">
        <v>31</v>
      </c>
      <c r="O404" t="s">
        <v>152</v>
      </c>
      <c r="P404" s="3">
        <v>78</v>
      </c>
      <c r="Q404" t="str">
        <f>LEFT(B404, 6)</f>
        <v>Lenovo</v>
      </c>
      <c r="R404" t="str">
        <f t="shared" si="46"/>
        <v>AMD Quad-Core Ryzen 5</v>
      </c>
      <c r="S404" t="str">
        <f t="shared" si="43"/>
        <v xml:space="preserve">8 GB </v>
      </c>
    </row>
    <row r="405" spans="1:19">
      <c r="A405" t="str">
        <f>LEFT(B405, LEN(B405)-15)</f>
        <v>Lenovo Yoga Pro 7i (82Y700A3IN) Laptop (Core i7 13th Gen/16 GB/1 TB SSD/Windows 11/6 GB)</v>
      </c>
      <c r="B405" t="s">
        <v>754</v>
      </c>
      <c r="C405" s="1">
        <v>114990</v>
      </c>
      <c r="D405" s="1">
        <v>8</v>
      </c>
      <c r="E405" s="2">
        <v>88</v>
      </c>
      <c r="F405" s="2" t="str" cm="1">
        <f t="array" ref="F405">_xlfn.IFS(AND(101&gt;E405, E405&gt;69), "Top-Tier", AND(70&gt;E405, E405&gt;39), "Mid-Tier", 40&gt;E405, "Low-Tier")</f>
        <v>Top-Tier</v>
      </c>
      <c r="G405" s="4">
        <v>45139</v>
      </c>
      <c r="H405" t="s">
        <v>751</v>
      </c>
      <c r="I405" t="s">
        <v>33</v>
      </c>
      <c r="J405" t="s">
        <v>167</v>
      </c>
      <c r="K405" t="s">
        <v>755</v>
      </c>
      <c r="L405" t="s">
        <v>24</v>
      </c>
      <c r="N405" t="s">
        <v>31</v>
      </c>
      <c r="Q405" t="str">
        <f>LEFT(B405, 6)</f>
        <v>Lenovo</v>
      </c>
      <c r="R405" t="str">
        <f t="shared" si="46"/>
        <v>AMD Quad-Core Ryzen 5</v>
      </c>
      <c r="S405" t="str">
        <f t="shared" si="43"/>
        <v>16 GB</v>
      </c>
    </row>
    <row r="406" spans="1:19">
      <c r="A406" t="str">
        <f>LEFT(B406, LEN(B406)-15)</f>
        <v>Lenovo Legion Slim 5 16APH8 (82Y90042IN) Laptop (AMD Octa Core Ryzen 7/16 GB/512 GB SSD/Windows 11/8 GB)</v>
      </c>
      <c r="B406" t="s">
        <v>756</v>
      </c>
      <c r="C406" s="1">
        <v>153890</v>
      </c>
      <c r="D406" s="1">
        <v>9</v>
      </c>
      <c r="E406" s="2">
        <v>88</v>
      </c>
      <c r="F406" s="2" t="str" cm="1">
        <f t="array" ref="F406">_xlfn.IFS(AND(101&gt;E406, E406&gt;69), "Top-Tier", AND(70&gt;E406, E406&gt;39), "Mid-Tier", 40&gt;E406, "Low-Tier")</f>
        <v>Top-Tier</v>
      </c>
      <c r="G406" s="4">
        <v>45139</v>
      </c>
      <c r="H406" t="s">
        <v>751</v>
      </c>
      <c r="I406" t="s">
        <v>33</v>
      </c>
      <c r="J406" t="s">
        <v>54</v>
      </c>
      <c r="K406" t="s">
        <v>117</v>
      </c>
      <c r="L406" t="s">
        <v>24</v>
      </c>
      <c r="Q406" t="str">
        <f>LEFT(B406, 6)</f>
        <v>Lenovo</v>
      </c>
      <c r="R406" t="str">
        <f t="shared" si="46"/>
        <v>AMD Quad-Core Ryzen 5</v>
      </c>
      <c r="S406" t="str">
        <f t="shared" si="43"/>
        <v>16 GB</v>
      </c>
    </row>
    <row r="407" spans="1:19">
      <c r="A407" t="str">
        <f>LEFT(B407, LEN(B407)-15)</f>
        <v>Lenovo IdeaPad Flex 5 14IRU8 (82Y00051IN) Laptop (Core i5 13th Gen/16 GB/512 GB SSD/Windows 11)</v>
      </c>
      <c r="B407" t="s">
        <v>757</v>
      </c>
      <c r="C407" s="1">
        <v>74990</v>
      </c>
      <c r="D407" s="1">
        <v>31</v>
      </c>
      <c r="E407" s="2">
        <v>88</v>
      </c>
      <c r="F407" s="2" t="str" cm="1">
        <f t="array" ref="F407">_xlfn.IFS(AND(101&gt;E407, E407&gt;69), "Top-Tier", AND(70&gt;E407, E407&gt;39), "Mid-Tier", 40&gt;E407, "Low-Tier")</f>
        <v>Top-Tier</v>
      </c>
      <c r="G407" s="4">
        <v>45139</v>
      </c>
      <c r="H407" t="s">
        <v>751</v>
      </c>
      <c r="I407" t="s">
        <v>33</v>
      </c>
      <c r="J407" t="s">
        <v>34</v>
      </c>
      <c r="K407" t="s">
        <v>94</v>
      </c>
      <c r="L407" t="s">
        <v>24</v>
      </c>
      <c r="N407" t="s">
        <v>31</v>
      </c>
      <c r="O407" t="s">
        <v>152</v>
      </c>
      <c r="P407" s="3">
        <v>77</v>
      </c>
      <c r="Q407" t="str">
        <f>LEFT(B407, 6)</f>
        <v>Lenovo</v>
      </c>
      <c r="R407" t="str">
        <f t="shared" si="46"/>
        <v>AMD Quad-Core Ryzen 5</v>
      </c>
      <c r="S407" t="str">
        <f t="shared" si="43"/>
        <v>16 GB</v>
      </c>
    </row>
    <row r="408" spans="1:19">
      <c r="A408" t="str">
        <f>LEFT(B408, LEN(B408)-15)</f>
        <v>MSI GF63 Thin 12VE-664IN Laptop (Core i7 12th Gen/16 GB/1 TB SSD/Windows 11/6 GB)</v>
      </c>
      <c r="B408" t="s">
        <v>758</v>
      </c>
      <c r="C408" s="1">
        <v>90990</v>
      </c>
      <c r="D408" s="1">
        <v>276</v>
      </c>
      <c r="E408" s="2">
        <v>88</v>
      </c>
      <c r="F408" s="2" t="str" cm="1">
        <f t="array" ref="F408">_xlfn.IFS(AND(101&gt;E408, E408&gt;69), "Top-Tier", AND(70&gt;E408, E408&gt;39), "Mid-Tier", 40&gt;E408, "Low-Tier")</f>
        <v>Top-Tier</v>
      </c>
      <c r="G408" s="4">
        <v>45139</v>
      </c>
      <c r="H408" t="s">
        <v>759</v>
      </c>
      <c r="I408" t="s">
        <v>33</v>
      </c>
      <c r="J408" t="s">
        <v>184</v>
      </c>
      <c r="K408" t="s">
        <v>51</v>
      </c>
      <c r="L408" t="s">
        <v>24</v>
      </c>
      <c r="M408" t="s">
        <v>113</v>
      </c>
      <c r="N408" t="s">
        <v>31</v>
      </c>
      <c r="P408" s="3">
        <v>84</v>
      </c>
      <c r="Q408" t="str">
        <f>LEFT(B408, 3)</f>
        <v>MSI</v>
      </c>
      <c r="R408" t="str">
        <f t="shared" si="46"/>
        <v>AMD Quad-Core Ryzen 5</v>
      </c>
      <c r="S408" t="str">
        <f t="shared" si="43"/>
        <v>16 GB</v>
      </c>
    </row>
    <row r="409" spans="1:19">
      <c r="A409" t="str">
        <f>LEFT(B409, LEN(B409)-15)</f>
        <v>Lenovo LOQ 15IRH8 (82XV00F5IN) Laptop (Core i5 12th Gen/16 GB/512 GB SSD/Windows 11/6 GB)</v>
      </c>
      <c r="B409" t="s">
        <v>760</v>
      </c>
      <c r="C409" s="1">
        <v>66990</v>
      </c>
      <c r="D409" s="1">
        <v>573</v>
      </c>
      <c r="E409" s="2">
        <v>88</v>
      </c>
      <c r="F409" s="2" t="str" cm="1">
        <f t="array" ref="F409">_xlfn.IFS(AND(101&gt;E409, E409&gt;69), "Top-Tier", AND(70&gt;E409, E409&gt;39), "Mid-Tier", 40&gt;E409, "Low-Tier")</f>
        <v>Top-Tier</v>
      </c>
      <c r="G409" s="4">
        <v>45139</v>
      </c>
      <c r="H409" t="s">
        <v>761</v>
      </c>
      <c r="I409" t="s">
        <v>33</v>
      </c>
      <c r="J409" t="s">
        <v>54</v>
      </c>
      <c r="K409" t="s">
        <v>51</v>
      </c>
      <c r="L409" t="s">
        <v>24</v>
      </c>
      <c r="N409" t="s">
        <v>31</v>
      </c>
      <c r="P409" s="3">
        <v>82</v>
      </c>
      <c r="Q409" t="str">
        <f>LEFT(B409, 6)</f>
        <v>Lenovo</v>
      </c>
      <c r="R409" t="str">
        <f t="shared" si="46"/>
        <v>AMD Quad-Core Ryzen 5</v>
      </c>
      <c r="S409" t="str">
        <f t="shared" si="43"/>
        <v>16 GB</v>
      </c>
    </row>
    <row r="410" spans="1:19">
      <c r="A410" t="str">
        <f>LEFT(B410, LEN(B410)-15)</f>
        <v>Lenovo LOQ 15IRH8 (82XV00BQIN) Laptop (Core i7 13th Gen/16 GB/512 GB SSD/Windows 11/6 GB)</v>
      </c>
      <c r="B410" t="s">
        <v>762</v>
      </c>
      <c r="C410" s="1">
        <v>96390</v>
      </c>
      <c r="D410" s="1">
        <v>164</v>
      </c>
      <c r="E410" s="2">
        <v>88</v>
      </c>
      <c r="F410" s="2" t="str" cm="1">
        <f t="array" ref="F410">_xlfn.IFS(AND(101&gt;E410, E410&gt;69), "Top-Tier", AND(70&gt;E410, E410&gt;39), "Mid-Tier", 40&gt;E410, "Low-Tier")</f>
        <v>Top-Tier</v>
      </c>
      <c r="G410" s="4">
        <v>45139</v>
      </c>
      <c r="H410" t="s">
        <v>763</v>
      </c>
      <c r="I410" t="s">
        <v>33</v>
      </c>
      <c r="J410" t="s">
        <v>54</v>
      </c>
      <c r="K410" t="s">
        <v>51</v>
      </c>
      <c r="L410" t="s">
        <v>24</v>
      </c>
      <c r="N410" t="s">
        <v>31</v>
      </c>
      <c r="P410" s="3">
        <v>84</v>
      </c>
      <c r="Q410" t="str">
        <f>LEFT(B410, 6)</f>
        <v>Lenovo</v>
      </c>
      <c r="R410" t="str">
        <f t="shared" si="46"/>
        <v>AMD Quad-Core Ryzen 5</v>
      </c>
      <c r="S410" t="str">
        <f t="shared" si="43"/>
        <v>16 GB</v>
      </c>
    </row>
    <row r="411" spans="1:19">
      <c r="A411" t="str">
        <f>LEFT(B411, LEN(B411)-15)</f>
        <v>Asus TUF Gaming F15 FX506HE-HN382W Laptop (Core i7 11th Gen/16 GB/512 GB SSD/Windows 11/4 GB)</v>
      </c>
      <c r="B411" t="s">
        <v>764</v>
      </c>
      <c r="C411" s="1">
        <v>88990</v>
      </c>
      <c r="D411" s="1">
        <v>242</v>
      </c>
      <c r="E411" s="2">
        <v>88</v>
      </c>
      <c r="F411" s="2" t="str" cm="1">
        <f t="array" ref="F411">_xlfn.IFS(AND(101&gt;E411, E411&gt;69), "Top-Tier", AND(70&gt;E411, E411&gt;39), "Mid-Tier", 40&gt;E411, "Low-Tier")</f>
        <v>Top-Tier</v>
      </c>
      <c r="G411" s="4">
        <v>45108</v>
      </c>
      <c r="H411" t="s">
        <v>763</v>
      </c>
      <c r="I411" t="s">
        <v>33</v>
      </c>
      <c r="J411" t="s">
        <v>34</v>
      </c>
      <c r="K411" t="s">
        <v>159</v>
      </c>
      <c r="L411" t="s">
        <v>24</v>
      </c>
      <c r="M411" t="s">
        <v>765</v>
      </c>
      <c r="N411" t="s">
        <v>31</v>
      </c>
      <c r="O411" t="s">
        <v>152</v>
      </c>
      <c r="P411" s="3">
        <v>81</v>
      </c>
      <c r="Q411" t="str">
        <f>LEFT(B411, 4)</f>
        <v>Asus</v>
      </c>
      <c r="R411" t="str">
        <f t="shared" si="46"/>
        <v>AMD Quad-Core Ryzen 5</v>
      </c>
      <c r="S411" t="str">
        <f t="shared" si="43"/>
        <v>16 GB</v>
      </c>
    </row>
    <row r="412" spans="1:19">
      <c r="A412" t="str">
        <f>LEFT(B412, LEN(B412)-15)</f>
        <v>Acer Swift 3 SF314-71 (NX.KAWSI.002) Laptop (Core i5 12th Gen/16 GB/512 GB SSD/Windows 11)</v>
      </c>
      <c r="B412" t="s">
        <v>766</v>
      </c>
      <c r="C412" s="1">
        <v>89999</v>
      </c>
      <c r="D412" s="1">
        <v>823</v>
      </c>
      <c r="E412" s="2">
        <v>88</v>
      </c>
      <c r="F412" s="2" t="str" cm="1">
        <f t="array" ref="F412">_xlfn.IFS(AND(101&gt;E412, E412&gt;69), "Top-Tier", AND(70&gt;E412, E412&gt;39), "Mid-Tier", 40&gt;E412, "Low-Tier")</f>
        <v>Top-Tier</v>
      </c>
      <c r="G412" s="4">
        <v>45108</v>
      </c>
      <c r="H412" t="s">
        <v>767</v>
      </c>
      <c r="I412" t="s">
        <v>33</v>
      </c>
      <c r="J412" t="s">
        <v>121</v>
      </c>
      <c r="K412" t="s">
        <v>81</v>
      </c>
      <c r="L412" t="s">
        <v>24</v>
      </c>
      <c r="M412" t="s">
        <v>95</v>
      </c>
      <c r="N412" t="s">
        <v>31</v>
      </c>
      <c r="P412" s="3">
        <v>77</v>
      </c>
      <c r="Q412" t="str">
        <f>LEFT(B412, 4)</f>
        <v>Acer</v>
      </c>
      <c r="R412" t="str">
        <f t="shared" si="46"/>
        <v>AMD Quad-Core Ryzen 5</v>
      </c>
      <c r="S412" t="str">
        <f t="shared" si="43"/>
        <v>16 GB</v>
      </c>
    </row>
    <row r="413" spans="1:19">
      <c r="A413" t="str">
        <f>LEFT(B413, LEN(B413)-15)</f>
        <v>Asus VivoBook S15 OLED S5504VA-MA951WS Laptop (Core i9 13th Gen/16 GB/1 TB SSD/Windows 11)</v>
      </c>
      <c r="B413" t="s">
        <v>768</v>
      </c>
      <c r="C413" s="1">
        <v>94990</v>
      </c>
      <c r="D413" s="1">
        <v>75</v>
      </c>
      <c r="E413" s="2">
        <v>88</v>
      </c>
      <c r="F413" s="2" t="str" cm="1">
        <f t="array" ref="F413">_xlfn.IFS(AND(101&gt;E413, E413&gt;69), "Top-Tier", AND(70&gt;E413, E413&gt;39), "Mid-Tier", 40&gt;E413, "Low-Tier")</f>
        <v>Top-Tier</v>
      </c>
      <c r="G413" s="4">
        <v>45108</v>
      </c>
      <c r="H413" t="s">
        <v>769</v>
      </c>
      <c r="I413" t="s">
        <v>33</v>
      </c>
      <c r="J413" t="s">
        <v>167</v>
      </c>
      <c r="K413" t="s">
        <v>43</v>
      </c>
      <c r="L413" t="s">
        <v>24</v>
      </c>
      <c r="M413" t="s">
        <v>95</v>
      </c>
      <c r="N413" t="s">
        <v>31</v>
      </c>
      <c r="P413" s="3">
        <v>85</v>
      </c>
      <c r="Q413" t="str">
        <f>LEFT(B413, 4)</f>
        <v>Asus</v>
      </c>
      <c r="R413" t="str">
        <f t="shared" si="46"/>
        <v>AMD Quad-Core Ryzen 5</v>
      </c>
      <c r="S413" t="str">
        <f t="shared" si="43"/>
        <v>16 GB</v>
      </c>
    </row>
    <row r="414" spans="1:19">
      <c r="A414" t="str">
        <f>LEFT(B414, LEN(B414)-15)</f>
        <v>Lenovo Yoga 7 14IRL8 (82YL0060IN) Laptop (Core i7 13th Gen/16 GB/512 GB SSD/Windows 11)</v>
      </c>
      <c r="B414" t="s">
        <v>770</v>
      </c>
      <c r="C414" s="1">
        <v>110190</v>
      </c>
      <c r="D414" s="1">
        <v>76</v>
      </c>
      <c r="E414" s="2">
        <v>88</v>
      </c>
      <c r="F414" s="2" t="str" cm="1">
        <f t="array" ref="F414">_xlfn.IFS(AND(101&gt;E414, E414&gt;69), "Top-Tier", AND(70&gt;E414, E414&gt;39), "Mid-Tier", 40&gt;E414, "Low-Tier")</f>
        <v>Top-Tier</v>
      </c>
      <c r="G414" s="4">
        <v>45108</v>
      </c>
      <c r="H414" t="s">
        <v>769</v>
      </c>
      <c r="I414" t="s">
        <v>33</v>
      </c>
      <c r="J414" t="s">
        <v>121</v>
      </c>
      <c r="K414" t="s">
        <v>81</v>
      </c>
      <c r="L414" t="s">
        <v>24</v>
      </c>
      <c r="N414" t="s">
        <v>31</v>
      </c>
      <c r="P414" s="3">
        <v>84</v>
      </c>
      <c r="Q414" t="str">
        <f>LEFT(B414, 6)</f>
        <v>Lenovo</v>
      </c>
      <c r="R414" t="str">
        <f t="shared" si="46"/>
        <v>AMD Quad-Core Ryzen 5</v>
      </c>
      <c r="S414" t="str">
        <f t="shared" si="43"/>
        <v>16 GB</v>
      </c>
    </row>
    <row r="415" spans="1:19">
      <c r="A415" t="str">
        <f>LEFT(B415, LEN(B415)-15)</f>
        <v>Asus TUF Gaming F15 FX507ZC4-HN116W Laptop (Core i5 12th Gen/16 GB/512 GB SSD/Windows 11/4 GB)</v>
      </c>
      <c r="B415" t="s">
        <v>771</v>
      </c>
      <c r="C415" s="1">
        <v>68500</v>
      </c>
      <c r="D415" s="1">
        <v>497</v>
      </c>
      <c r="E415" s="2">
        <v>88</v>
      </c>
      <c r="F415" s="2" t="str" cm="1">
        <f t="array" ref="F415">_xlfn.IFS(AND(101&gt;E415, E415&gt;69), "Top-Tier", AND(70&gt;E415, E415&gt;39), "Mid-Tier", 40&gt;E415, "Low-Tier")</f>
        <v>Top-Tier</v>
      </c>
      <c r="G415" s="4">
        <v>45078</v>
      </c>
      <c r="H415" t="s">
        <v>772</v>
      </c>
      <c r="I415" t="s">
        <v>33</v>
      </c>
      <c r="J415" t="s">
        <v>34</v>
      </c>
      <c r="K415" t="s">
        <v>51</v>
      </c>
      <c r="L415" t="s">
        <v>24</v>
      </c>
      <c r="N415" t="s">
        <v>31</v>
      </c>
      <c r="P415" s="3">
        <v>81</v>
      </c>
      <c r="Q415" t="str">
        <f>LEFT(B415, 4)</f>
        <v>Asus</v>
      </c>
      <c r="R415" t="str">
        <f t="shared" si="46"/>
        <v>AMD Quad-Core Ryzen 5</v>
      </c>
      <c r="S415" t="str">
        <f t="shared" si="43"/>
        <v>16 GB</v>
      </c>
    </row>
    <row r="416" spans="1:19">
      <c r="A416" t="str">
        <f>LEFT(B416, LEN(B416)-15)</f>
        <v>MSI Modern 14 C7M-218IN Laptop (AMD Octa Core Ryzen 7/16 GB/512 GB SSD/Windows 11)</v>
      </c>
      <c r="B416" t="s">
        <v>773</v>
      </c>
      <c r="C416" s="1">
        <v>51990</v>
      </c>
      <c r="D416" s="1">
        <v>13</v>
      </c>
      <c r="E416" s="2">
        <v>88</v>
      </c>
      <c r="F416" s="2" t="str" cm="1">
        <f t="array" ref="F416">_xlfn.IFS(AND(101&gt;E416, E416&gt;69), "Top-Tier", AND(70&gt;E416, E416&gt;39), "Mid-Tier", 40&gt;E416, "Low-Tier")</f>
        <v>Top-Tier</v>
      </c>
      <c r="G416" s="4">
        <v>45078</v>
      </c>
      <c r="H416" t="s">
        <v>772</v>
      </c>
      <c r="I416" t="s">
        <v>33</v>
      </c>
      <c r="J416" t="s">
        <v>34</v>
      </c>
      <c r="K416" t="s">
        <v>149</v>
      </c>
      <c r="L416" t="s">
        <v>24</v>
      </c>
      <c r="M416" t="s">
        <v>428</v>
      </c>
      <c r="N416" t="s">
        <v>31</v>
      </c>
      <c r="Q416" t="str">
        <f>LEFT(B416, 3)</f>
        <v>MSI</v>
      </c>
      <c r="R416" t="str">
        <f t="shared" si="46"/>
        <v>AMD Quad-Core Ryzen 5</v>
      </c>
      <c r="S416" t="str">
        <f t="shared" si="43"/>
        <v>16 GB</v>
      </c>
    </row>
    <row r="417" spans="1:19">
      <c r="A417" t="str">
        <f>LEFT(B417, LEN(B417)-15)</f>
        <v>Lenovo Ideapad Gaming 3 15IHU6 (82K101LHIN) Laptop (Core i5 11th Gen/16 GB/512 GB SSD/Windows 11/4 GB)</v>
      </c>
      <c r="B417" t="s">
        <v>774</v>
      </c>
      <c r="C417" s="1">
        <v>69590</v>
      </c>
      <c r="D417" s="1">
        <v>311</v>
      </c>
      <c r="E417" s="2">
        <v>88</v>
      </c>
      <c r="F417" s="2" t="str" cm="1">
        <f t="array" ref="F417">_xlfn.IFS(AND(101&gt;E417, E417&gt;69), "Top-Tier", AND(70&gt;E417, E417&gt;39), "Mid-Tier", 40&gt;E417, "Low-Tier")</f>
        <v>Top-Tier</v>
      </c>
      <c r="G417" s="4">
        <v>45078</v>
      </c>
      <c r="H417" t="s">
        <v>772</v>
      </c>
      <c r="I417" t="s">
        <v>33</v>
      </c>
      <c r="J417" t="s">
        <v>34</v>
      </c>
      <c r="K417" t="s">
        <v>51</v>
      </c>
      <c r="L417" t="s">
        <v>24</v>
      </c>
      <c r="N417" t="s">
        <v>31</v>
      </c>
      <c r="P417" s="3">
        <v>75</v>
      </c>
      <c r="Q417" t="str">
        <f>LEFT(B417, 6)</f>
        <v>Lenovo</v>
      </c>
      <c r="R417" t="str">
        <f t="shared" si="46"/>
        <v>AMD Quad-Core Ryzen 5</v>
      </c>
      <c r="S417" t="str">
        <f t="shared" si="43"/>
        <v>16 GB</v>
      </c>
    </row>
    <row r="418" spans="1:19">
      <c r="A418" t="str">
        <f>LEFT(B418, LEN(B418)-15)</f>
        <v>Dell Inspiron 15 3520 (IN3520KTMFJS01ORS1) Laptop (Core i3 11th Gen/8 GB/512 GB SSD/Windows 11)</v>
      </c>
      <c r="B418" t="s">
        <v>775</v>
      </c>
      <c r="C418" s="1">
        <v>39990</v>
      </c>
      <c r="D418" s="1">
        <v>233</v>
      </c>
      <c r="E418" s="2">
        <v>88</v>
      </c>
      <c r="F418" s="2" t="str" cm="1">
        <f t="array" ref="F418">_xlfn.IFS(AND(101&gt;E418, E418&gt;69), "Top-Tier", AND(70&gt;E418, E418&gt;39), "Mid-Tier", 40&gt;E418, "Low-Tier")</f>
        <v>Top-Tier</v>
      </c>
      <c r="G418" s="4">
        <v>45078</v>
      </c>
      <c r="H418" t="s">
        <v>772</v>
      </c>
      <c r="I418" t="s">
        <v>33</v>
      </c>
      <c r="J418" t="s">
        <v>50</v>
      </c>
      <c r="K418" t="s">
        <v>51</v>
      </c>
      <c r="L418" t="s">
        <v>24</v>
      </c>
      <c r="M418" t="s">
        <v>237</v>
      </c>
      <c r="N418" t="s">
        <v>31</v>
      </c>
      <c r="Q418" t="str">
        <f>LEFT(B418, 4)</f>
        <v>Dell</v>
      </c>
      <c r="R418" t="str">
        <f t="shared" si="46"/>
        <v>AMD Quad-Core Ryzen 5</v>
      </c>
      <c r="S418" t="str">
        <f t="shared" si="43"/>
        <v xml:space="preserve">8 GB </v>
      </c>
    </row>
    <row r="419" spans="1:19">
      <c r="A419" t="str">
        <f>LEFT(B419, LEN(B419)-15)</f>
        <v>Acer Nitro 5 AN515-58 (NH.QFSSI.001) Laptop (Core i7 12th Gen/16 GB/1 TB SSD/Windows 11/8 GB)</v>
      </c>
      <c r="B419" t="s">
        <v>776</v>
      </c>
      <c r="C419" s="1">
        <v>108000</v>
      </c>
      <c r="D419" s="1">
        <v>728</v>
      </c>
      <c r="E419" s="2">
        <v>88</v>
      </c>
      <c r="F419" s="2" t="str" cm="1">
        <f t="array" ref="F419">_xlfn.IFS(AND(101&gt;E419, E419&gt;69), "Top-Tier", AND(70&gt;E419, E419&gt;39), "Mid-Tier", 40&gt;E419, "Low-Tier")</f>
        <v>Top-Tier</v>
      </c>
      <c r="G419" s="4">
        <v>45078</v>
      </c>
      <c r="H419" t="s">
        <v>772</v>
      </c>
      <c r="I419" t="s">
        <v>33</v>
      </c>
      <c r="J419" t="s">
        <v>184</v>
      </c>
      <c r="K419" t="s">
        <v>252</v>
      </c>
      <c r="L419" t="s">
        <v>24</v>
      </c>
      <c r="N419" t="s">
        <v>31</v>
      </c>
      <c r="P419" s="3">
        <v>84</v>
      </c>
      <c r="Q419" t="str">
        <f>LEFT(B419, 4)</f>
        <v>Acer</v>
      </c>
      <c r="R419" t="str">
        <f t="shared" si="46"/>
        <v>AMD Quad-Core Ryzen 5</v>
      </c>
      <c r="S419" t="str">
        <f t="shared" si="43"/>
        <v>16 GB</v>
      </c>
    </row>
    <row r="420" spans="1:19">
      <c r="A420" t="str">
        <f>LEFT(B420, LEN(B420)-15)</f>
        <v>Dell Inspiron 14 7430 (IC7430PXXWC001ORS1) Laptop (Core i5 13th Gen/8 GB/512 GB SSD/Windows 11)</v>
      </c>
      <c r="B420" t="s">
        <v>777</v>
      </c>
      <c r="C420" s="1">
        <v>77990</v>
      </c>
      <c r="D420" s="1">
        <v>7</v>
      </c>
      <c r="E420" s="2">
        <v>88</v>
      </c>
      <c r="F420" s="2" t="str" cm="1">
        <f t="array" ref="F420">_xlfn.IFS(AND(101&gt;E420, E420&gt;69), "Top-Tier", AND(70&gt;E420, E420&gt;39), "Mid-Tier", 40&gt;E420, "Low-Tier")</f>
        <v>Top-Tier</v>
      </c>
      <c r="G420" s="4">
        <v>45078</v>
      </c>
      <c r="H420" t="s">
        <v>772</v>
      </c>
      <c r="I420" t="s">
        <v>33</v>
      </c>
      <c r="J420" t="s">
        <v>162</v>
      </c>
      <c r="K420" t="s">
        <v>94</v>
      </c>
      <c r="L420" t="s">
        <v>24</v>
      </c>
      <c r="M420" t="s">
        <v>778</v>
      </c>
      <c r="P420" s="3">
        <v>75</v>
      </c>
      <c r="Q420" t="str">
        <f>LEFT(B420, 4)</f>
        <v>Dell</v>
      </c>
      <c r="R420" t="str">
        <f t="shared" si="46"/>
        <v>AMD Quad-Core Ryzen 5</v>
      </c>
      <c r="S420" t="str">
        <f t="shared" si="43"/>
        <v xml:space="preserve">8 GB </v>
      </c>
    </row>
    <row r="421" spans="1:19">
      <c r="A421" t="str">
        <f>LEFT(B421, LEN(B421)-15)</f>
        <v>Asus VivoBook Pro 15 M6500QF-HN521WS Laptop (AMD Hexa Core Ryzen 5/8 GB/512 GB SSD/Windows 11/4 GB)</v>
      </c>
      <c r="B421" t="s">
        <v>779</v>
      </c>
      <c r="C421" s="1">
        <v>55999</v>
      </c>
      <c r="D421" s="1">
        <v>1364</v>
      </c>
      <c r="E421" s="2">
        <v>88</v>
      </c>
      <c r="F421" s="2" t="str" cm="1">
        <f t="array" ref="F421">_xlfn.IFS(AND(101&gt;E421, E421&gt;69), "Top-Tier", AND(70&gt;E421, E421&gt;39), "Mid-Tier", 40&gt;E421, "Low-Tier")</f>
        <v>Top-Tier</v>
      </c>
      <c r="G421" s="4">
        <v>45078</v>
      </c>
      <c r="H421" t="s">
        <v>772</v>
      </c>
      <c r="I421" t="s">
        <v>33</v>
      </c>
      <c r="J421" t="s">
        <v>50</v>
      </c>
      <c r="K421" t="s">
        <v>51</v>
      </c>
      <c r="L421" t="s">
        <v>24</v>
      </c>
      <c r="M421" t="s">
        <v>52</v>
      </c>
      <c r="N421" t="s">
        <v>31</v>
      </c>
      <c r="P421" s="3">
        <v>78</v>
      </c>
      <c r="Q421" t="str">
        <f>LEFT(B421, 4)</f>
        <v>Asus</v>
      </c>
      <c r="R421" t="str">
        <f>LEFT(H421, 21)</f>
        <v>AMD Quad-Core Ryzen 5</v>
      </c>
      <c r="S421" t="str">
        <f t="shared" si="43"/>
        <v xml:space="preserve">8 GB </v>
      </c>
    </row>
    <row r="422" spans="1:19">
      <c r="A422" t="str">
        <f>LEFT(B422, LEN(B422)-15)</f>
        <v>HP Victus 15-fa0555TX (805X2PA) Laptop (Core i5 12th Gen/16 GB/512 GB SSD/Windows 11/4 GB)</v>
      </c>
      <c r="B422" t="s">
        <v>780</v>
      </c>
      <c r="C422" s="1">
        <v>66900</v>
      </c>
      <c r="D422" s="1">
        <v>214</v>
      </c>
      <c r="E422" s="2">
        <v>88</v>
      </c>
      <c r="F422" s="2" t="str" cm="1">
        <f t="array" ref="F422">_xlfn.IFS(AND(101&gt;E422, E422&gt;69), "Top-Tier", AND(70&gt;E422, E422&gt;39), "Mid-Tier", 40&gt;E422, "Low-Tier")</f>
        <v>Top-Tier</v>
      </c>
      <c r="G422" s="4">
        <v>45047</v>
      </c>
      <c r="H422" t="s">
        <v>772</v>
      </c>
      <c r="I422" t="s">
        <v>33</v>
      </c>
      <c r="J422" t="s">
        <v>34</v>
      </c>
      <c r="K422" t="s">
        <v>51</v>
      </c>
      <c r="L422" t="s">
        <v>24</v>
      </c>
      <c r="N422" t="s">
        <v>31</v>
      </c>
      <c r="P422" s="3">
        <v>81</v>
      </c>
      <c r="Q422" t="str">
        <f>LEFT(B422, 2)</f>
        <v>HP</v>
      </c>
      <c r="R422" t="str">
        <f>LEFT(H422, 21)</f>
        <v>AMD Quad-Core Ryzen 5</v>
      </c>
      <c r="S422" t="str">
        <f t="shared" si="43"/>
        <v>16 GB</v>
      </c>
    </row>
    <row r="423" spans="1:19">
      <c r="A423" t="str">
        <f>LEFT(B423, LEN(B423)-15)</f>
        <v>Asus Zenbook 14X OLED UM5401QA-KM541WS Laptop (AMD Hexa Core Ryzen 5/16 GB/512 GB SSD/Windows 11)</v>
      </c>
      <c r="B423" t="s">
        <v>781</v>
      </c>
      <c r="C423" s="1">
        <v>64990</v>
      </c>
      <c r="D423" s="1">
        <v>1122</v>
      </c>
      <c r="E423" s="2">
        <v>88</v>
      </c>
      <c r="F423" s="2" t="str" cm="1">
        <f t="array" ref="F423">_xlfn.IFS(AND(101&gt;E423, E423&gt;69), "Top-Tier", AND(70&gt;E423, E423&gt;39), "Mid-Tier", 40&gt;E423, "Low-Tier")</f>
        <v>Top-Tier</v>
      </c>
      <c r="G423" s="4">
        <v>45047</v>
      </c>
      <c r="H423" t="s">
        <v>772</v>
      </c>
      <c r="I423" t="s">
        <v>33</v>
      </c>
      <c r="J423" t="s">
        <v>214</v>
      </c>
      <c r="K423" t="s">
        <v>81</v>
      </c>
      <c r="L423" t="s">
        <v>24</v>
      </c>
      <c r="M423" t="s">
        <v>44</v>
      </c>
      <c r="N423" t="s">
        <v>31</v>
      </c>
      <c r="P423" s="3">
        <v>71</v>
      </c>
      <c r="Q423" t="str">
        <f>LEFT(B423, 4)</f>
        <v>Asus</v>
      </c>
      <c r="R423" t="str">
        <f>LEFT(H423, 21)</f>
        <v>AMD Quad-Core Ryzen 5</v>
      </c>
      <c r="S423" t="str">
        <f t="shared" si="43"/>
        <v>16 GB</v>
      </c>
    </row>
    <row r="424" spans="1:19">
      <c r="A424" t="str">
        <f>LEFT(B424, LEN(B424)-15)</f>
        <v>Asus ROG Strix G16 G614JU-N3200WS Laptop (Core i7 13th Gen/16 GB/1 TB SSD/Windows 11/6 GB)</v>
      </c>
      <c r="B424" t="s">
        <v>782</v>
      </c>
      <c r="C424" s="1">
        <v>113500</v>
      </c>
      <c r="D424" s="1">
        <v>16</v>
      </c>
      <c r="E424" s="2">
        <v>88</v>
      </c>
      <c r="F424" s="2" t="str" cm="1">
        <f t="array" ref="F424">_xlfn.IFS(AND(101&gt;E424, E424&gt;69), "Top-Tier", AND(70&gt;E424, E424&gt;39), "Mid-Tier", 40&gt;E424, "Low-Tier")</f>
        <v>Top-Tier</v>
      </c>
      <c r="G424" s="4">
        <v>45047</v>
      </c>
      <c r="H424" t="s">
        <v>772</v>
      </c>
      <c r="I424" t="s">
        <v>33</v>
      </c>
      <c r="J424" t="s">
        <v>72</v>
      </c>
      <c r="K424" t="s">
        <v>155</v>
      </c>
      <c r="L424" t="s">
        <v>24</v>
      </c>
      <c r="P424" s="3">
        <v>86</v>
      </c>
      <c r="Q424" t="str">
        <f>LEFT(B424, 4)</f>
        <v>Asus</v>
      </c>
      <c r="R424" t="str">
        <f>LEFT(H424, 21)</f>
        <v>AMD Quad-Core Ryzen 5</v>
      </c>
      <c r="S424" t="str">
        <f t="shared" si="43"/>
        <v>16 GB</v>
      </c>
    </row>
    <row r="425" spans="1:19">
      <c r="A425" t="str">
        <f>LEFT(B425, LEN(B425)-15)</f>
        <v>Asus TUF Gaming A15 FA577XU-LP041WS Laptop (AMD Octa Core Ryzen 9/16 GB/1 TB SSD/Windows 11/6 GB)</v>
      </c>
      <c r="B425" t="s">
        <v>783</v>
      </c>
      <c r="C425" s="1">
        <v>119990</v>
      </c>
      <c r="D425" s="1">
        <v>5</v>
      </c>
      <c r="E425" s="2">
        <v>88</v>
      </c>
      <c r="F425" s="2" t="str" cm="1">
        <f t="array" ref="F425">_xlfn.IFS(AND(101&gt;E425, E425&gt;69), "Top-Tier", AND(70&gt;E425, E425&gt;39), "Mid-Tier", 40&gt;E425, "Low-Tier")</f>
        <v>Top-Tier</v>
      </c>
      <c r="G425" s="4">
        <v>45047</v>
      </c>
      <c r="H425" t="s">
        <v>772</v>
      </c>
      <c r="I425" t="s">
        <v>33</v>
      </c>
      <c r="J425" t="s">
        <v>184</v>
      </c>
      <c r="K425" t="s">
        <v>51</v>
      </c>
      <c r="L425" t="s">
        <v>24</v>
      </c>
      <c r="N425" t="s">
        <v>31</v>
      </c>
      <c r="P425" s="3">
        <v>84</v>
      </c>
      <c r="Q425" t="str">
        <f>LEFT(B425, 4)</f>
        <v>Asus</v>
      </c>
      <c r="R425" t="str">
        <f t="shared" ref="R425:R432" si="47">LEFT(H425, 21)</f>
        <v>AMD Quad-Core Ryzen 5</v>
      </c>
      <c r="S425" t="str">
        <f t="shared" si="43"/>
        <v>16 GB</v>
      </c>
    </row>
    <row r="426" spans="1:19">
      <c r="A426" t="str">
        <f>LEFT(B426, LEN(B426)-15)</f>
        <v>MSI Bravo 15 B5ED-034IN Laptop (AMD Octa Core Ryzen 7/8 GB/512 GB SSD/Windows 11/4 GB)</v>
      </c>
      <c r="B426" t="s">
        <v>784</v>
      </c>
      <c r="C426" s="1">
        <v>59037</v>
      </c>
      <c r="D426" s="1">
        <v>1244</v>
      </c>
      <c r="E426" s="2">
        <v>88</v>
      </c>
      <c r="F426" s="2" t="str" cm="1">
        <f t="array" ref="F426">_xlfn.IFS(AND(101&gt;E426, E426&gt;69), "Top-Tier", AND(70&gt;E426, E426&gt;39), "Mid-Tier", 40&gt;E426, "Low-Tier")</f>
        <v>Top-Tier</v>
      </c>
      <c r="G426" s="4">
        <v>45047</v>
      </c>
      <c r="H426" t="s">
        <v>772</v>
      </c>
      <c r="I426" t="s">
        <v>33</v>
      </c>
      <c r="J426" t="s">
        <v>50</v>
      </c>
      <c r="K426" t="s">
        <v>51</v>
      </c>
      <c r="L426" t="s">
        <v>24</v>
      </c>
      <c r="N426" t="s">
        <v>31</v>
      </c>
      <c r="P426" s="3">
        <v>77</v>
      </c>
      <c r="Q426" t="str">
        <f>LEFT(B426, 3)</f>
        <v>MSI</v>
      </c>
      <c r="R426" t="str">
        <f t="shared" si="47"/>
        <v>AMD Quad-Core Ryzen 5</v>
      </c>
      <c r="S426" t="str">
        <f t="shared" si="43"/>
        <v xml:space="preserve">8 GB </v>
      </c>
    </row>
    <row r="427" spans="1:19">
      <c r="A427" t="str">
        <f>LEFT(B427, LEN(B427)-15)</f>
        <v>MSI GF63 Thin 11SC-1400IN Laptop (Core i5 11th Gen/16 GB/512 GB SSD/Windows 11/4 GB)</v>
      </c>
      <c r="B427" t="s">
        <v>785</v>
      </c>
      <c r="C427" s="1">
        <v>53990</v>
      </c>
      <c r="D427" s="1">
        <v>1158</v>
      </c>
      <c r="E427" s="2">
        <v>88</v>
      </c>
      <c r="F427" s="2" t="str" cm="1">
        <f t="array" ref="F427">_xlfn.IFS(AND(101&gt;E427, E427&gt;69), "Top-Tier", AND(70&gt;E427, E427&gt;39), "Mid-Tier", 40&gt;E427, "Low-Tier")</f>
        <v>Top-Tier</v>
      </c>
      <c r="G427" s="4">
        <v>45017</v>
      </c>
      <c r="H427" t="s">
        <v>786</v>
      </c>
      <c r="I427" t="s">
        <v>33</v>
      </c>
      <c r="J427" t="s">
        <v>34</v>
      </c>
      <c r="K427" t="s">
        <v>51</v>
      </c>
      <c r="L427" t="s">
        <v>24</v>
      </c>
      <c r="N427" t="s">
        <v>31</v>
      </c>
      <c r="P427" s="3">
        <v>75</v>
      </c>
      <c r="Q427" t="str">
        <f>LEFT(B427, 3)</f>
        <v>MSI</v>
      </c>
      <c r="R427" t="str">
        <f t="shared" si="47"/>
        <v>AMD Quad-Core Ryzen 5</v>
      </c>
      <c r="S427" t="str">
        <f t="shared" si="43"/>
        <v>16 GB</v>
      </c>
    </row>
    <row r="428" spans="1:19">
      <c r="A428" t="str">
        <f>LEFT(B428, LEN(B428)-15)</f>
        <v>MSI Katana GF66 12UC-1004IN Laptop (Core i7 12th Gen/16 GB/512 GB SSD/Windows 11/4 GB)</v>
      </c>
      <c r="B428" t="s">
        <v>787</v>
      </c>
      <c r="C428" s="1">
        <v>85990</v>
      </c>
      <c r="D428" s="1">
        <v>31</v>
      </c>
      <c r="E428" s="2">
        <v>88</v>
      </c>
      <c r="F428" s="2" t="str" cm="1">
        <f t="array" ref="F428">_xlfn.IFS(AND(101&gt;E428, E428&gt;69), "Top-Tier", AND(70&gt;E428, E428&gt;39), "Mid-Tier", 40&gt;E428, "Low-Tier")</f>
        <v>Top-Tier</v>
      </c>
      <c r="G428" s="4">
        <v>45017</v>
      </c>
      <c r="H428" t="s">
        <v>786</v>
      </c>
      <c r="I428" t="s">
        <v>33</v>
      </c>
      <c r="J428" t="s">
        <v>34</v>
      </c>
      <c r="K428" t="s">
        <v>51</v>
      </c>
      <c r="L428" t="s">
        <v>24</v>
      </c>
      <c r="N428" t="s">
        <v>31</v>
      </c>
      <c r="P428" s="3">
        <v>80</v>
      </c>
      <c r="Q428" t="str">
        <f>LEFT(B428, 3)</f>
        <v>MSI</v>
      </c>
      <c r="R428" t="str">
        <f t="shared" si="47"/>
        <v>AMD Quad-Core Ryzen 5</v>
      </c>
      <c r="S428" t="str">
        <f t="shared" si="43"/>
        <v>16 GB</v>
      </c>
    </row>
    <row r="429" spans="1:19">
      <c r="A429" t="str">
        <f>LEFT(B429, LEN(B429)-15)</f>
        <v>MSI Katana 15 B12UDXK-1004IN Laptop (Core i7 12th Gen/16 GB/512 GB SSD/Windows 11/6 GB)</v>
      </c>
      <c r="B429" t="s">
        <v>788</v>
      </c>
      <c r="C429" s="1">
        <v>85990</v>
      </c>
      <c r="D429" s="1">
        <v>13</v>
      </c>
      <c r="E429" s="2">
        <v>88</v>
      </c>
      <c r="F429" s="2" t="str" cm="1">
        <f t="array" ref="F429">_xlfn.IFS(AND(101&gt;E429, E429&gt;69), "Top-Tier", AND(70&gt;E429, E429&gt;39), "Mid-Tier", 40&gt;E429, "Low-Tier")</f>
        <v>Top-Tier</v>
      </c>
      <c r="G429" s="4">
        <v>45017</v>
      </c>
      <c r="H429" t="s">
        <v>786</v>
      </c>
      <c r="I429" t="s">
        <v>33</v>
      </c>
      <c r="J429" t="s">
        <v>54</v>
      </c>
      <c r="K429" t="s">
        <v>51</v>
      </c>
      <c r="L429" t="s">
        <v>24</v>
      </c>
      <c r="N429" t="s">
        <v>31</v>
      </c>
      <c r="P429" s="3">
        <v>87</v>
      </c>
      <c r="Q429" t="str">
        <f>LEFT(B429, 3)</f>
        <v>MSI</v>
      </c>
      <c r="R429" t="str">
        <f t="shared" si="47"/>
        <v>AMD Quad-Core Ryzen 5</v>
      </c>
      <c r="S429" t="str">
        <f t="shared" si="43"/>
        <v>16 GB</v>
      </c>
    </row>
    <row r="430" spans="1:19">
      <c r="A430" t="str">
        <f>LEFT(B430, LEN(B430)-15)</f>
        <v>MSI Katana GF66 12UC-880IN Laptop (Core i7 12th Gen/8 GB/512 GB SSD/Windows 11/4 GB)</v>
      </c>
      <c r="B430" t="s">
        <v>789</v>
      </c>
      <c r="C430" s="1">
        <v>67999</v>
      </c>
      <c r="D430" s="1">
        <v>31</v>
      </c>
      <c r="E430" s="2">
        <v>88</v>
      </c>
      <c r="F430" s="2" t="str" cm="1">
        <f t="array" ref="F430">_xlfn.IFS(AND(101&gt;E430, E430&gt;69), "Top-Tier", AND(70&gt;E430, E430&gt;39), "Mid-Tier", 40&gt;E430, "Low-Tier")</f>
        <v>Top-Tier</v>
      </c>
      <c r="G430" s="4">
        <v>45017</v>
      </c>
      <c r="H430" t="s">
        <v>786</v>
      </c>
      <c r="I430" t="s">
        <v>33</v>
      </c>
      <c r="J430" t="s">
        <v>50</v>
      </c>
      <c r="K430" t="s">
        <v>51</v>
      </c>
      <c r="L430" t="s">
        <v>24</v>
      </c>
      <c r="N430" t="s">
        <v>31</v>
      </c>
      <c r="P430" s="3">
        <v>81</v>
      </c>
      <c r="Q430" t="str">
        <f>LEFT(B430, 3)</f>
        <v>MSI</v>
      </c>
      <c r="R430" t="str">
        <f t="shared" si="47"/>
        <v>AMD Quad-Core Ryzen 5</v>
      </c>
      <c r="S430" t="str">
        <f t="shared" si="43"/>
        <v xml:space="preserve">8 GB </v>
      </c>
    </row>
    <row r="431" spans="1:19">
      <c r="A431" t="str">
        <f>LEFT(B431, LEN(B431)-15)</f>
        <v>Asus VivoBook 16 X1605VAB-MB322WS Laptop (Core i3 13th Gen/8 GB/512 GB SSD/Windows 11)</v>
      </c>
      <c r="B431" t="s">
        <v>790</v>
      </c>
      <c r="C431" s="1">
        <v>42990</v>
      </c>
      <c r="D431" s="1">
        <v>216</v>
      </c>
      <c r="E431" s="2">
        <v>88</v>
      </c>
      <c r="F431" s="2" t="str" cm="1">
        <f t="array" ref="F431">_xlfn.IFS(AND(101&gt;E431, E431&gt;69), "Top-Tier", AND(70&gt;E431, E431&gt;39), "Mid-Tier", 40&gt;E431, "Low-Tier")</f>
        <v>Top-Tier</v>
      </c>
      <c r="G431" s="4">
        <v>45017</v>
      </c>
      <c r="H431" t="s">
        <v>786</v>
      </c>
      <c r="I431" t="s">
        <v>33</v>
      </c>
      <c r="J431" t="s">
        <v>50</v>
      </c>
      <c r="K431" t="s">
        <v>155</v>
      </c>
      <c r="L431" t="s">
        <v>24</v>
      </c>
      <c r="N431" t="s">
        <v>31</v>
      </c>
      <c r="Q431" t="str">
        <f>LEFT(B431, 4)</f>
        <v>Asus</v>
      </c>
      <c r="R431" t="str">
        <f t="shared" si="47"/>
        <v>AMD Quad-Core Ryzen 5</v>
      </c>
      <c r="S431" t="str">
        <f t="shared" si="43"/>
        <v xml:space="preserve">8 GB </v>
      </c>
    </row>
    <row r="432" spans="1:19">
      <c r="A432" t="str">
        <f>LEFT(B432, LEN(B432)-15)</f>
        <v>Asus ZenBook S13 OLED UX5304VA-NQ541WS Laptop (Core i5 13th Gen/16 GB/512 GB SSD/Windows 11)</v>
      </c>
      <c r="B432" t="s">
        <v>791</v>
      </c>
      <c r="C432" s="1">
        <v>88595</v>
      </c>
      <c r="D432" s="1">
        <v>10</v>
      </c>
      <c r="E432" s="2">
        <v>88</v>
      </c>
      <c r="F432" s="2" t="str" cm="1">
        <f t="array" ref="F432">_xlfn.IFS(AND(101&gt;E432, E432&gt;69), "Top-Tier", AND(70&gt;E432, E432&gt;39), "Mid-Tier", 40&gt;E432, "Low-Tier")</f>
        <v>Top-Tier</v>
      </c>
      <c r="G432" s="4">
        <v>45017</v>
      </c>
      <c r="H432" t="s">
        <v>786</v>
      </c>
      <c r="I432" t="s">
        <v>33</v>
      </c>
      <c r="J432" t="s">
        <v>121</v>
      </c>
      <c r="K432" t="s">
        <v>131</v>
      </c>
      <c r="L432" t="s">
        <v>24</v>
      </c>
      <c r="M432" t="s">
        <v>792</v>
      </c>
      <c r="N432" t="s">
        <v>31</v>
      </c>
      <c r="P432" s="3">
        <v>77</v>
      </c>
      <c r="Q432" t="str">
        <f>LEFT(B432, 4)</f>
        <v>Asus</v>
      </c>
      <c r="R432" t="str">
        <f t="shared" si="47"/>
        <v>AMD Quad-Core Ryzen 5</v>
      </c>
      <c r="S432" t="str">
        <f t="shared" si="43"/>
        <v>16 GB</v>
      </c>
    </row>
    <row r="433" spans="1:19">
      <c r="A433" t="str">
        <f>LEFT(B433, LEN(B433)-15)</f>
        <v>Asus Vivobook Go 15 OLED E1504FA-LK521WS Laptop (AMD Quad Core Ryzen 5/8 GB/512 GB SSD/Windows 11)</v>
      </c>
      <c r="B433" t="s">
        <v>793</v>
      </c>
      <c r="C433" s="1">
        <v>45990</v>
      </c>
      <c r="D433" s="1">
        <v>1452</v>
      </c>
      <c r="E433" s="2">
        <v>88</v>
      </c>
      <c r="F433" s="2" t="str" cm="1">
        <f t="array" ref="F433">_xlfn.IFS(AND(101&gt;E433, E433&gt;69), "Top-Tier", AND(70&gt;E433, E433&gt;39), "Mid-Tier", 40&gt;E433, "Low-Tier")</f>
        <v>Top-Tier</v>
      </c>
      <c r="G433" s="4">
        <v>44986</v>
      </c>
      <c r="H433" t="s">
        <v>786</v>
      </c>
      <c r="I433" t="s">
        <v>33</v>
      </c>
      <c r="J433" t="s">
        <v>162</v>
      </c>
      <c r="K433" t="s">
        <v>215</v>
      </c>
      <c r="L433" t="s">
        <v>24</v>
      </c>
      <c r="M433" t="s">
        <v>95</v>
      </c>
      <c r="P433" s="3">
        <v>71</v>
      </c>
      <c r="Q433" t="str">
        <f>LEFT(B433, 4)</f>
        <v>Asus</v>
      </c>
      <c r="R433" t="str">
        <f>LEFT(H433, 21)</f>
        <v>AMD Quad-Core Ryzen 5</v>
      </c>
      <c r="S433" t="str">
        <f t="shared" si="43"/>
        <v xml:space="preserve">8 GB </v>
      </c>
    </row>
    <row r="434" spans="1:19">
      <c r="A434" t="str">
        <f>LEFT(B434, LEN(B434)-15)</f>
        <v>Asus Vivobook Go 15 OLED E1504FA-LK322WS Laptop (AMD Quad Core Ryzen 3/8 GB/512 GB SSD/Windows 11)</v>
      </c>
      <c r="B434" t="s">
        <v>794</v>
      </c>
      <c r="C434" s="1">
        <v>36990</v>
      </c>
      <c r="D434" s="1">
        <v>1825</v>
      </c>
      <c r="E434" s="2">
        <v>88</v>
      </c>
      <c r="F434" s="2" t="str" cm="1">
        <f t="array" ref="F434">_xlfn.IFS(AND(101&gt;E434, E434&gt;69), "Top-Tier", AND(70&gt;E434, E434&gt;39), "Mid-Tier", 40&gt;E434, "Low-Tier")</f>
        <v>Top-Tier</v>
      </c>
      <c r="G434" s="4">
        <v>44986</v>
      </c>
      <c r="H434" t="s">
        <v>786</v>
      </c>
      <c r="I434" t="s">
        <v>33</v>
      </c>
      <c r="J434" t="s">
        <v>162</v>
      </c>
      <c r="K434" t="s">
        <v>215</v>
      </c>
      <c r="L434" t="s">
        <v>24</v>
      </c>
      <c r="M434" t="s">
        <v>95</v>
      </c>
      <c r="Q434" t="str">
        <f>LEFT(B434, 4)</f>
        <v>Asus</v>
      </c>
      <c r="R434" t="str">
        <f t="shared" ref="R434:R436" si="48">LEFT(H434, 21)</f>
        <v>AMD Quad-Core Ryzen 5</v>
      </c>
      <c r="S434" t="str">
        <f t="shared" si="43"/>
        <v xml:space="preserve">8 GB </v>
      </c>
    </row>
    <row r="435" spans="1:19">
      <c r="A435" t="str">
        <f>LEFT(B435, LEN(B435)-15)</f>
        <v>Asus ROG Strix Scar 16 G634JZ-NM057WS Laptop (Core i9 13th Gen/32 GB/1 TB SSD/Windows 11/12 GB)</v>
      </c>
      <c r="B435" t="s">
        <v>795</v>
      </c>
      <c r="C435" s="1">
        <v>229990</v>
      </c>
      <c r="D435" s="1">
        <v>8</v>
      </c>
      <c r="E435" s="2">
        <v>88</v>
      </c>
      <c r="F435" s="2" t="str" cm="1">
        <f t="array" ref="F435">_xlfn.IFS(AND(101&gt;E435, E435&gt;69), "Top-Tier", AND(70&gt;E435, E435&gt;39), "Mid-Tier", 40&gt;E435, "Low-Tier")</f>
        <v>Top-Tier</v>
      </c>
      <c r="G435" s="4">
        <v>44986</v>
      </c>
      <c r="H435" t="s">
        <v>796</v>
      </c>
      <c r="I435" t="s">
        <v>33</v>
      </c>
      <c r="J435" t="s">
        <v>144</v>
      </c>
      <c r="K435" t="s">
        <v>117</v>
      </c>
      <c r="L435" t="s">
        <v>24</v>
      </c>
      <c r="N435" t="s">
        <v>31</v>
      </c>
      <c r="Q435" t="str">
        <f>LEFT(B435, 4)</f>
        <v>Asus</v>
      </c>
      <c r="R435" t="str">
        <f t="shared" si="48"/>
        <v>AMD Quad-Core Ryzen 5</v>
      </c>
      <c r="S435" t="str">
        <f t="shared" si="43"/>
        <v>32 GB</v>
      </c>
    </row>
    <row r="436" spans="1:19">
      <c r="A436" t="str">
        <f>LEFT(B436, LEN(B436)-15)</f>
        <v>HP Chromebook x360 13b-ca0006MU (7E8Z7PA) Laptop (MediaTek Octa Core/8 GB/256 GB SSD/Google Chrome)</v>
      </c>
      <c r="B436" t="s">
        <v>797</v>
      </c>
      <c r="C436" s="1">
        <v>46150</v>
      </c>
      <c r="D436" s="1">
        <v>39</v>
      </c>
      <c r="E436" s="2">
        <v>88</v>
      </c>
      <c r="F436" s="2" t="str" cm="1">
        <f t="array" ref="F436">_xlfn.IFS(AND(101&gt;E436, E436&gt;69), "Top-Tier", AND(70&gt;E436, E436&gt;39), "Mid-Tier", 40&gt;E436, "Low-Tier")</f>
        <v>Top-Tier</v>
      </c>
      <c r="G436" s="4">
        <v>44986</v>
      </c>
      <c r="H436" t="s">
        <v>796</v>
      </c>
      <c r="I436" t="s">
        <v>735</v>
      </c>
      <c r="J436" t="s">
        <v>798</v>
      </c>
      <c r="K436" t="s">
        <v>799</v>
      </c>
      <c r="L436" t="s">
        <v>24</v>
      </c>
      <c r="M436" t="s">
        <v>800</v>
      </c>
      <c r="Q436" t="str">
        <f>LEFT(B436, 2)</f>
        <v>HP</v>
      </c>
      <c r="R436" t="str">
        <f t="shared" si="48"/>
        <v>AMD Quad-Core Ryzen 5</v>
      </c>
      <c r="S436" t="str">
        <f t="shared" si="43"/>
        <v xml:space="preserve">8 GB </v>
      </c>
    </row>
    <row r="437" spans="1:19">
      <c r="A437" t="str">
        <f>LEFT(B437, LEN(B437)-15)</f>
        <v>Acer Nitro 5 AN515-47 (NH.QL3SI.001) Laptop (AMD Hexa Core Ryzen 5/8 GB/512 GB SSD/Windows 11/4)</v>
      </c>
      <c r="B437" t="s">
        <v>801</v>
      </c>
      <c r="C437" s="1">
        <v>57590</v>
      </c>
      <c r="D437" s="1">
        <v>57</v>
      </c>
      <c r="E437" s="2">
        <v>88</v>
      </c>
      <c r="F437" s="2" t="str" cm="1">
        <f t="array" ref="F437">_xlfn.IFS(AND(101&gt;E437, E437&gt;69), "Top-Tier", AND(70&gt;E437, E437&gt;39), "Mid-Tier", 40&gt;E437, "Low-Tier")</f>
        <v>Top-Tier</v>
      </c>
      <c r="G437" s="4">
        <v>44986</v>
      </c>
      <c r="H437" t="s">
        <v>796</v>
      </c>
      <c r="I437" t="s">
        <v>33</v>
      </c>
      <c r="J437" t="s">
        <v>119</v>
      </c>
      <c r="K437" t="s">
        <v>159</v>
      </c>
      <c r="L437" t="s">
        <v>24</v>
      </c>
      <c r="N437" t="s">
        <v>31</v>
      </c>
      <c r="P437" s="3">
        <v>75</v>
      </c>
      <c r="Q437" t="str">
        <f>LEFT(B437, 4)</f>
        <v>Acer</v>
      </c>
      <c r="R437" t="str">
        <f t="shared" ref="R437:R438" si="49">LEFT(H437, 21)</f>
        <v>AMD Quad-Core Ryzen 5</v>
      </c>
      <c r="S437" t="str">
        <f t="shared" si="43"/>
        <v xml:space="preserve">8 GB </v>
      </c>
    </row>
    <row r="438" spans="1:19">
      <c r="A438" t="str">
        <f>LEFT(B438, LEN(B438)-15)</f>
        <v>Asus VivoBook Go E1504FA-LK522WS Laptop (AMD Quad Core Ryzen 5/8 GB/512 GB SSD/Windows 11)</v>
      </c>
      <c r="B438" t="s">
        <v>802</v>
      </c>
      <c r="C438" s="1">
        <v>45990</v>
      </c>
      <c r="D438" s="1">
        <v>1452</v>
      </c>
      <c r="E438" s="2">
        <v>88</v>
      </c>
      <c r="F438" s="2" t="str" cm="1">
        <f t="array" ref="F438">_xlfn.IFS(AND(101&gt;E438, E438&gt;69), "Top-Tier", AND(70&gt;E438, E438&gt;39), "Mid-Tier", 40&gt;E438, "Low-Tier")</f>
        <v>Top-Tier</v>
      </c>
      <c r="G438" s="4">
        <v>44986</v>
      </c>
      <c r="H438" t="s">
        <v>796</v>
      </c>
      <c r="I438" t="s">
        <v>33</v>
      </c>
      <c r="J438" t="s">
        <v>162</v>
      </c>
      <c r="K438" t="s">
        <v>215</v>
      </c>
      <c r="L438" t="s">
        <v>24</v>
      </c>
      <c r="M438" t="s">
        <v>95</v>
      </c>
      <c r="P438" s="3">
        <v>71</v>
      </c>
      <c r="Q438" t="str">
        <f>LEFT(B438, 4)</f>
        <v>Asus</v>
      </c>
      <c r="R438" t="str">
        <f>LEFT(H438, 21)</f>
        <v>AMD Quad-Core Ryzen 5</v>
      </c>
      <c r="S438" t="str">
        <f t="shared" si="43"/>
        <v xml:space="preserve">8 GB </v>
      </c>
    </row>
    <row r="439" spans="1:19">
      <c r="A439" t="str">
        <f>LEFT(B439, LEN(B439)-15)</f>
        <v>Asus Vivobook 16 M1605YA-MB541WS Laptop (AMD Hexa Core Ryzen 5/16 GB/512 GB SSD/Windows 11)</v>
      </c>
      <c r="B439" t="s">
        <v>803</v>
      </c>
      <c r="C439" s="1">
        <v>74990</v>
      </c>
      <c r="D439" s="1">
        <v>285</v>
      </c>
      <c r="E439" s="2">
        <v>88</v>
      </c>
      <c r="F439" s="2" t="str" cm="1">
        <f t="array" ref="F439">_xlfn.IFS(AND(101&gt;E439, E439&gt;69), "Top-Tier", AND(70&gt;E439, E439&gt;39), "Mid-Tier", 40&gt;E439, "Low-Tier")</f>
        <v>Top-Tier</v>
      </c>
      <c r="G439" s="4">
        <v>44986</v>
      </c>
      <c r="H439" t="s">
        <v>796</v>
      </c>
      <c r="I439" t="s">
        <v>33</v>
      </c>
      <c r="J439" t="s">
        <v>34</v>
      </c>
      <c r="K439" t="s">
        <v>155</v>
      </c>
      <c r="L439" t="s">
        <v>24</v>
      </c>
      <c r="M439" t="s">
        <v>52</v>
      </c>
      <c r="N439" t="s">
        <v>31</v>
      </c>
      <c r="Q439" t="str">
        <f>LEFT(B439, 4)</f>
        <v>Asus</v>
      </c>
      <c r="R439" t="str">
        <f>LEFT(H438, 21)</f>
        <v>AMD Quad-Core Ryzen 5</v>
      </c>
      <c r="S439" t="str">
        <f t="shared" si="43"/>
        <v>16 GB</v>
      </c>
    </row>
    <row r="440" spans="1:19">
      <c r="A440" t="str">
        <f>LEFT(B440, LEN(B440)-15)</f>
        <v>Asus Zenbook 14 OLED UM3402YA-KM551WS Laptop (AMD Hexa Core Ryzen 5/16 GB/1 TB SSD/Windows 11)</v>
      </c>
      <c r="B440" t="s">
        <v>804</v>
      </c>
      <c r="C440" s="1">
        <v>77990</v>
      </c>
      <c r="D440" s="1">
        <v>37</v>
      </c>
      <c r="E440" s="2">
        <v>88</v>
      </c>
      <c r="F440" s="2" t="str" cm="1">
        <f t="array" ref="F440">_xlfn.IFS(AND(101&gt;E440, E440&gt;69), "Top-Tier", AND(70&gt;E440, E440&gt;39), "Mid-Tier", 40&gt;E440, "Low-Tier")</f>
        <v>Top-Tier</v>
      </c>
      <c r="G440" s="4">
        <v>44986</v>
      </c>
      <c r="H440" t="s">
        <v>796</v>
      </c>
      <c r="I440" t="s">
        <v>33</v>
      </c>
      <c r="J440" t="s">
        <v>329</v>
      </c>
      <c r="K440" t="s">
        <v>81</v>
      </c>
      <c r="L440" t="s">
        <v>24</v>
      </c>
      <c r="M440" t="s">
        <v>178</v>
      </c>
      <c r="P440" s="3">
        <v>72</v>
      </c>
      <c r="Q440" t="str">
        <f>LEFT(B440, 4)</f>
        <v>Asus</v>
      </c>
      <c r="R440" t="str">
        <f t="shared" ref="R440" si="50">LEFT(H440, 21)</f>
        <v>AMD Quad-Core Ryzen 5</v>
      </c>
      <c r="S440" t="str">
        <f t="shared" si="43"/>
        <v>16 GB</v>
      </c>
    </row>
    <row r="441" spans="1:19">
      <c r="A441" t="str">
        <f>LEFT(B441, LEN(B441)-15)</f>
        <v>HP Pavilion Aero 13-be2047AU (7S450PA) Laptop (AMD Octa Core Ryzen 7/16 GB/1 TB SSD/Windows 11)</v>
      </c>
      <c r="B441" t="s">
        <v>805</v>
      </c>
      <c r="C441" s="1">
        <v>63999</v>
      </c>
      <c r="D441" s="1">
        <v>143</v>
      </c>
      <c r="E441" s="2">
        <v>88</v>
      </c>
      <c r="F441" s="2" t="str" cm="1">
        <f t="array" ref="F441">_xlfn.IFS(AND(101&gt;E441, E441&gt;69), "Top-Tier", AND(70&gt;E441, E441&gt;39), "Mid-Tier", 40&gt;E441, "Low-Tier")</f>
        <v>Top-Tier</v>
      </c>
      <c r="G441" s="4">
        <v>44986</v>
      </c>
      <c r="H441" t="s">
        <v>796</v>
      </c>
      <c r="I441" t="s">
        <v>33</v>
      </c>
      <c r="J441" t="s">
        <v>72</v>
      </c>
      <c r="K441" t="s">
        <v>806</v>
      </c>
      <c r="L441" t="s">
        <v>24</v>
      </c>
      <c r="N441" t="s">
        <v>31</v>
      </c>
      <c r="P441" s="3">
        <v>77</v>
      </c>
      <c r="Q441" t="str">
        <f>LEFT(B441, 2)</f>
        <v>HP</v>
      </c>
      <c r="R441" t="str">
        <f>LEFT(H441, 21)</f>
        <v>AMD Quad-Core Ryzen 5</v>
      </c>
      <c r="S441" t="str">
        <f t="shared" si="43"/>
        <v>16 GB</v>
      </c>
    </row>
    <row r="442" spans="1:19">
      <c r="A442" t="str">
        <f>LEFT(B442, LEN(B442)-15)</f>
        <v>Asus Vivobook 16 M1605YA-MB531WS Laptop (AMD Hexa Core Ryzen 5/8 GB/1 TB SSD/Windows 11)</v>
      </c>
      <c r="B442" t="s">
        <v>807</v>
      </c>
      <c r="C442" s="1">
        <v>47990</v>
      </c>
      <c r="D442" s="1">
        <v>88</v>
      </c>
      <c r="E442" s="2">
        <v>88</v>
      </c>
      <c r="F442" s="2" t="str" cm="1">
        <f t="array" ref="F442">_xlfn.IFS(AND(101&gt;E442, E442&gt;69), "Top-Tier", AND(70&gt;E442, E442&gt;39), "Mid-Tier", 40&gt;E442, "Low-Tier")</f>
        <v>Top-Tier</v>
      </c>
      <c r="G442" s="4">
        <v>44986</v>
      </c>
      <c r="H442" t="s">
        <v>796</v>
      </c>
      <c r="I442" t="s">
        <v>33</v>
      </c>
      <c r="J442" t="s">
        <v>98</v>
      </c>
      <c r="K442" t="s">
        <v>155</v>
      </c>
      <c r="L442" t="s">
        <v>24</v>
      </c>
      <c r="M442" t="s">
        <v>52</v>
      </c>
      <c r="Q442" t="str">
        <f>LEFT(B442, 4)</f>
        <v>Asus</v>
      </c>
      <c r="R442" t="str">
        <f>LEFT(H441, 21)</f>
        <v>AMD Quad-Core Ryzen 5</v>
      </c>
      <c r="S442" t="str">
        <f t="shared" si="43"/>
        <v xml:space="preserve">8 GB </v>
      </c>
    </row>
    <row r="443" spans="1:19">
      <c r="A443" t="str">
        <f>LEFT(B443, LEN(B443)-15)</f>
        <v>Samsung Galaxy Book 3 NP750XFG-KA3IN Laptop (Core i7 13th Gen/16 GB/512 GB SSD/Windows 11)</v>
      </c>
      <c r="B443" t="s">
        <v>808</v>
      </c>
      <c r="C443" s="1">
        <v>62990</v>
      </c>
      <c r="D443" s="1">
        <v>602</v>
      </c>
      <c r="E443" s="2">
        <v>88</v>
      </c>
      <c r="F443" s="2" t="str" cm="1">
        <f t="array" ref="F443">_xlfn.IFS(AND(101&gt;E443, E443&gt;69), "Top-Tier", AND(70&gt;E443, E443&gt;39), "Mid-Tier", 40&gt;E443, "Low-Tier")</f>
        <v>Top-Tier</v>
      </c>
      <c r="G443" s="4">
        <v>44986</v>
      </c>
      <c r="H443" t="s">
        <v>796</v>
      </c>
      <c r="I443" t="s">
        <v>33</v>
      </c>
      <c r="J443" t="s">
        <v>214</v>
      </c>
      <c r="K443" t="s">
        <v>51</v>
      </c>
      <c r="L443" t="s">
        <v>24</v>
      </c>
      <c r="M443" t="s">
        <v>357</v>
      </c>
      <c r="N443" t="s">
        <v>31</v>
      </c>
      <c r="P443" s="3">
        <v>76</v>
      </c>
      <c r="Q443" t="str">
        <f>LEFT(B443, 7)</f>
        <v>Samsung</v>
      </c>
      <c r="R443" t="str">
        <f t="shared" ref="R443:R444" si="51">LEFT(H442, 21)</f>
        <v>AMD Quad-Core Ryzen 5</v>
      </c>
      <c r="S443" t="str">
        <f t="shared" si="43"/>
        <v>16 GB</v>
      </c>
    </row>
    <row r="444" spans="1:19">
      <c r="A444" t="str">
        <f>LEFT(B444, LEN(B444)-15)</f>
        <v>Samsung Galaxy Book 3 NP750XFG-KA2IN Laptop (Core i5 13th Gen/16 GB/512 GB SSD/Windows 11)</v>
      </c>
      <c r="B444" t="s">
        <v>809</v>
      </c>
      <c r="C444" s="1">
        <v>69990</v>
      </c>
      <c r="D444" s="1">
        <v>976</v>
      </c>
      <c r="E444" s="2">
        <v>88</v>
      </c>
      <c r="F444" s="2" t="str" cm="1">
        <f t="array" ref="F444">_xlfn.IFS(AND(101&gt;E444, E444&gt;69), "Top-Tier", AND(70&gt;E444, E444&gt;39), "Mid-Tier", 40&gt;E444, "Low-Tier")</f>
        <v>Top-Tier</v>
      </c>
      <c r="G444" s="4">
        <v>44986</v>
      </c>
      <c r="H444" t="s">
        <v>796</v>
      </c>
      <c r="I444" t="s">
        <v>33</v>
      </c>
      <c r="J444" t="s">
        <v>214</v>
      </c>
      <c r="K444" t="s">
        <v>51</v>
      </c>
      <c r="L444" t="s">
        <v>24</v>
      </c>
      <c r="M444" t="s">
        <v>357</v>
      </c>
      <c r="N444" t="s">
        <v>31</v>
      </c>
      <c r="P444" s="3">
        <v>75</v>
      </c>
      <c r="Q444" t="str">
        <f>LEFT(B444, 7)</f>
        <v>Samsung</v>
      </c>
      <c r="R444" t="str">
        <f t="shared" si="51"/>
        <v>AMD Quad-Core Ryzen 5</v>
      </c>
      <c r="S444" t="str">
        <f t="shared" si="43"/>
        <v>16 GB</v>
      </c>
    </row>
    <row r="445" spans="1:19">
      <c r="A445" t="str">
        <f>LEFT(B445, LEN(B445)-15)</f>
        <v>HP Victus 15-fb0888AX (7K0C4PA) Laptop (AMD Hexa Core Ryzen 5/8 GB/512 GB SSD/Windows 11/4 GB)</v>
      </c>
      <c r="B445" t="s">
        <v>810</v>
      </c>
      <c r="C445" s="1">
        <v>61499</v>
      </c>
      <c r="D445" s="1">
        <v>136</v>
      </c>
      <c r="E445" s="2">
        <v>88</v>
      </c>
      <c r="F445" s="2" t="str" cm="1">
        <f t="array" ref="F445">_xlfn.IFS(AND(101&gt;E445, E445&gt;69), "Top-Tier", AND(70&gt;E445, E445&gt;39), "Mid-Tier", 40&gt;E445, "Low-Tier")</f>
        <v>Top-Tier</v>
      </c>
      <c r="G445" s="4">
        <v>44958</v>
      </c>
      <c r="H445" t="s">
        <v>811</v>
      </c>
      <c r="I445" t="s">
        <v>33</v>
      </c>
      <c r="J445" t="s">
        <v>50</v>
      </c>
      <c r="K445" t="s">
        <v>51</v>
      </c>
      <c r="L445" t="s">
        <v>24</v>
      </c>
      <c r="P445" s="3">
        <v>76</v>
      </c>
      <c r="Q445" t="str">
        <f>LEFT(B445, 2)</f>
        <v>HP</v>
      </c>
      <c r="R445" t="str">
        <f>LEFT(H445, 8)</f>
        <v>Apple M2</v>
      </c>
      <c r="S445" t="str">
        <f t="shared" si="43"/>
        <v xml:space="preserve">8 GB </v>
      </c>
    </row>
    <row r="446" spans="1:19">
      <c r="A446" t="str">
        <f>LEFT(B446, LEN(B446)-15)</f>
        <v>MSI Katana 15 B12VFK-299IN Laptop (Core i7 12th Gen/16 GB/1 TB SSD/Windows 11/8 GB)</v>
      </c>
      <c r="B446" t="s">
        <v>812</v>
      </c>
      <c r="C446" s="1">
        <v>115654</v>
      </c>
      <c r="D446" s="1">
        <v>24</v>
      </c>
      <c r="E446" s="2">
        <v>88</v>
      </c>
      <c r="F446" s="2" t="str" cm="1">
        <f t="array" ref="F446">_xlfn.IFS(AND(101&gt;E446, E446&gt;69), "Top-Tier", AND(70&gt;E446, E446&gt;39), "Mid-Tier", 40&gt;E446, "Low-Tier")</f>
        <v>Top-Tier</v>
      </c>
      <c r="G446" s="4">
        <v>44958</v>
      </c>
      <c r="H446" t="s">
        <v>811</v>
      </c>
      <c r="I446" t="s">
        <v>33</v>
      </c>
      <c r="J446" t="s">
        <v>72</v>
      </c>
      <c r="K446" t="s">
        <v>51</v>
      </c>
      <c r="L446" t="s">
        <v>24</v>
      </c>
      <c r="N446" t="s">
        <v>31</v>
      </c>
      <c r="Q446" t="str">
        <f>LEFT(B446, 3)</f>
        <v>MSI</v>
      </c>
      <c r="R446" t="str">
        <f t="shared" ref="R446:R509" si="52">LEFT(H446, 8)</f>
        <v>Apple M2</v>
      </c>
      <c r="S446" t="str">
        <f t="shared" si="43"/>
        <v>16 GB</v>
      </c>
    </row>
    <row r="447" spans="1:19">
      <c r="A447" t="str">
        <f>LEFT(B447, LEN(B447)-15)</f>
        <v>Asus VivoBook Go 15 OLED E1504FA-LK321WS Laptop (AMD Quad Core Ryzen 3/8 GB/512 GB SSD/Windows 11)</v>
      </c>
      <c r="B447" t="s">
        <v>813</v>
      </c>
      <c r="C447" s="1">
        <v>41990</v>
      </c>
      <c r="D447" s="1">
        <v>1826</v>
      </c>
      <c r="E447" s="2">
        <v>88</v>
      </c>
      <c r="F447" s="2" t="str" cm="1">
        <f t="array" ref="F447">_xlfn.IFS(AND(101&gt;E447, E447&gt;69), "Top-Tier", AND(70&gt;E447, E447&gt;39), "Mid-Tier", 40&gt;E447, "Low-Tier")</f>
        <v>Top-Tier</v>
      </c>
      <c r="G447" s="4">
        <v>44958</v>
      </c>
      <c r="H447" t="s">
        <v>811</v>
      </c>
      <c r="I447" t="s">
        <v>33</v>
      </c>
      <c r="J447" t="s">
        <v>162</v>
      </c>
      <c r="K447" t="s">
        <v>215</v>
      </c>
      <c r="L447" t="s">
        <v>24</v>
      </c>
      <c r="M447" t="s">
        <v>95</v>
      </c>
      <c r="N447" t="s">
        <v>31</v>
      </c>
      <c r="P447" s="3">
        <v>77</v>
      </c>
      <c r="Q447" t="str">
        <f>LEFT(B447, 4)</f>
        <v>Asus</v>
      </c>
      <c r="R447" t="str">
        <f t="shared" si="52"/>
        <v>Apple M2</v>
      </c>
      <c r="S447" t="str">
        <f t="shared" si="43"/>
        <v xml:space="preserve">8 GB </v>
      </c>
    </row>
    <row r="448" spans="1:19">
      <c r="A448" t="str">
        <f>LEFT(B448, LEN(B448)-15)</f>
        <v>Asus VivoBook Go 15 OLED E1504FA-LK523WS Laptop (AMD Quad Core Ryzen 5/8 GB/512 GB SSD/Windows 11)</v>
      </c>
      <c r="B448" t="s">
        <v>814</v>
      </c>
      <c r="C448" s="1">
        <v>45990</v>
      </c>
      <c r="D448" s="1">
        <v>1452</v>
      </c>
      <c r="E448" s="2">
        <v>88</v>
      </c>
      <c r="F448" s="2" t="str" cm="1">
        <f t="array" ref="F448">_xlfn.IFS(AND(101&gt;E448, E448&gt;69), "Top-Tier", AND(70&gt;E448, E448&gt;39), "Mid-Tier", 40&gt;E448, "Low-Tier")</f>
        <v>Top-Tier</v>
      </c>
      <c r="G448" s="4">
        <v>44958</v>
      </c>
      <c r="H448" t="s">
        <v>811</v>
      </c>
      <c r="I448" t="s">
        <v>33</v>
      </c>
      <c r="J448" t="s">
        <v>162</v>
      </c>
      <c r="K448" t="s">
        <v>215</v>
      </c>
      <c r="L448" t="s">
        <v>24</v>
      </c>
      <c r="M448" t="s">
        <v>95</v>
      </c>
      <c r="N448" t="s">
        <v>31</v>
      </c>
      <c r="P448" s="3">
        <v>77</v>
      </c>
      <c r="Q448" t="str">
        <f>LEFT(B448, 4)</f>
        <v>Asus</v>
      </c>
      <c r="R448" t="str">
        <f t="shared" si="52"/>
        <v>Apple M2</v>
      </c>
      <c r="S448" t="str">
        <f t="shared" si="43"/>
        <v xml:space="preserve">8 GB </v>
      </c>
    </row>
    <row r="449" spans="1:19">
      <c r="A449" t="str">
        <f>LEFT(B449, LEN(B449)-15)</f>
        <v>MSI GF65 Thin 10UE-410IN Laptop (Core i7 10th Gen/16 GB/1 TB SSD/Windows 10/6 GB)</v>
      </c>
      <c r="B449" t="s">
        <v>815</v>
      </c>
      <c r="C449" s="1">
        <v>80999</v>
      </c>
      <c r="D449" s="1">
        <v>1012</v>
      </c>
      <c r="E449" s="2">
        <v>88</v>
      </c>
      <c r="F449" s="2" t="str" cm="1">
        <f t="array" ref="F449">_xlfn.IFS(AND(101&gt;E449, E449&gt;69), "Top-Tier", AND(70&gt;E449, E449&gt;39), "Mid-Tier", 40&gt;E449, "Low-Tier")</f>
        <v>Top-Tier</v>
      </c>
      <c r="G449" s="4">
        <v>44866</v>
      </c>
      <c r="H449" t="s">
        <v>816</v>
      </c>
      <c r="I449" t="s">
        <v>248</v>
      </c>
      <c r="J449" t="s">
        <v>184</v>
      </c>
      <c r="K449" t="s">
        <v>249</v>
      </c>
      <c r="L449" t="s">
        <v>24</v>
      </c>
      <c r="M449" t="s">
        <v>113</v>
      </c>
      <c r="N449" t="s">
        <v>31</v>
      </c>
      <c r="O449" t="s">
        <v>291</v>
      </c>
      <c r="Q449" t="str">
        <f>LEFT(B449, 3)</f>
        <v>MSI</v>
      </c>
      <c r="R449" t="str">
        <f t="shared" si="52"/>
        <v>Apple M2</v>
      </c>
      <c r="S449" t="str">
        <f t="shared" ref="S449:S512" si="53">LEFT(J449, 5)</f>
        <v>16 GB</v>
      </c>
    </row>
    <row r="450" spans="1:19">
      <c r="A450" t="str">
        <f>LEFT(B450, LEN(B450)-15)</f>
        <v>Dell Inspiron 14 5406 (D560384WIN9S) Laptop (Core i3 11th Gen/8 GB/512 GB SSD/Windows 10)</v>
      </c>
      <c r="B450" t="s">
        <v>817</v>
      </c>
      <c r="C450" s="1">
        <v>56690</v>
      </c>
      <c r="D450" s="1">
        <v>65</v>
      </c>
      <c r="E450" s="2">
        <v>88</v>
      </c>
      <c r="F450" s="2" t="str" cm="1">
        <f t="array" ref="F450">_xlfn.IFS(AND(101&gt;E450, E450&gt;69), "Top-Tier", AND(70&gt;E450, E450&gt;39), "Mid-Tier", 40&gt;E450, "Low-Tier")</f>
        <v>Top-Tier</v>
      </c>
      <c r="G450" s="4">
        <v>44866</v>
      </c>
      <c r="H450" t="s">
        <v>816</v>
      </c>
      <c r="I450" t="s">
        <v>248</v>
      </c>
      <c r="J450" t="s">
        <v>50</v>
      </c>
      <c r="K450" t="s">
        <v>439</v>
      </c>
      <c r="L450" t="s">
        <v>24</v>
      </c>
      <c r="M450" t="s">
        <v>135</v>
      </c>
      <c r="N450" t="s">
        <v>31</v>
      </c>
      <c r="O450" t="s">
        <v>261</v>
      </c>
      <c r="Q450" t="str">
        <f>LEFT(B450, 4)</f>
        <v>Dell</v>
      </c>
      <c r="R450" t="str">
        <f t="shared" si="52"/>
        <v>Apple M2</v>
      </c>
      <c r="S450" t="str">
        <f t="shared" si="53"/>
        <v xml:space="preserve">8 GB </v>
      </c>
    </row>
    <row r="451" spans="1:19">
      <c r="A451" t="str">
        <f>LEFT(B451, LEN(B451)-15)</f>
        <v>HP Pavilion x360 14-dy0053TU (3X8X2PA) Laptop (Core i5 11th Gen/16 GB/512 GB SSD/Windows 10)</v>
      </c>
      <c r="B451" t="s">
        <v>818</v>
      </c>
      <c r="C451" s="1">
        <v>51000</v>
      </c>
      <c r="D451" s="1">
        <v>518</v>
      </c>
      <c r="E451" s="2">
        <v>88</v>
      </c>
      <c r="F451" s="2" t="str" cm="1">
        <f t="array" ref="F451">_xlfn.IFS(AND(101&gt;E451, E451&gt;69), "Top-Tier", AND(70&gt;E451, E451&gt;39), "Mid-Tier", 40&gt;E451, "Low-Tier")</f>
        <v>Top-Tier</v>
      </c>
      <c r="G451" s="4">
        <v>44866</v>
      </c>
      <c r="H451" t="s">
        <v>819</v>
      </c>
      <c r="I451" t="s">
        <v>248</v>
      </c>
      <c r="J451" t="s">
        <v>34</v>
      </c>
      <c r="K451" t="s">
        <v>439</v>
      </c>
      <c r="L451" t="s">
        <v>24</v>
      </c>
      <c r="M451" t="s">
        <v>250</v>
      </c>
      <c r="N451" t="s">
        <v>31</v>
      </c>
      <c r="P451" s="3">
        <v>73</v>
      </c>
      <c r="Q451" t="str">
        <f>LEFT(B451, 2)</f>
        <v>HP</v>
      </c>
      <c r="R451" t="str">
        <f t="shared" si="52"/>
        <v>Apple M2</v>
      </c>
      <c r="S451" t="str">
        <f t="shared" si="53"/>
        <v>16 GB</v>
      </c>
    </row>
    <row r="452" spans="1:19">
      <c r="A452" t="str">
        <f>LEFT(B452, LEN(B452)-15)</f>
        <v>Acer Aspire 3 A315-23 (NX.HVUSI.00K) Laptop (AMD Quad Core Ryzen 5/8 GB/512 GB SSD/Windows 10)</v>
      </c>
      <c r="B452" t="s">
        <v>820</v>
      </c>
      <c r="C452" s="1">
        <v>41990</v>
      </c>
      <c r="D452" s="1">
        <v>382</v>
      </c>
      <c r="E452" s="2">
        <v>88</v>
      </c>
      <c r="F452" s="2" t="str" cm="1">
        <f t="array" ref="F452">_xlfn.IFS(AND(101&gt;E452, E452&gt;69), "Top-Tier", AND(70&gt;E452, E452&gt;39), "Mid-Tier", 40&gt;E452, "Low-Tier")</f>
        <v>Top-Tier</v>
      </c>
      <c r="G452" s="4">
        <v>44866</v>
      </c>
      <c r="H452" t="s">
        <v>819</v>
      </c>
      <c r="I452" t="s">
        <v>248</v>
      </c>
      <c r="J452" t="s">
        <v>50</v>
      </c>
      <c r="K452" t="s">
        <v>249</v>
      </c>
      <c r="L452" t="s">
        <v>24</v>
      </c>
      <c r="M452" t="s">
        <v>52</v>
      </c>
      <c r="N452" t="s">
        <v>31</v>
      </c>
      <c r="Q452" t="str">
        <f>LEFT(B452, 4)</f>
        <v>Acer</v>
      </c>
      <c r="R452" t="str">
        <f t="shared" si="52"/>
        <v>Apple M2</v>
      </c>
      <c r="S452" t="str">
        <f t="shared" si="53"/>
        <v xml:space="preserve">8 GB </v>
      </c>
    </row>
    <row r="453" spans="1:19">
      <c r="A453" t="str">
        <f>LEFT(B453, LEN(B453)-15)</f>
        <v>MSI GP76 Leopard 11UG-609IN Laptop (Core i7 11th Gen/16 GB/1 TB SSD/Windows 10/8 GB)</v>
      </c>
      <c r="B453" t="s">
        <v>821</v>
      </c>
      <c r="C453" s="1">
        <v>179990</v>
      </c>
      <c r="D453" s="1">
        <v>29</v>
      </c>
      <c r="E453" s="2">
        <v>88</v>
      </c>
      <c r="F453" s="2" t="str" cm="1">
        <f t="array" ref="F453">_xlfn.IFS(AND(101&gt;E453, E453&gt;69), "Top-Tier", AND(70&gt;E453, E453&gt;39), "Mid-Tier", 40&gt;E453, "Low-Tier")</f>
        <v>Top-Tier</v>
      </c>
      <c r="G453" s="4">
        <v>44866</v>
      </c>
      <c r="H453" t="s">
        <v>819</v>
      </c>
      <c r="I453" t="s">
        <v>248</v>
      </c>
      <c r="J453" t="s">
        <v>184</v>
      </c>
      <c r="K453" t="s">
        <v>537</v>
      </c>
      <c r="L453" t="s">
        <v>24</v>
      </c>
      <c r="N453" t="s">
        <v>31</v>
      </c>
      <c r="P453" s="3">
        <v>82</v>
      </c>
      <c r="Q453" t="str">
        <f>LEFT(B453, 3)</f>
        <v>MSI</v>
      </c>
      <c r="R453" t="str">
        <f t="shared" si="52"/>
        <v>Apple M2</v>
      </c>
      <c r="S453" t="str">
        <f t="shared" si="53"/>
        <v>16 GB</v>
      </c>
    </row>
    <row r="454" spans="1:19">
      <c r="A454" t="str">
        <f>LEFT(B454, LEN(B454)-15)</f>
        <v>MSI GS66 Stealth 11UG-418IN Laptop (Core i7 11th Gen/16 GB/1 TB SSD/Windows 10/16 GB)</v>
      </c>
      <c r="B454" t="s">
        <v>822</v>
      </c>
      <c r="C454" s="1">
        <v>111999</v>
      </c>
      <c r="D454" s="1">
        <v>7</v>
      </c>
      <c r="E454" s="2">
        <v>88</v>
      </c>
      <c r="F454" s="2" t="str" cm="1">
        <f t="array" ref="F454">_xlfn.IFS(AND(101&gt;E454, E454&gt;69), "Top-Tier", AND(70&gt;E454, E454&gt;39), "Mid-Tier", 40&gt;E454, "Low-Tier")</f>
        <v>Top-Tier</v>
      </c>
      <c r="G454" s="4">
        <v>44866</v>
      </c>
      <c r="H454" t="s">
        <v>819</v>
      </c>
      <c r="I454" t="s">
        <v>248</v>
      </c>
      <c r="J454" t="s">
        <v>184</v>
      </c>
      <c r="K454" t="s">
        <v>823</v>
      </c>
      <c r="L454" t="s">
        <v>24</v>
      </c>
      <c r="M454" t="s">
        <v>824</v>
      </c>
      <c r="N454" t="s">
        <v>31</v>
      </c>
      <c r="P454" s="3">
        <v>86</v>
      </c>
      <c r="Q454" t="str">
        <f>LEFT(B454, 3)</f>
        <v>MSI</v>
      </c>
      <c r="R454" t="str">
        <f t="shared" si="52"/>
        <v>Apple M2</v>
      </c>
      <c r="S454" t="str">
        <f t="shared" si="53"/>
        <v>16 GB</v>
      </c>
    </row>
    <row r="455" spans="1:19">
      <c r="A455" t="str">
        <f>LEFT(B455, LEN(B455)-15)</f>
        <v>Asus VivoBook 15 OLED X1505ZA-L1311WS Laptop (Core i3 12th Gen/8 GB/512 GB SSD/Windows 11)</v>
      </c>
      <c r="B455" t="s">
        <v>825</v>
      </c>
      <c r="C455" s="1">
        <v>47960</v>
      </c>
      <c r="D455" s="1">
        <v>317</v>
      </c>
      <c r="E455" s="2">
        <v>88</v>
      </c>
      <c r="F455" s="2" t="str" cm="1">
        <f t="array" ref="F455">_xlfn.IFS(AND(101&gt;E455, E455&gt;69), "Top-Tier", AND(70&gt;E455, E455&gt;39), "Mid-Tier", 40&gt;E455, "Low-Tier")</f>
        <v>Top-Tier</v>
      </c>
      <c r="G455" s="4">
        <v>44835</v>
      </c>
      <c r="H455" t="s">
        <v>819</v>
      </c>
      <c r="I455" t="s">
        <v>33</v>
      </c>
      <c r="J455" t="s">
        <v>50</v>
      </c>
      <c r="K455" t="s">
        <v>215</v>
      </c>
      <c r="L455" t="s">
        <v>24</v>
      </c>
      <c r="M455" t="s">
        <v>52</v>
      </c>
      <c r="N455" t="s">
        <v>31</v>
      </c>
      <c r="P455" s="3">
        <v>72</v>
      </c>
      <c r="Q455" t="str">
        <f>LEFT(B455, 4)</f>
        <v>Asus</v>
      </c>
      <c r="R455" t="str">
        <f t="shared" si="52"/>
        <v>Apple M2</v>
      </c>
      <c r="S455" t="str">
        <f t="shared" si="53"/>
        <v xml:space="preserve">8 GB </v>
      </c>
    </row>
    <row r="456" spans="1:19">
      <c r="A456" t="str">
        <f>LEFT(B456, LEN(B456)-15)</f>
        <v>Dell Inspiron 14 7420 (D560918WIN9S) Laptop (Core i5 12th Gen/8 GB/512 GB SSD/Windows 11)</v>
      </c>
      <c r="B456" t="s">
        <v>826</v>
      </c>
      <c r="C456" s="1">
        <v>82990</v>
      </c>
      <c r="D456" s="1">
        <v>43</v>
      </c>
      <c r="E456" s="2">
        <v>88</v>
      </c>
      <c r="F456" s="2" t="str" cm="1">
        <f t="array" ref="F456">_xlfn.IFS(AND(101&gt;E456, E456&gt;69), "Top-Tier", AND(70&gt;E456, E456&gt;39), "Mid-Tier", 40&gt;E456, "Low-Tier")</f>
        <v>Top-Tier</v>
      </c>
      <c r="G456" s="4">
        <v>44835</v>
      </c>
      <c r="H456" t="s">
        <v>827</v>
      </c>
      <c r="I456" t="s">
        <v>33</v>
      </c>
      <c r="J456" t="s">
        <v>50</v>
      </c>
      <c r="K456" t="s">
        <v>94</v>
      </c>
      <c r="L456" t="s">
        <v>24</v>
      </c>
      <c r="M456" t="s">
        <v>74</v>
      </c>
      <c r="N456" t="s">
        <v>31</v>
      </c>
      <c r="P456" s="3">
        <v>75</v>
      </c>
      <c r="Q456" t="str">
        <f>LEFT(B456, 4)</f>
        <v>Dell</v>
      </c>
      <c r="R456" t="str">
        <f t="shared" si="52"/>
        <v>Apple M2</v>
      </c>
      <c r="S456" t="str">
        <f t="shared" si="53"/>
        <v xml:space="preserve">8 GB </v>
      </c>
    </row>
    <row r="457" spans="1:19">
      <c r="A457" t="str">
        <f>LEFT(B457, LEN(B457)-15)</f>
        <v>Asus Vivobook 16X M1603QA-MB712WS Laptop (AMD Octa Core Ryzen 7/16 GB/512 GB SSD/Windows 11)</v>
      </c>
      <c r="B457" t="s">
        <v>828</v>
      </c>
      <c r="C457" s="1">
        <v>69490</v>
      </c>
      <c r="D457" s="1">
        <v>56</v>
      </c>
      <c r="E457" s="2">
        <v>88</v>
      </c>
      <c r="F457" s="2" t="str" cm="1">
        <f t="array" ref="F457">_xlfn.IFS(AND(101&gt;E457, E457&gt;69), "Top-Tier", AND(70&gt;E457, E457&gt;39), "Mid-Tier", 40&gt;E457, "Low-Tier")</f>
        <v>Top-Tier</v>
      </c>
      <c r="G457" s="4">
        <v>44835</v>
      </c>
      <c r="H457" t="s">
        <v>829</v>
      </c>
      <c r="I457" t="s">
        <v>33</v>
      </c>
      <c r="J457" t="s">
        <v>34</v>
      </c>
      <c r="K457" t="s">
        <v>155</v>
      </c>
      <c r="L457" t="s">
        <v>24</v>
      </c>
      <c r="M457" t="s">
        <v>52</v>
      </c>
      <c r="N457" t="s">
        <v>31</v>
      </c>
      <c r="P457" s="3">
        <v>71</v>
      </c>
      <c r="Q457" t="str">
        <f>LEFT(B457, 4)</f>
        <v>Asus</v>
      </c>
      <c r="R457" t="str">
        <f t="shared" si="52"/>
        <v>Apple M2</v>
      </c>
      <c r="S457" t="str">
        <f t="shared" si="53"/>
        <v>16 GB</v>
      </c>
    </row>
    <row r="458" spans="1:19">
      <c r="A458" t="str">
        <f>LEFT(B458, LEN(B458)-15)</f>
        <v>Asus TUF Gaming A15 FA506QM-HN008W Laptop (AMD Octa Core Ryzen 7/16 GB/512 GB SSD/Windows 11/6 GB)</v>
      </c>
      <c r="B458" t="s">
        <v>830</v>
      </c>
      <c r="C458" s="1">
        <v>72990</v>
      </c>
      <c r="D458" s="1">
        <v>374</v>
      </c>
      <c r="E458" s="2">
        <v>88</v>
      </c>
      <c r="F458" s="2" t="str" cm="1">
        <f t="array" ref="F458">_xlfn.IFS(AND(101&gt;E458, E458&gt;69), "Top-Tier", AND(70&gt;E458, E458&gt;39), "Mid-Tier", 40&gt;E458, "Low-Tier")</f>
        <v>Top-Tier</v>
      </c>
      <c r="G458" s="4">
        <v>44805</v>
      </c>
      <c r="H458" t="s">
        <v>829</v>
      </c>
      <c r="I458" t="s">
        <v>33</v>
      </c>
      <c r="J458" t="s">
        <v>34</v>
      </c>
      <c r="K458" t="s">
        <v>51</v>
      </c>
      <c r="L458" t="s">
        <v>24</v>
      </c>
      <c r="N458" t="s">
        <v>31</v>
      </c>
      <c r="P458" s="3">
        <v>82</v>
      </c>
      <c r="Q458" t="str">
        <f>LEFT(B458, 4)</f>
        <v>Asus</v>
      </c>
      <c r="R458" t="str">
        <f t="shared" si="52"/>
        <v>Apple M2</v>
      </c>
      <c r="S458" t="str">
        <f t="shared" si="53"/>
        <v>16 GB</v>
      </c>
    </row>
    <row r="459" spans="1:19">
      <c r="A459" t="str">
        <f>LEFT(B459, LEN(B459)-15)</f>
        <v>Asus VivoBook 14 X1402ZA-EK391WS Laptop (Core i3 12th Gen/8 GB/256 GB SSD/Windows 11)</v>
      </c>
      <c r="B459" t="s">
        <v>831</v>
      </c>
      <c r="C459" s="1">
        <v>54990</v>
      </c>
      <c r="D459" s="1">
        <v>70</v>
      </c>
      <c r="E459" s="2">
        <v>88</v>
      </c>
      <c r="F459" s="2" t="str" cm="1">
        <f t="array" ref="F459">_xlfn.IFS(AND(101&gt;E459, E459&gt;69), "Top-Tier", AND(70&gt;E459, E459&gt;39), "Mid-Tier", 40&gt;E459, "Low-Tier")</f>
        <v>Top-Tier</v>
      </c>
      <c r="G459" s="4">
        <v>44805</v>
      </c>
      <c r="H459" t="s">
        <v>832</v>
      </c>
      <c r="I459" t="s">
        <v>33</v>
      </c>
      <c r="J459" t="s">
        <v>338</v>
      </c>
      <c r="K459" t="s">
        <v>149</v>
      </c>
      <c r="L459" t="s">
        <v>24</v>
      </c>
      <c r="M459" t="s">
        <v>52</v>
      </c>
      <c r="N459" t="s">
        <v>31</v>
      </c>
      <c r="P459" s="3">
        <v>72</v>
      </c>
      <c r="Q459" t="str">
        <f>LEFT(B459, 4)</f>
        <v>Asus</v>
      </c>
      <c r="R459" t="str">
        <f t="shared" si="52"/>
        <v>Apple M3</v>
      </c>
      <c r="S459" t="str">
        <f t="shared" si="53"/>
        <v xml:space="preserve">8 GB </v>
      </c>
    </row>
    <row r="460" spans="1:19">
      <c r="A460" t="str">
        <f>LEFT(B460, LEN(B460)-15)</f>
        <v>MSI Crosshair 15 B12UGZ-1012IN Laptop (Core i7 12th Gen/16 GB/1 TB SSD/Windows 11/8 GB)</v>
      </c>
      <c r="B460" t="s">
        <v>833</v>
      </c>
      <c r="C460" s="1">
        <v>154391</v>
      </c>
      <c r="D460" s="1">
        <v>41</v>
      </c>
      <c r="E460" s="2">
        <v>88</v>
      </c>
      <c r="F460" s="2" t="str" cm="1">
        <f t="array" ref="F460">_xlfn.IFS(AND(101&gt;E460, E460&gt;69), "Top-Tier", AND(70&gt;E460, E460&gt;39), "Mid-Tier", 40&gt;E460, "Low-Tier")</f>
        <v>Top-Tier</v>
      </c>
      <c r="G460" s="4">
        <v>44805</v>
      </c>
      <c r="H460" t="s">
        <v>832</v>
      </c>
      <c r="I460" t="s">
        <v>33</v>
      </c>
      <c r="J460" t="s">
        <v>184</v>
      </c>
      <c r="K460" t="s">
        <v>252</v>
      </c>
      <c r="L460" t="s">
        <v>24</v>
      </c>
      <c r="N460" t="s">
        <v>31</v>
      </c>
      <c r="P460" s="3">
        <v>86</v>
      </c>
      <c r="Q460" t="str">
        <f>LEFT(B460, 3)</f>
        <v>MSI</v>
      </c>
      <c r="R460" t="str">
        <f t="shared" si="52"/>
        <v>Apple M3</v>
      </c>
      <c r="S460" t="str">
        <f t="shared" si="53"/>
        <v>16 GB</v>
      </c>
    </row>
    <row r="461" spans="1:19">
      <c r="A461" t="str">
        <f>LEFT(B461, LEN(B461)-15)</f>
        <v>MSI GF63 Thin 11SC-1046IN Laptop (Core i5 11th Gen/8 GB/512 GB SSD/Windows 11/4 GB)</v>
      </c>
      <c r="B461" t="s">
        <v>834</v>
      </c>
      <c r="C461" s="1">
        <v>45999</v>
      </c>
      <c r="D461" s="1">
        <v>1156</v>
      </c>
      <c r="E461" s="2">
        <v>88</v>
      </c>
      <c r="F461" s="2" t="str" cm="1">
        <f t="array" ref="F461">_xlfn.IFS(AND(101&gt;E461, E461&gt;69), "Top-Tier", AND(70&gt;E461, E461&gt;39), "Mid-Tier", 40&gt;E461, "Low-Tier")</f>
        <v>Top-Tier</v>
      </c>
      <c r="G461" s="4">
        <v>44805</v>
      </c>
      <c r="H461" t="s">
        <v>832</v>
      </c>
      <c r="I461" t="s">
        <v>33</v>
      </c>
      <c r="J461" t="s">
        <v>50</v>
      </c>
      <c r="K461" t="s">
        <v>51</v>
      </c>
      <c r="L461" t="s">
        <v>24</v>
      </c>
      <c r="M461" t="s">
        <v>113</v>
      </c>
      <c r="N461" t="s">
        <v>31</v>
      </c>
      <c r="P461" s="3">
        <v>75</v>
      </c>
      <c r="Q461" t="str">
        <f>LEFT(B461, 3)</f>
        <v>MSI</v>
      </c>
      <c r="R461" t="str">
        <f t="shared" si="52"/>
        <v>Apple M3</v>
      </c>
      <c r="S461" t="str">
        <f t="shared" si="53"/>
        <v xml:space="preserve">8 GB </v>
      </c>
    </row>
    <row r="462" spans="1:19">
      <c r="A462" t="str">
        <f>LEFT(B462, LEN(B462)-15)</f>
        <v>MSI Pulse GL66 12UEK-898IN Laptop (Intel Core i9 12th Gen/16 GB/1 TB SSD/Windows 11/6 GB)</v>
      </c>
      <c r="B462" t="s">
        <v>835</v>
      </c>
      <c r="C462" s="1">
        <v>100999</v>
      </c>
      <c r="D462" s="1">
        <v>94</v>
      </c>
      <c r="E462" s="2">
        <v>88</v>
      </c>
      <c r="F462" s="2" t="str" cm="1">
        <f t="array" ref="F462">_xlfn.IFS(AND(101&gt;E462, E462&gt;69), "Top-Tier", AND(70&gt;E462, E462&gt;39), "Mid-Tier", 40&gt;E462, "Low-Tier")</f>
        <v>Top-Tier</v>
      </c>
      <c r="G462" s="4">
        <v>44805</v>
      </c>
      <c r="H462" t="s">
        <v>832</v>
      </c>
      <c r="I462" t="s">
        <v>33</v>
      </c>
      <c r="J462" t="s">
        <v>184</v>
      </c>
      <c r="K462" t="s">
        <v>252</v>
      </c>
      <c r="L462" t="s">
        <v>24</v>
      </c>
      <c r="N462" t="s">
        <v>31</v>
      </c>
      <c r="P462" s="3">
        <v>85</v>
      </c>
      <c r="Q462" t="str">
        <f>LEFT(B462, 3)</f>
        <v>MSI</v>
      </c>
      <c r="R462" t="str">
        <f t="shared" si="52"/>
        <v>Apple M3</v>
      </c>
      <c r="S462" t="str">
        <f t="shared" si="53"/>
        <v>16 GB</v>
      </c>
    </row>
    <row r="463" spans="1:19">
      <c r="A463" t="str">
        <f>LEFT(B463, LEN(B463)-15)</f>
        <v>Asus TUF Gaming F15 FX506LHB-HN358W Laptop (Core i5 10th Gen/8 GB/512 GB SSD/Windows 11/4 GB)</v>
      </c>
      <c r="B463" t="s">
        <v>836</v>
      </c>
      <c r="C463" s="1">
        <v>56040</v>
      </c>
      <c r="D463" s="1">
        <v>7028</v>
      </c>
      <c r="E463" s="2">
        <v>88</v>
      </c>
      <c r="F463" s="2" t="str" cm="1">
        <f t="array" ref="F463">_xlfn.IFS(AND(101&gt;E463, E463&gt;69), "Top-Tier", AND(70&gt;E463, E463&gt;39), "Mid-Tier", 40&gt;E463, "Low-Tier")</f>
        <v>Top-Tier</v>
      </c>
      <c r="G463" s="4">
        <v>44805</v>
      </c>
      <c r="H463" t="s">
        <v>832</v>
      </c>
      <c r="I463" t="s">
        <v>33</v>
      </c>
      <c r="J463" t="s">
        <v>50</v>
      </c>
      <c r="K463" t="s">
        <v>51</v>
      </c>
      <c r="L463" t="s">
        <v>24</v>
      </c>
      <c r="N463" t="s">
        <v>31</v>
      </c>
      <c r="P463" s="3">
        <v>75</v>
      </c>
      <c r="Q463" t="str">
        <f>LEFT(B463, 4)</f>
        <v>Asus</v>
      </c>
      <c r="R463" t="str">
        <f t="shared" si="52"/>
        <v>Apple M3</v>
      </c>
      <c r="S463" t="str">
        <f t="shared" si="53"/>
        <v xml:space="preserve">8 GB </v>
      </c>
    </row>
    <row r="464" spans="1:19">
      <c r="A464" t="str">
        <f>LEFT(B464, LEN(B464)-15)</f>
        <v>Asus VivoBook Pro 15 OLED K6500ZC-L502WS Laptop (Core i5 12th Gen/16 GB/512 GB SSD/Windows 11/4 GB)</v>
      </c>
      <c r="B464" t="s">
        <v>837</v>
      </c>
      <c r="C464" s="1">
        <v>89990</v>
      </c>
      <c r="D464" s="1">
        <v>191</v>
      </c>
      <c r="E464" s="2">
        <v>88</v>
      </c>
      <c r="F464" s="2" t="str" cm="1">
        <f t="array" ref="F464">_xlfn.IFS(AND(101&gt;E464, E464&gt;69), "Top-Tier", AND(70&gt;E464, E464&gt;39), "Mid-Tier", 40&gt;E464, "Low-Tier")</f>
        <v>Top-Tier</v>
      </c>
      <c r="G464" s="4">
        <v>44805</v>
      </c>
      <c r="H464" t="s">
        <v>832</v>
      </c>
      <c r="I464" t="s">
        <v>33</v>
      </c>
      <c r="J464" t="s">
        <v>121</v>
      </c>
      <c r="K464" t="s">
        <v>215</v>
      </c>
      <c r="L464" t="s">
        <v>24</v>
      </c>
      <c r="M464" t="s">
        <v>52</v>
      </c>
      <c r="N464" t="s">
        <v>31</v>
      </c>
      <c r="P464" s="3">
        <v>81</v>
      </c>
      <c r="Q464" t="str">
        <f>LEFT(B464, 4)</f>
        <v>Asus</v>
      </c>
      <c r="R464" t="str">
        <f t="shared" si="52"/>
        <v>Apple M3</v>
      </c>
      <c r="S464" t="str">
        <f t="shared" si="53"/>
        <v>16 GB</v>
      </c>
    </row>
    <row r="465" spans="1:19">
      <c r="A465" t="str">
        <f>LEFT(B465, LEN(B465)-15)</f>
        <v>HP Omen 16-n0050AX (6H4N6PA) Laptop (AMD Octa Core Ryzen 7/16 GB/512 GB SSD/Windows 11/4 GB)</v>
      </c>
      <c r="B465" t="s">
        <v>838</v>
      </c>
      <c r="C465" s="1">
        <v>86390</v>
      </c>
      <c r="D465" s="1">
        <v>14</v>
      </c>
      <c r="E465" s="2">
        <v>88</v>
      </c>
      <c r="F465" s="2" t="str" cm="1">
        <f t="array" ref="F465">_xlfn.IFS(AND(101&gt;E465, E465&gt;69), "Top-Tier", AND(70&gt;E465, E465&gt;39), "Mid-Tier", 40&gt;E465, "Low-Tier")</f>
        <v>Top-Tier</v>
      </c>
      <c r="G465" s="4">
        <v>44774</v>
      </c>
      <c r="H465" t="s">
        <v>832</v>
      </c>
      <c r="I465" t="s">
        <v>33</v>
      </c>
      <c r="J465" t="s">
        <v>54</v>
      </c>
      <c r="K465" t="s">
        <v>271</v>
      </c>
      <c r="L465" t="s">
        <v>24</v>
      </c>
      <c r="N465" t="s">
        <v>31</v>
      </c>
      <c r="P465" s="3">
        <v>81</v>
      </c>
      <c r="Q465" t="str">
        <f>LEFT(B465, 2)</f>
        <v>HP</v>
      </c>
      <c r="R465" t="str">
        <f t="shared" si="52"/>
        <v>Apple M3</v>
      </c>
      <c r="S465" t="str">
        <f t="shared" si="53"/>
        <v>16 GB</v>
      </c>
    </row>
    <row r="466" spans="1:19">
      <c r="A466" t="str">
        <f>LEFT(B466, LEN(B466)-15)</f>
        <v>Asus ZenBook Pro 14 Duo OLED UX8402ZA-M501WS Laptop (Core i5 12th Gen/16 GB/512 GB SSD/Windows 11)</v>
      </c>
      <c r="B466" t="s">
        <v>839</v>
      </c>
      <c r="C466" s="1">
        <v>99980</v>
      </c>
      <c r="D466" s="1">
        <v>11</v>
      </c>
      <c r="E466" s="2">
        <v>88</v>
      </c>
      <c r="F466" s="2" t="str" cm="1">
        <f t="array" ref="F466">_xlfn.IFS(AND(101&gt;E466, E466&gt;69), "Top-Tier", AND(70&gt;E466, E466&gt;39), "Mid-Tier", 40&gt;E466, "Low-Tier")</f>
        <v>Top-Tier</v>
      </c>
      <c r="G466" s="4">
        <v>44774</v>
      </c>
      <c r="H466" t="s">
        <v>832</v>
      </c>
      <c r="I466" t="s">
        <v>33</v>
      </c>
      <c r="J466" t="s">
        <v>121</v>
      </c>
      <c r="K466" t="s">
        <v>617</v>
      </c>
      <c r="L466" t="s">
        <v>24</v>
      </c>
      <c r="M466" t="s">
        <v>95</v>
      </c>
      <c r="N466" t="s">
        <v>31</v>
      </c>
      <c r="P466" s="3">
        <v>78</v>
      </c>
      <c r="Q466" t="str">
        <f>LEFT(B466, 4)</f>
        <v>Asus</v>
      </c>
      <c r="R466" t="str">
        <f t="shared" si="52"/>
        <v>Apple M3</v>
      </c>
      <c r="S466" t="str">
        <f t="shared" si="53"/>
        <v>16 GB</v>
      </c>
    </row>
    <row r="467" spans="1:19">
      <c r="A467" t="str">
        <f>LEFT(B467, LEN(B467)-15)</f>
        <v>Lenovo Ideapad Slim 3 15IIL05 (81WE01QSIN) Laptop (Core i3 10th Gen/4 GB/256 GB SSD/Windows 11)</v>
      </c>
      <c r="B467" t="s">
        <v>840</v>
      </c>
      <c r="C467" s="1">
        <v>27999</v>
      </c>
      <c r="D467" s="1">
        <v>147</v>
      </c>
      <c r="E467" s="2">
        <v>88</v>
      </c>
      <c r="F467" s="2" t="str" cm="1">
        <f t="array" ref="F467">_xlfn.IFS(AND(101&gt;E467, E467&gt;69), "Top-Tier", AND(70&gt;E467, E467&gt;39), "Mid-Tier", 40&gt;E467, "Low-Tier")</f>
        <v>Top-Tier</v>
      </c>
      <c r="G467" s="4">
        <v>44774</v>
      </c>
      <c r="H467" t="s">
        <v>832</v>
      </c>
      <c r="I467" t="s">
        <v>33</v>
      </c>
      <c r="J467" t="s">
        <v>698</v>
      </c>
      <c r="K467" t="s">
        <v>51</v>
      </c>
      <c r="L467" t="s">
        <v>24</v>
      </c>
      <c r="M467" t="s">
        <v>52</v>
      </c>
      <c r="N467" t="s">
        <v>31</v>
      </c>
      <c r="Q467" t="str">
        <f>LEFT(B467, 6)</f>
        <v>Lenovo</v>
      </c>
      <c r="R467" t="str">
        <f t="shared" si="52"/>
        <v>Apple M3</v>
      </c>
      <c r="S467" t="str">
        <f t="shared" si="53"/>
        <v xml:space="preserve">4 GB </v>
      </c>
    </row>
    <row r="468" spans="1:19">
      <c r="A468" t="str">
        <f>LEFT(B468, LEN(B468)-15)</f>
        <v>MSI Modern 14 B5M-242IN Laptop (AMD Hexa Core Ryzen 5/8 GB/512 GB SSD/Windows 11)</v>
      </c>
      <c r="B468" t="s">
        <v>841</v>
      </c>
      <c r="C468" s="1">
        <v>55999</v>
      </c>
      <c r="D468" s="1">
        <v>3494</v>
      </c>
      <c r="E468" s="2">
        <v>88</v>
      </c>
      <c r="F468" s="2" t="str" cm="1">
        <f t="array" ref="F468">_xlfn.IFS(AND(101&gt;E468, E468&gt;69), "Top-Tier", AND(70&gt;E468, E468&gt;39), "Mid-Tier", 40&gt;E468, "Low-Tier")</f>
        <v>Top-Tier</v>
      </c>
      <c r="G468" s="4">
        <v>44774</v>
      </c>
      <c r="H468" t="s">
        <v>832</v>
      </c>
      <c r="I468" t="s">
        <v>33</v>
      </c>
      <c r="J468" t="s">
        <v>50</v>
      </c>
      <c r="K468" t="s">
        <v>149</v>
      </c>
      <c r="L468" t="s">
        <v>24</v>
      </c>
      <c r="M468" t="s">
        <v>842</v>
      </c>
      <c r="N468" t="s">
        <v>31</v>
      </c>
      <c r="Q468" t="str">
        <f>LEFT(B468, 3)</f>
        <v>MSI</v>
      </c>
      <c r="R468" t="str">
        <f t="shared" si="52"/>
        <v>Apple M3</v>
      </c>
      <c r="S468" t="str">
        <f t="shared" si="53"/>
        <v xml:space="preserve">8 GB </v>
      </c>
    </row>
    <row r="469" spans="1:19">
      <c r="A469" t="str">
        <f>LEFT(B469, LEN(B469)-15)</f>
        <v>Asus VivoBook Pro 15 OLED K6500ZC-L501WS Laptop (Core i5 12th Gen/16 GB/512 GB SSD/Windows 11/4 GB)</v>
      </c>
      <c r="B469" t="s">
        <v>843</v>
      </c>
      <c r="C469" s="1">
        <v>84780</v>
      </c>
      <c r="D469" s="1">
        <v>192</v>
      </c>
      <c r="E469" s="2">
        <v>88</v>
      </c>
      <c r="F469" s="2" t="str" cm="1">
        <f t="array" ref="F469">_xlfn.IFS(AND(101&gt;E469, E469&gt;69), "Top-Tier", AND(70&gt;E469, E469&gt;39), "Mid-Tier", 40&gt;E469, "Low-Tier")</f>
        <v>Top-Tier</v>
      </c>
      <c r="G469" s="4">
        <v>44774</v>
      </c>
      <c r="H469" t="s">
        <v>832</v>
      </c>
      <c r="I469" t="s">
        <v>33</v>
      </c>
      <c r="J469" t="s">
        <v>121</v>
      </c>
      <c r="K469" t="s">
        <v>215</v>
      </c>
      <c r="L469" t="s">
        <v>24</v>
      </c>
      <c r="M469" t="s">
        <v>52</v>
      </c>
      <c r="N469" t="s">
        <v>31</v>
      </c>
      <c r="P469" s="3">
        <v>81</v>
      </c>
      <c r="Q469" t="str">
        <f>LEFT(B469, 4)</f>
        <v>Asus</v>
      </c>
      <c r="R469" t="str">
        <f t="shared" si="52"/>
        <v>Apple M3</v>
      </c>
      <c r="S469" t="str">
        <f t="shared" si="53"/>
        <v>16 GB</v>
      </c>
    </row>
    <row r="470" spans="1:19">
      <c r="A470" t="str">
        <f>LEFT(B470, LEN(B470)-15)</f>
        <v>Dell Vostro 5620 (D552268WIN9S) Laptop (Core i5 12th Gen/8 GB/512 GB SSD/Windows 11)</v>
      </c>
      <c r="B470" t="s">
        <v>844</v>
      </c>
      <c r="C470" s="1">
        <v>74990</v>
      </c>
      <c r="D470" s="1">
        <v>21</v>
      </c>
      <c r="E470" s="2">
        <v>88</v>
      </c>
      <c r="F470" s="2" t="str" cm="1">
        <f t="array" ref="F470">_xlfn.IFS(AND(101&gt;E470, E470&gt;69), "Top-Tier", AND(70&gt;E470, E470&gt;39), "Mid-Tier", 40&gt;E470, "Low-Tier")</f>
        <v>Top-Tier</v>
      </c>
      <c r="G470" s="4">
        <v>44774</v>
      </c>
      <c r="H470" t="s">
        <v>832</v>
      </c>
      <c r="I470" t="s">
        <v>33</v>
      </c>
      <c r="J470" t="s">
        <v>50</v>
      </c>
      <c r="K470" t="s">
        <v>577</v>
      </c>
      <c r="L470" t="s">
        <v>24</v>
      </c>
      <c r="M470" t="s">
        <v>483</v>
      </c>
      <c r="N470" t="s">
        <v>31</v>
      </c>
      <c r="P470" s="3">
        <v>74</v>
      </c>
      <c r="Q470" t="str">
        <f>LEFT(B470, 4)</f>
        <v>Dell</v>
      </c>
      <c r="R470" t="str">
        <f t="shared" si="52"/>
        <v>Apple M3</v>
      </c>
      <c r="S470" t="str">
        <f t="shared" si="53"/>
        <v xml:space="preserve">8 GB </v>
      </c>
    </row>
    <row r="471" spans="1:19">
      <c r="A471" t="str">
        <f>LEFT(B471, LEN(B471)-15)</f>
        <v>MSI Katana GF66 12UC-636IN Laptop (Core i5 12th Gen/8 GB/512 GB SSD/Windows 11/4 GB)</v>
      </c>
      <c r="B471" t="s">
        <v>845</v>
      </c>
      <c r="C471" s="1">
        <v>70989</v>
      </c>
      <c r="D471" s="1">
        <v>46</v>
      </c>
      <c r="E471" s="2">
        <v>88</v>
      </c>
      <c r="F471" s="2" t="str" cm="1">
        <f t="array" ref="F471">_xlfn.IFS(AND(101&gt;E471, E471&gt;69), "Top-Tier", AND(70&gt;E471, E471&gt;39), "Mid-Tier", 40&gt;E471, "Low-Tier")</f>
        <v>Top-Tier</v>
      </c>
      <c r="G471" s="4">
        <v>44774</v>
      </c>
      <c r="H471" t="s">
        <v>832</v>
      </c>
      <c r="I471" t="s">
        <v>33</v>
      </c>
      <c r="J471" t="s">
        <v>50</v>
      </c>
      <c r="K471" t="s">
        <v>51</v>
      </c>
      <c r="L471" t="s">
        <v>24</v>
      </c>
      <c r="N471" t="s">
        <v>31</v>
      </c>
      <c r="P471" s="3">
        <v>79</v>
      </c>
      <c r="Q471" t="str">
        <f>LEFT(B471, 3)</f>
        <v>MSI</v>
      </c>
      <c r="R471" t="str">
        <f t="shared" si="52"/>
        <v>Apple M3</v>
      </c>
      <c r="S471" t="str">
        <f t="shared" si="53"/>
        <v xml:space="preserve">8 GB </v>
      </c>
    </row>
    <row r="472" spans="1:19">
      <c r="A472" t="str">
        <f>LEFT(B472, LEN(B472)-15)</f>
        <v>Asus VivoBook 15 X712EA-AU511WS Laptop (Core i5 11th Gen/16 GB/1 TB 256 GB SSD/Windows 11)</v>
      </c>
      <c r="B472" t="s">
        <v>846</v>
      </c>
      <c r="C472" s="1">
        <v>53990</v>
      </c>
      <c r="D472" s="1">
        <v>197</v>
      </c>
      <c r="E472" s="2">
        <v>88</v>
      </c>
      <c r="F472" s="2" t="str" cm="1">
        <f t="array" ref="F472">_xlfn.IFS(AND(101&gt;E472, E472&gt;69), "Top-Tier", AND(70&gt;E472, E472&gt;39), "Mid-Tier", 40&gt;E472, "Low-Tier")</f>
        <v>Top-Tier</v>
      </c>
      <c r="G472" s="4">
        <v>44774</v>
      </c>
      <c r="H472" t="s">
        <v>832</v>
      </c>
      <c r="I472" t="s">
        <v>33</v>
      </c>
      <c r="J472" t="s">
        <v>315</v>
      </c>
      <c r="K472" t="s">
        <v>395</v>
      </c>
      <c r="L472" t="s">
        <v>24</v>
      </c>
      <c r="M472" t="s">
        <v>847</v>
      </c>
      <c r="N472" t="s">
        <v>31</v>
      </c>
      <c r="P472" s="3">
        <v>71</v>
      </c>
      <c r="Q472" t="str">
        <f>LEFT(B472, 4)</f>
        <v>Asus</v>
      </c>
      <c r="R472" t="str">
        <f t="shared" si="52"/>
        <v>Apple M3</v>
      </c>
      <c r="S472" t="str">
        <f t="shared" si="53"/>
        <v>16 GB</v>
      </c>
    </row>
    <row r="473" spans="1:19">
      <c r="A473" t="str">
        <f>LEFT(B473, LEN(B473)-15)</f>
        <v>Asus Vivobook K15 OLED KM513UA-L511WS Laptop (AMD Hexa Core Ryzen 5/16 GB/512 GB SSD/Windows 11)</v>
      </c>
      <c r="B473" t="s">
        <v>848</v>
      </c>
      <c r="C473" s="1">
        <v>49990</v>
      </c>
      <c r="D473" s="1">
        <v>1871</v>
      </c>
      <c r="E473" s="2">
        <v>88</v>
      </c>
      <c r="F473" s="2" t="str" cm="1">
        <f t="array" ref="F473">_xlfn.IFS(AND(101&gt;E473, E473&gt;69), "Top-Tier", AND(70&gt;E473, E473&gt;39), "Mid-Tier", 40&gt;E473, "Low-Tier")</f>
        <v>Top-Tier</v>
      </c>
      <c r="G473" s="4">
        <v>44774</v>
      </c>
      <c r="H473" t="s">
        <v>832</v>
      </c>
      <c r="I473" t="s">
        <v>33</v>
      </c>
      <c r="J473" t="s">
        <v>34</v>
      </c>
      <c r="K473" t="s">
        <v>215</v>
      </c>
      <c r="L473" t="s">
        <v>24</v>
      </c>
      <c r="M473" t="s">
        <v>99</v>
      </c>
      <c r="N473" t="s">
        <v>31</v>
      </c>
      <c r="Q473" t="str">
        <f>LEFT(B473, 4)</f>
        <v>Asus</v>
      </c>
      <c r="R473" t="str">
        <f t="shared" si="52"/>
        <v>Apple M3</v>
      </c>
      <c r="S473" t="str">
        <f t="shared" si="53"/>
        <v>16 GB</v>
      </c>
    </row>
    <row r="474" spans="1:19">
      <c r="A474" t="str">
        <f>LEFT(B474, LEN(B474)-15)</f>
        <v>Asus ROG Flow X13 GV301RA-LJ031WS Laptop (AMD Octa Core Ryzen 7/16 GB/1 TB SSD/Windows 11)</v>
      </c>
      <c r="B474" t="s">
        <v>849</v>
      </c>
      <c r="C474" s="1">
        <v>121990</v>
      </c>
      <c r="D474" s="1">
        <v>17</v>
      </c>
      <c r="E474" s="2">
        <v>88</v>
      </c>
      <c r="F474" s="2" t="str" cm="1">
        <f t="array" ref="F474">_xlfn.IFS(AND(101&gt;E474, E474&gt;69), "Top-Tier", AND(70&gt;E474, E474&gt;39), "Mid-Tier", 40&gt;E474, "Low-Tier")</f>
        <v>Top-Tier</v>
      </c>
      <c r="G474" s="4">
        <v>44743</v>
      </c>
      <c r="H474" t="s">
        <v>832</v>
      </c>
      <c r="I474" t="s">
        <v>33</v>
      </c>
      <c r="J474" t="s">
        <v>167</v>
      </c>
      <c r="K474" t="s">
        <v>296</v>
      </c>
      <c r="L474" t="s">
        <v>24</v>
      </c>
      <c r="M474" t="s">
        <v>178</v>
      </c>
      <c r="N474" t="s">
        <v>31</v>
      </c>
      <c r="P474" s="3">
        <v>78</v>
      </c>
      <c r="Q474" t="str">
        <f>LEFT(B474, 4)</f>
        <v>Asus</v>
      </c>
      <c r="R474" t="str">
        <f t="shared" si="52"/>
        <v>Apple M3</v>
      </c>
      <c r="S474" t="str">
        <f t="shared" si="53"/>
        <v>16 GB</v>
      </c>
    </row>
    <row r="475" spans="1:19">
      <c r="A475" t="str">
        <f>LEFT(B475, LEN(B475)-15)</f>
        <v>Asus ROG Zephyrus G15 GA503RM-HQ142WS Laptop (AMD Octa Core Ryzen 7/16 GB/1 TB SSD/Windows 11/6 GB)</v>
      </c>
      <c r="B475" t="s">
        <v>850</v>
      </c>
      <c r="C475" s="1">
        <v>111869</v>
      </c>
      <c r="D475" s="1">
        <v>10</v>
      </c>
      <c r="E475" s="2">
        <v>88</v>
      </c>
      <c r="F475" s="2" t="str" cm="1">
        <f t="array" ref="F475">_xlfn.IFS(AND(101&gt;E475, E475&gt;69), "Top-Tier", AND(70&gt;E475, E475&gt;39), "Mid-Tier", 40&gt;E475, "Low-Tier")</f>
        <v>Top-Tier</v>
      </c>
      <c r="G475" s="4">
        <v>44743</v>
      </c>
      <c r="H475" t="s">
        <v>832</v>
      </c>
      <c r="I475" t="s">
        <v>33</v>
      </c>
      <c r="J475" t="s">
        <v>72</v>
      </c>
      <c r="K475" t="s">
        <v>252</v>
      </c>
      <c r="L475" t="s">
        <v>24</v>
      </c>
      <c r="M475" t="s">
        <v>253</v>
      </c>
      <c r="N475" t="s">
        <v>31</v>
      </c>
      <c r="P475" s="3">
        <v>85</v>
      </c>
      <c r="Q475" t="str">
        <f>LEFT(B475, 4)</f>
        <v>Asus</v>
      </c>
      <c r="R475" t="str">
        <f t="shared" si="52"/>
        <v>Apple M3</v>
      </c>
      <c r="S475" t="str">
        <f t="shared" si="53"/>
        <v>16 GB</v>
      </c>
    </row>
    <row r="476" spans="1:19">
      <c r="A476" t="str">
        <f>LEFT(B476, LEN(B476)-15)</f>
        <v>HP Pavilion 14-dv2054TU (6K9C7PA) Laptop (Core i5 12th Gen/16 GB/512 GB SSD/Windows 11)</v>
      </c>
      <c r="B476" t="s">
        <v>851</v>
      </c>
      <c r="C476" s="1">
        <v>70990</v>
      </c>
      <c r="D476" s="1">
        <v>32</v>
      </c>
      <c r="E476" s="2">
        <v>88</v>
      </c>
      <c r="F476" s="2" t="str" cm="1">
        <f t="array" ref="F476">_xlfn.IFS(AND(101&gt;E476, E476&gt;69), "Top-Tier", AND(70&gt;E476, E476&gt;39), "Mid-Tier", 40&gt;E476, "Low-Tier")</f>
        <v>Top-Tier</v>
      </c>
      <c r="G476" s="4">
        <v>44743</v>
      </c>
      <c r="H476" t="s">
        <v>832</v>
      </c>
      <c r="I476" t="s">
        <v>33</v>
      </c>
      <c r="J476" t="s">
        <v>34</v>
      </c>
      <c r="K476" t="s">
        <v>427</v>
      </c>
      <c r="L476" t="s">
        <v>24</v>
      </c>
      <c r="M476" t="s">
        <v>203</v>
      </c>
      <c r="N476" t="s">
        <v>31</v>
      </c>
      <c r="O476" t="s">
        <v>261</v>
      </c>
      <c r="P476" s="3">
        <v>76</v>
      </c>
      <c r="Q476" t="str">
        <f>LEFT(B476, 2)</f>
        <v>HP</v>
      </c>
      <c r="R476" t="str">
        <f t="shared" si="52"/>
        <v>Apple M3</v>
      </c>
      <c r="S476" t="str">
        <f t="shared" si="53"/>
        <v>16 GB</v>
      </c>
    </row>
    <row r="477" spans="1:19">
      <c r="A477" t="str">
        <f>LEFT(B477, LEN(B477)-15)</f>
        <v>Asus VivoBook Flip 14 TP470EA-EC511WS Laptop (Core i5 11th Gen/8 GB/512 GB SSD/Windows 11)</v>
      </c>
      <c r="B477" t="s">
        <v>852</v>
      </c>
      <c r="C477" s="1">
        <v>54990</v>
      </c>
      <c r="D477" s="1">
        <v>148</v>
      </c>
      <c r="E477" s="2">
        <v>88</v>
      </c>
      <c r="F477" s="2" t="str" cm="1">
        <f t="array" ref="F477">_xlfn.IFS(AND(101&gt;E477, E477&gt;69), "Top-Tier", AND(70&gt;E477, E477&gt;39), "Mid-Tier", 40&gt;E477, "Low-Tier")</f>
        <v>Top-Tier</v>
      </c>
      <c r="G477" s="4">
        <v>44743</v>
      </c>
      <c r="H477" t="s">
        <v>832</v>
      </c>
      <c r="I477" t="s">
        <v>33</v>
      </c>
      <c r="J477" t="s">
        <v>50</v>
      </c>
      <c r="K477" t="s">
        <v>439</v>
      </c>
      <c r="L477" t="s">
        <v>24</v>
      </c>
      <c r="M477" t="s">
        <v>74</v>
      </c>
      <c r="N477" t="s">
        <v>31</v>
      </c>
      <c r="O477" t="s">
        <v>261</v>
      </c>
      <c r="Q477" t="str">
        <f>LEFT(B477, 4)</f>
        <v>Asus</v>
      </c>
      <c r="R477" t="str">
        <f t="shared" si="52"/>
        <v>Apple M3</v>
      </c>
      <c r="S477" t="str">
        <f t="shared" si="53"/>
        <v xml:space="preserve">8 GB </v>
      </c>
    </row>
    <row r="478" spans="1:19">
      <c r="A478" t="str">
        <f>LEFT(B478, LEN(B478)-15)</f>
        <v>Asus TUF Gaming F15 FX506LHB-HN355WS Laptop (Core i5 10th Gen/8 GB/512 GB SSD/Windows 11/4 GB)</v>
      </c>
      <c r="B478" t="s">
        <v>853</v>
      </c>
      <c r="C478" s="1">
        <v>46490</v>
      </c>
      <c r="D478" s="1">
        <v>6392</v>
      </c>
      <c r="E478" s="2">
        <v>88</v>
      </c>
      <c r="F478" s="2" t="str" cm="1">
        <f t="array" ref="F478">_xlfn.IFS(AND(101&gt;E478, E478&gt;69), "Top-Tier", AND(70&gt;E478, E478&gt;39), "Mid-Tier", 40&gt;E478, "Low-Tier")</f>
        <v>Top-Tier</v>
      </c>
      <c r="G478" s="4">
        <v>44743</v>
      </c>
      <c r="H478" t="s">
        <v>832</v>
      </c>
      <c r="I478" t="s">
        <v>33</v>
      </c>
      <c r="J478" t="s">
        <v>50</v>
      </c>
      <c r="K478" t="s">
        <v>51</v>
      </c>
      <c r="L478" t="s">
        <v>24</v>
      </c>
      <c r="N478" t="s">
        <v>31</v>
      </c>
      <c r="P478" s="3">
        <v>75</v>
      </c>
      <c r="Q478" t="str">
        <f>LEFT(B478, 4)</f>
        <v>Asus</v>
      </c>
      <c r="R478" t="str">
        <f t="shared" si="52"/>
        <v>Apple M3</v>
      </c>
      <c r="S478" t="str">
        <f t="shared" si="53"/>
        <v xml:space="preserve">8 GB </v>
      </c>
    </row>
    <row r="479" spans="1:19">
      <c r="A479" t="str">
        <f>LEFT(B479, LEN(B479)-15)</f>
        <v>Dell Inspiron 15 3511 (D560783WIN9BD) Laptop (Core i3 11th Gen/8 GB/512 GB SSD/Windows 11)</v>
      </c>
      <c r="B479" t="s">
        <v>854</v>
      </c>
      <c r="C479" s="1">
        <v>42999</v>
      </c>
      <c r="D479" s="1">
        <v>5</v>
      </c>
      <c r="E479" s="2">
        <v>88</v>
      </c>
      <c r="F479" s="2" t="str" cm="1">
        <f t="array" ref="F479">_xlfn.IFS(AND(101&gt;E479, E479&gt;69), "Top-Tier", AND(70&gt;E479, E479&gt;39), "Mid-Tier", 40&gt;E479, "Low-Tier")</f>
        <v>Top-Tier</v>
      </c>
      <c r="G479" s="4">
        <v>44743</v>
      </c>
      <c r="H479" t="s">
        <v>832</v>
      </c>
      <c r="I479" t="s">
        <v>33</v>
      </c>
      <c r="J479" t="s">
        <v>50</v>
      </c>
      <c r="K479" t="s">
        <v>51</v>
      </c>
      <c r="L479" t="s">
        <v>24</v>
      </c>
      <c r="M479" t="s">
        <v>444</v>
      </c>
      <c r="N479" t="s">
        <v>31</v>
      </c>
      <c r="Q479" t="str">
        <f>LEFT(B479, 4)</f>
        <v>Dell</v>
      </c>
      <c r="R479" t="str">
        <f t="shared" si="52"/>
        <v>Apple M3</v>
      </c>
      <c r="S479" t="str">
        <f t="shared" si="53"/>
        <v xml:space="preserve">8 GB </v>
      </c>
    </row>
    <row r="480" spans="1:19">
      <c r="A480" t="str">
        <f>LEFT(B480, LEN(B480)-15)</f>
        <v>Asus ROG Strix G15 G513IE-HN040WS Laptop (AMD Octa Core Ryzen 7/16 GB/1 TB SSD/Windows 11/4 GB)</v>
      </c>
      <c r="B480" t="s">
        <v>855</v>
      </c>
      <c r="C480" s="1">
        <v>71990</v>
      </c>
      <c r="D480" s="1">
        <v>425</v>
      </c>
      <c r="E480" s="2">
        <v>88</v>
      </c>
      <c r="F480" s="2" t="str" cm="1">
        <f t="array" ref="F480">_xlfn.IFS(AND(101&gt;E480, E480&gt;69), "Top-Tier", AND(70&gt;E480, E480&gt;39), "Mid-Tier", 40&gt;E480, "Low-Tier")</f>
        <v>Top-Tier</v>
      </c>
      <c r="G480" s="4">
        <v>44713</v>
      </c>
      <c r="H480" t="s">
        <v>832</v>
      </c>
      <c r="I480" t="s">
        <v>33</v>
      </c>
      <c r="J480" t="s">
        <v>184</v>
      </c>
      <c r="K480" t="s">
        <v>51</v>
      </c>
      <c r="M480" t="s">
        <v>250</v>
      </c>
      <c r="N480" t="s">
        <v>31</v>
      </c>
      <c r="P480" s="3">
        <v>80</v>
      </c>
      <c r="Q480" t="str">
        <f>LEFT(B480, 4)</f>
        <v>Asus</v>
      </c>
      <c r="R480" t="str">
        <f t="shared" si="52"/>
        <v>Apple M3</v>
      </c>
      <c r="S480" t="str">
        <f t="shared" si="53"/>
        <v>16 GB</v>
      </c>
    </row>
    <row r="481" spans="1:19">
      <c r="A481" t="str">
        <f>LEFT(B481, LEN(B481)-15)</f>
        <v>Asus TUF Gaming F17 FX777ZE-HX052WS Laptop (Core i7 12th Gen/16 GB/1 TB SSD/Windows 11/4 GB)</v>
      </c>
      <c r="B481" t="s">
        <v>856</v>
      </c>
      <c r="C481" s="1">
        <v>98999</v>
      </c>
      <c r="D481" s="1">
        <v>193</v>
      </c>
      <c r="E481" s="2">
        <v>88</v>
      </c>
      <c r="F481" s="2" t="str" cm="1">
        <f t="array" ref="F481">_xlfn.IFS(AND(101&gt;E481, E481&gt;69), "Top-Tier", AND(70&gt;E481, E481&gt;39), "Mid-Tier", 40&gt;E481, "Low-Tier")</f>
        <v>Top-Tier</v>
      </c>
      <c r="G481" s="4">
        <v>44713</v>
      </c>
      <c r="H481" t="s">
        <v>832</v>
      </c>
      <c r="I481" t="s">
        <v>33</v>
      </c>
      <c r="J481" t="s">
        <v>72</v>
      </c>
      <c r="K481" t="s">
        <v>395</v>
      </c>
      <c r="L481" t="s">
        <v>24</v>
      </c>
      <c r="N481" t="s">
        <v>31</v>
      </c>
      <c r="P481" s="3">
        <v>83</v>
      </c>
      <c r="Q481" t="str">
        <f>LEFT(B481, 4)</f>
        <v>Asus</v>
      </c>
      <c r="R481" t="str">
        <f t="shared" si="52"/>
        <v>Apple M3</v>
      </c>
      <c r="S481" t="str">
        <f t="shared" si="53"/>
        <v>16 GB</v>
      </c>
    </row>
    <row r="482" spans="1:19">
      <c r="A482" t="str">
        <f>LEFT(B482, LEN(B482)-15)</f>
        <v>Asus ROG Flow Z13 GZ301ZC-LD123WS Laptop (Core i7 12th Gen/16 GB/512 GB SSD/Windows 11/4 GB)</v>
      </c>
      <c r="B482" t="s">
        <v>857</v>
      </c>
      <c r="C482" s="1">
        <v>109990</v>
      </c>
      <c r="D482" s="1">
        <v>23</v>
      </c>
      <c r="E482" s="2">
        <v>88</v>
      </c>
      <c r="F482" s="2" t="str" cm="1">
        <f t="array" ref="F482">_xlfn.IFS(AND(101&gt;E482, E482&gt;69), "Top-Tier", AND(70&gt;E482, E482&gt;39), "Mid-Tier", 40&gt;E482, "Low-Tier")</f>
        <v>Top-Tier</v>
      </c>
      <c r="G482" s="4">
        <v>44713</v>
      </c>
      <c r="H482" t="s">
        <v>832</v>
      </c>
      <c r="I482" t="s">
        <v>33</v>
      </c>
      <c r="J482" t="s">
        <v>121</v>
      </c>
      <c r="K482" t="s">
        <v>296</v>
      </c>
      <c r="L482" t="s">
        <v>24</v>
      </c>
      <c r="M482" t="s">
        <v>283</v>
      </c>
      <c r="Q482" t="str">
        <f>LEFT(B482, 4)</f>
        <v>Asus</v>
      </c>
      <c r="R482" t="str">
        <f t="shared" si="52"/>
        <v>Apple M3</v>
      </c>
      <c r="S482" t="str">
        <f t="shared" si="53"/>
        <v>16 GB</v>
      </c>
    </row>
    <row r="483" spans="1:19">
      <c r="A483" t="str">
        <f>LEFT(B483, LEN(B483)-15)</f>
        <v>Asus ROG Strix G15 G513QY-HQ032WS Laptop (AMD Octa Core Ryzen 9/16 GB/1 TB SSD/Windows 11/12 GB)</v>
      </c>
      <c r="B483" t="s">
        <v>858</v>
      </c>
      <c r="C483" s="1">
        <v>123000</v>
      </c>
      <c r="D483" s="1">
        <v>117</v>
      </c>
      <c r="E483" s="2">
        <v>88</v>
      </c>
      <c r="F483" s="2" t="str" cm="1">
        <f t="array" ref="F483">_xlfn.IFS(AND(101&gt;E483, E483&gt;69), "Top-Tier", AND(70&gt;E483, E483&gt;39), "Mid-Tier", 40&gt;E483, "Low-Tier")</f>
        <v>Top-Tier</v>
      </c>
      <c r="G483" s="4">
        <v>44713</v>
      </c>
      <c r="H483" t="s">
        <v>832</v>
      </c>
      <c r="I483" t="s">
        <v>33</v>
      </c>
      <c r="J483" t="s">
        <v>184</v>
      </c>
      <c r="K483" t="s">
        <v>256</v>
      </c>
      <c r="N483" t="s">
        <v>31</v>
      </c>
      <c r="P483" s="3">
        <v>80</v>
      </c>
      <c r="Q483" t="str">
        <f>LEFT(B483, 4)</f>
        <v>Asus</v>
      </c>
      <c r="R483" t="str">
        <f t="shared" si="52"/>
        <v>Apple M3</v>
      </c>
      <c r="S483" t="str">
        <f t="shared" si="53"/>
        <v>16 GB</v>
      </c>
    </row>
    <row r="484" spans="1:19">
      <c r="A484" t="str">
        <f>LEFT(B484, LEN(B484)-15)</f>
        <v>Lenovo LOQ 15ARP9 (83JC00CLIN) Laptop (AMD Quad Core Ryzen 5/12 GB/512 GB SSD/Windows 11/6 GB)</v>
      </c>
      <c r="B484" t="s">
        <v>859</v>
      </c>
      <c r="C484" s="1">
        <v>63990</v>
      </c>
      <c r="D484" s="1">
        <v>369</v>
      </c>
      <c r="E484" s="2">
        <v>86</v>
      </c>
      <c r="F484" s="2" t="str" cm="1">
        <f t="array" ref="F484">_xlfn.IFS(AND(101&gt;E484, E484&gt;69), "Top-Tier", AND(70&gt;E484, E484&gt;39), "Mid-Tier", 40&gt;E484, "Low-Tier")</f>
        <v>Top-Tier</v>
      </c>
      <c r="G484" s="4">
        <v>45778</v>
      </c>
      <c r="H484" t="s">
        <v>832</v>
      </c>
      <c r="I484" t="s">
        <v>33</v>
      </c>
      <c r="J484" t="s">
        <v>726</v>
      </c>
      <c r="K484" t="s">
        <v>51</v>
      </c>
      <c r="L484" t="s">
        <v>24</v>
      </c>
      <c r="N484" t="s">
        <v>31</v>
      </c>
      <c r="P484" s="3">
        <v>81</v>
      </c>
      <c r="Q484" t="str">
        <f>LEFT(B484, 6)</f>
        <v>Lenovo</v>
      </c>
      <c r="R484" t="str">
        <f t="shared" si="52"/>
        <v>Apple M3</v>
      </c>
      <c r="S484" t="str">
        <f t="shared" si="53"/>
        <v>12 GB</v>
      </c>
    </row>
    <row r="485" spans="1:19">
      <c r="A485" t="str">
        <f>LEFT(B485, LEN(B485)-15)</f>
        <v>Asus ExpertBook P1 P1503CVA-S70611WS Laptop (Core i5 13th Gen/16 GB/512 GB SSD/Windows 11)</v>
      </c>
      <c r="B485" t="s">
        <v>860</v>
      </c>
      <c r="C485" s="1">
        <v>55990</v>
      </c>
      <c r="D485" s="1">
        <v>256</v>
      </c>
      <c r="E485" s="2">
        <v>86</v>
      </c>
      <c r="F485" s="2" t="str" cm="1">
        <f t="array" ref="F485">_xlfn.IFS(AND(101&gt;E485, E485&gt;69), "Top-Tier", AND(70&gt;E485, E485&gt;39), "Mid-Tier", 40&gt;E485, "Low-Tier")</f>
        <v>Top-Tier</v>
      </c>
      <c r="G485" s="4">
        <v>45748</v>
      </c>
      <c r="H485" t="s">
        <v>861</v>
      </c>
      <c r="I485" t="s">
        <v>33</v>
      </c>
      <c r="J485" t="s">
        <v>54</v>
      </c>
      <c r="K485" t="s">
        <v>159</v>
      </c>
      <c r="L485" t="s">
        <v>24</v>
      </c>
      <c r="M485" t="s">
        <v>52</v>
      </c>
      <c r="N485" t="s">
        <v>31</v>
      </c>
      <c r="P485" s="3">
        <v>79</v>
      </c>
      <c r="Q485" t="str">
        <f>LEFT(B485, 4)</f>
        <v>Asus</v>
      </c>
      <c r="R485" t="str">
        <f t="shared" si="52"/>
        <v>Apple M3</v>
      </c>
      <c r="S485" t="str">
        <f t="shared" si="53"/>
        <v>16 GB</v>
      </c>
    </row>
    <row r="486" spans="1:19">
      <c r="A486" t="str">
        <f>LEFT(B486, LEN(B486)-15)</f>
        <v>Asus ExpertBook P1 P1403CVA-S60939WS Laptop (Core i5 13th Gen/32 GB/512 GB SSD/Windows 11)</v>
      </c>
      <c r="B486" t="s">
        <v>862</v>
      </c>
      <c r="C486" s="1">
        <v>62990</v>
      </c>
      <c r="D486" s="1">
        <v>256</v>
      </c>
      <c r="E486" s="2">
        <v>86</v>
      </c>
      <c r="F486" s="2" t="str" cm="1">
        <f t="array" ref="F486">_xlfn.IFS(AND(101&gt;E486, E486&gt;69), "Top-Tier", AND(70&gt;E486, E486&gt;39), "Mid-Tier", 40&gt;E486, "Low-Tier")</f>
        <v>Top-Tier</v>
      </c>
      <c r="G486" s="4">
        <v>45748</v>
      </c>
      <c r="H486" t="s">
        <v>861</v>
      </c>
      <c r="I486" t="s">
        <v>33</v>
      </c>
      <c r="J486" t="s">
        <v>863</v>
      </c>
      <c r="K486" t="s">
        <v>427</v>
      </c>
      <c r="L486" t="s">
        <v>24</v>
      </c>
      <c r="M486" t="s">
        <v>864</v>
      </c>
      <c r="N486" t="s">
        <v>31</v>
      </c>
      <c r="P486" s="3">
        <v>80</v>
      </c>
      <c r="Q486" t="str">
        <f>LEFT(B486, 4)</f>
        <v>Asus</v>
      </c>
      <c r="R486" t="str">
        <f t="shared" si="52"/>
        <v>Apple M3</v>
      </c>
      <c r="S486" t="str">
        <f t="shared" si="53"/>
        <v>32 GB</v>
      </c>
    </row>
    <row r="487" spans="1:19">
      <c r="A487" t="str">
        <f>LEFT(B487, LEN(B487)-15)</f>
        <v>Asus VivoBook 15 X1504VA-NJ2217WS Laptop (Core i5 13th Gen/16 GB/512 GB SSD/Windows 11)</v>
      </c>
      <c r="B487" t="s">
        <v>865</v>
      </c>
      <c r="C487" s="1">
        <v>55990</v>
      </c>
      <c r="D487" s="1">
        <v>134</v>
      </c>
      <c r="E487" s="2">
        <v>86</v>
      </c>
      <c r="F487" s="2" t="str" cm="1">
        <f t="array" ref="F487">_xlfn.IFS(AND(101&gt;E487, E487&gt;69), "Top-Tier", AND(70&gt;E487, E487&gt;39), "Mid-Tier", 40&gt;E487, "Low-Tier")</f>
        <v>Top-Tier</v>
      </c>
      <c r="G487" s="4">
        <v>45689</v>
      </c>
      <c r="H487" t="s">
        <v>861</v>
      </c>
      <c r="I487" t="s">
        <v>33</v>
      </c>
      <c r="J487" t="s">
        <v>34</v>
      </c>
      <c r="K487" t="s">
        <v>159</v>
      </c>
      <c r="L487" t="s">
        <v>24</v>
      </c>
      <c r="M487" t="s">
        <v>95</v>
      </c>
      <c r="N487" t="s">
        <v>31</v>
      </c>
      <c r="P487" s="3">
        <v>78</v>
      </c>
      <c r="Q487" t="str">
        <f>LEFT(B487, 4)</f>
        <v>Asus</v>
      </c>
      <c r="R487" t="str">
        <f t="shared" si="52"/>
        <v>Apple M3</v>
      </c>
      <c r="S487" t="str">
        <f t="shared" si="53"/>
        <v>16 GB</v>
      </c>
    </row>
    <row r="488" spans="1:19">
      <c r="A488" t="str">
        <f>LEFT(B488, LEN(B488)-15)</f>
        <v>Asus VivoBook 15 X1504VA-NJ1765WS Laptop (Core i5 13th Gen/8 GB/512 GB SSD/Windows 11)</v>
      </c>
      <c r="B488" t="s">
        <v>866</v>
      </c>
      <c r="C488" s="1">
        <v>45990</v>
      </c>
      <c r="D488" s="1">
        <v>134</v>
      </c>
      <c r="E488" s="2">
        <v>86</v>
      </c>
      <c r="F488" s="2" t="str" cm="1">
        <f t="array" ref="F488">_xlfn.IFS(AND(101&gt;E488, E488&gt;69), "Top-Tier", AND(70&gt;E488, E488&gt;39), "Mid-Tier", 40&gt;E488, "Low-Tier")</f>
        <v>Top-Tier</v>
      </c>
      <c r="G488" s="4">
        <v>45689</v>
      </c>
      <c r="H488" t="s">
        <v>861</v>
      </c>
      <c r="I488" t="s">
        <v>33</v>
      </c>
      <c r="J488" t="s">
        <v>50</v>
      </c>
      <c r="K488" t="s">
        <v>159</v>
      </c>
      <c r="L488" t="s">
        <v>24</v>
      </c>
      <c r="M488" t="s">
        <v>95</v>
      </c>
      <c r="N488" t="s">
        <v>31</v>
      </c>
      <c r="P488" s="3">
        <v>78</v>
      </c>
      <c r="Q488" t="str">
        <f>LEFT(B488, 4)</f>
        <v>Asus</v>
      </c>
      <c r="R488" t="str">
        <f t="shared" si="52"/>
        <v>Apple M3</v>
      </c>
      <c r="S488" t="str">
        <f t="shared" si="53"/>
        <v xml:space="preserve">8 GB </v>
      </c>
    </row>
    <row r="489" spans="1:19">
      <c r="A489" t="str">
        <f>LEFT(B489, LEN(B489)-15)</f>
        <v>Asus VivoBook 15 X515JA-BQ322WS Laptop (Core i3 10th Gen/8 GB/512 GB SSD/Windows 11)</v>
      </c>
      <c r="B489" t="s">
        <v>867</v>
      </c>
      <c r="C489" s="1">
        <v>27990</v>
      </c>
      <c r="D489" s="1">
        <v>12705</v>
      </c>
      <c r="E489" s="2">
        <v>86</v>
      </c>
      <c r="F489" s="2" t="str" cm="1">
        <f t="array" ref="F489">_xlfn.IFS(AND(101&gt;E489, E489&gt;69), "Top-Tier", AND(70&gt;E489, E489&gt;39), "Mid-Tier", 40&gt;E489, "Low-Tier")</f>
        <v>Top-Tier</v>
      </c>
      <c r="G489" s="4">
        <v>44743</v>
      </c>
      <c r="H489" t="s">
        <v>861</v>
      </c>
      <c r="I489" t="s">
        <v>33</v>
      </c>
      <c r="J489" t="s">
        <v>50</v>
      </c>
      <c r="K489" t="s">
        <v>249</v>
      </c>
      <c r="L489" t="s">
        <v>24</v>
      </c>
      <c r="M489" t="s">
        <v>52</v>
      </c>
      <c r="N489" t="s">
        <v>31</v>
      </c>
      <c r="Q489" t="str">
        <f>LEFT(B489, 4)</f>
        <v>Asus</v>
      </c>
      <c r="R489" t="str">
        <f t="shared" si="52"/>
        <v>Apple M3</v>
      </c>
      <c r="S489" t="str">
        <f t="shared" si="53"/>
        <v xml:space="preserve">8 GB </v>
      </c>
    </row>
    <row r="490" spans="1:19">
      <c r="A490" t="str">
        <f>LEFT(B490, LEN(B490)-15)</f>
        <v>Acer Aspire 3 A324-53 (UN.34RSI.007) Laptop (Core i5 13th Gen/16 GB/1 TB SSD/Windows 11)</v>
      </c>
      <c r="B490" t="s">
        <v>868</v>
      </c>
      <c r="C490" s="1">
        <v>51990</v>
      </c>
      <c r="D490" s="1">
        <v>252</v>
      </c>
      <c r="E490" s="2">
        <v>86</v>
      </c>
      <c r="F490" s="2" t="str" cm="1">
        <f t="array" ref="F490">_xlfn.IFS(AND(101&gt;E490, E490&gt;69), "Top-Tier", AND(70&gt;E490, E490&gt;39), "Mid-Tier", 40&gt;E490, "Low-Tier")</f>
        <v>Top-Tier</v>
      </c>
      <c r="G490" s="4">
        <v>45658</v>
      </c>
      <c r="H490" t="s">
        <v>861</v>
      </c>
      <c r="I490" t="s">
        <v>33</v>
      </c>
      <c r="J490" t="s">
        <v>184</v>
      </c>
      <c r="K490" t="s">
        <v>354</v>
      </c>
      <c r="L490" t="s">
        <v>24</v>
      </c>
      <c r="M490" t="s">
        <v>336</v>
      </c>
      <c r="N490" t="s">
        <v>31</v>
      </c>
      <c r="P490" s="3">
        <v>79</v>
      </c>
      <c r="Q490" t="str">
        <f>LEFT(B490, 4)</f>
        <v>Acer</v>
      </c>
      <c r="R490" t="str">
        <f t="shared" si="52"/>
        <v>Apple M3</v>
      </c>
      <c r="S490" t="str">
        <f t="shared" si="53"/>
        <v>16 GB</v>
      </c>
    </row>
    <row r="491" spans="1:19">
      <c r="A491" t="str">
        <f>LEFT(B491, LEN(B491)-15)</f>
        <v>Acer Aspire 3 A324-53 (UN.34RSI.004) Laptop (Core i5 13th Gen/16 GB/512 GB SSD/Windows 11)</v>
      </c>
      <c r="B491" t="s">
        <v>869</v>
      </c>
      <c r="C491" s="1">
        <v>48990</v>
      </c>
      <c r="D491" s="1">
        <v>252</v>
      </c>
      <c r="E491" s="2">
        <v>86</v>
      </c>
      <c r="F491" s="2" t="str" cm="1">
        <f t="array" ref="F491">_xlfn.IFS(AND(101&gt;E491, E491&gt;69), "Top-Tier", AND(70&gt;E491, E491&gt;39), "Mid-Tier", 40&gt;E491, "Low-Tier")</f>
        <v>Top-Tier</v>
      </c>
      <c r="G491" s="4">
        <v>45627</v>
      </c>
      <c r="H491" t="s">
        <v>870</v>
      </c>
      <c r="I491" t="s">
        <v>33</v>
      </c>
      <c r="J491" t="s">
        <v>34</v>
      </c>
      <c r="K491" t="s">
        <v>354</v>
      </c>
      <c r="L491" t="s">
        <v>24</v>
      </c>
      <c r="M491" t="s">
        <v>336</v>
      </c>
      <c r="N491" t="s">
        <v>31</v>
      </c>
      <c r="P491" s="3">
        <v>78</v>
      </c>
      <c r="Q491" t="str">
        <f>LEFT(B491, 4)</f>
        <v>Acer</v>
      </c>
      <c r="R491" t="str">
        <f t="shared" si="52"/>
        <v>Apple M3</v>
      </c>
      <c r="S491" t="str">
        <f t="shared" si="53"/>
        <v>16 GB</v>
      </c>
    </row>
    <row r="492" spans="1:19">
      <c r="A492" t="str">
        <f>LEFT(B492, LEN(B492)-15)</f>
        <v>Acer Aspire 3 A324-53 (UN.34RSI.006) Laptop (Core i5 13th Gen/8 GB/512 GB SSD/Windows 11)</v>
      </c>
      <c r="B492" t="s">
        <v>871</v>
      </c>
      <c r="C492" s="1">
        <v>46990</v>
      </c>
      <c r="D492" s="1">
        <v>252</v>
      </c>
      <c r="E492" s="2">
        <v>86</v>
      </c>
      <c r="F492" s="2" t="str" cm="1">
        <f t="array" ref="F492">_xlfn.IFS(AND(101&gt;E492, E492&gt;69), "Top-Tier", AND(70&gt;E492, E492&gt;39), "Mid-Tier", 40&gt;E492, "Low-Tier")</f>
        <v>Top-Tier</v>
      </c>
      <c r="G492" s="4">
        <v>45627</v>
      </c>
      <c r="H492" t="s">
        <v>870</v>
      </c>
      <c r="I492" t="s">
        <v>33</v>
      </c>
      <c r="J492" t="s">
        <v>50</v>
      </c>
      <c r="K492" t="s">
        <v>354</v>
      </c>
      <c r="L492" t="s">
        <v>24</v>
      </c>
      <c r="M492" t="s">
        <v>336</v>
      </c>
      <c r="N492" t="s">
        <v>31</v>
      </c>
      <c r="P492" s="3">
        <v>78</v>
      </c>
      <c r="Q492" t="str">
        <f>LEFT(B492, 4)</f>
        <v>Acer</v>
      </c>
      <c r="R492" t="str">
        <f t="shared" si="52"/>
        <v>Apple M3</v>
      </c>
      <c r="S492" t="str">
        <f t="shared" si="53"/>
        <v xml:space="preserve">8 GB </v>
      </c>
    </row>
    <row r="493" spans="1:19">
      <c r="A493" t="str">
        <f>LEFT(B493, LEN(B493)-15)</f>
        <v>Acer Aspire 7 A715-79G (UN.34NSI.001) Laptop (Core i5 13th Gen/8 GB/512 GB SSD/Windows 11/4 GB)</v>
      </c>
      <c r="B493" t="s">
        <v>872</v>
      </c>
      <c r="C493" s="1">
        <v>57990</v>
      </c>
      <c r="D493" s="1">
        <v>2125</v>
      </c>
      <c r="E493" s="2">
        <v>86</v>
      </c>
      <c r="F493" s="2" t="str" cm="1">
        <f t="array" ref="F493">_xlfn.IFS(AND(101&gt;E493, E493&gt;69), "Top-Tier", AND(70&gt;E493, E493&gt;39), "Mid-Tier", 40&gt;E493, "Low-Tier")</f>
        <v>Top-Tier</v>
      </c>
      <c r="G493" s="4">
        <v>45505</v>
      </c>
      <c r="H493" t="s">
        <v>870</v>
      </c>
      <c r="I493" t="s">
        <v>33</v>
      </c>
      <c r="J493" t="s">
        <v>50</v>
      </c>
      <c r="K493" t="s">
        <v>51</v>
      </c>
      <c r="L493" t="s">
        <v>24</v>
      </c>
      <c r="N493" t="s">
        <v>31</v>
      </c>
      <c r="P493" s="3">
        <v>84</v>
      </c>
      <c r="Q493" t="str">
        <f>LEFT(B493, 4)</f>
        <v>Acer</v>
      </c>
      <c r="R493" t="str">
        <f t="shared" si="52"/>
        <v>Apple M3</v>
      </c>
      <c r="S493" t="str">
        <f t="shared" si="53"/>
        <v xml:space="preserve">8 GB </v>
      </c>
    </row>
    <row r="494" spans="1:19">
      <c r="A494" t="str">
        <f>LEFT(B494, LEN(B494)-15)</f>
        <v>HP Victus 15-fa1351TX (A18QBPA) Laptop (Core i5 12th Gen/16 GB/512 GB SSD/Windows 11/4 GB)</v>
      </c>
      <c r="B494" t="s">
        <v>873</v>
      </c>
      <c r="C494" s="1">
        <v>56990</v>
      </c>
      <c r="D494" s="1">
        <v>2939</v>
      </c>
      <c r="E494" s="2">
        <v>86</v>
      </c>
      <c r="F494" s="2" t="str" cm="1">
        <f t="array" ref="F494">_xlfn.IFS(AND(101&gt;E494, E494&gt;69), "Top-Tier", AND(70&gt;E494, E494&gt;39), "Mid-Tier", 40&gt;E494, "Low-Tier")</f>
        <v>Top-Tier</v>
      </c>
      <c r="G494" s="4">
        <v>45627</v>
      </c>
      <c r="H494" t="s">
        <v>870</v>
      </c>
      <c r="I494" t="s">
        <v>33</v>
      </c>
      <c r="J494" t="s">
        <v>34</v>
      </c>
      <c r="K494" t="s">
        <v>51</v>
      </c>
      <c r="L494" t="s">
        <v>24</v>
      </c>
      <c r="N494" t="s">
        <v>31</v>
      </c>
      <c r="P494" s="3">
        <v>77</v>
      </c>
      <c r="Q494" t="str">
        <f>LEFT(B494, 2)</f>
        <v>HP</v>
      </c>
      <c r="R494" t="str">
        <f t="shared" si="52"/>
        <v>Apple M3</v>
      </c>
      <c r="S494" t="str">
        <f t="shared" si="53"/>
        <v>16 GB</v>
      </c>
    </row>
    <row r="495" spans="1:19">
      <c r="A495" t="str">
        <f>LEFT(B495, LEN(B495)-15)</f>
        <v>Lenovo V15 Gen 3 (82TTA07QIH) Laptop (Core i5 12th Gen/8 GB/512 GB SSD/Windows 11)</v>
      </c>
      <c r="B495" t="s">
        <v>874</v>
      </c>
      <c r="C495" s="1">
        <v>41990</v>
      </c>
      <c r="D495" s="1">
        <v>57</v>
      </c>
      <c r="E495" s="2">
        <v>86</v>
      </c>
      <c r="F495" s="2" t="str" cm="1">
        <f t="array" ref="F495">_xlfn.IFS(AND(101&gt;E495, E495&gt;69), "Top-Tier", AND(70&gt;E495, E495&gt;39), "Mid-Tier", 40&gt;E495, "Low-Tier")</f>
        <v>Top-Tier</v>
      </c>
      <c r="G495" s="4">
        <v>45505</v>
      </c>
      <c r="H495" t="s">
        <v>870</v>
      </c>
      <c r="I495" t="s">
        <v>33</v>
      </c>
      <c r="J495" t="s">
        <v>50</v>
      </c>
      <c r="K495" t="s">
        <v>159</v>
      </c>
      <c r="L495" t="s">
        <v>24</v>
      </c>
      <c r="M495" t="s">
        <v>52</v>
      </c>
      <c r="N495" t="s">
        <v>31</v>
      </c>
      <c r="P495" s="3">
        <v>75</v>
      </c>
      <c r="Q495" t="str">
        <f>LEFT(B495, 6)</f>
        <v>Lenovo</v>
      </c>
      <c r="R495" t="str">
        <f t="shared" si="52"/>
        <v>Apple M3</v>
      </c>
      <c r="S495" t="str">
        <f t="shared" si="53"/>
        <v xml:space="preserve">8 GB </v>
      </c>
    </row>
    <row r="496" spans="1:19">
      <c r="A496" t="str">
        <f>LEFT(B496, LEN(B496)-15)</f>
        <v>Dell Vostro 3520 (VN3520VMN67002ORG1) Laptop (Core i3 12th Gen/8 GB/512 GB SSD/Windows 11)</v>
      </c>
      <c r="B496" t="s">
        <v>875</v>
      </c>
      <c r="C496" s="1">
        <v>32990</v>
      </c>
      <c r="D496" s="1">
        <v>245</v>
      </c>
      <c r="E496" s="2">
        <v>86</v>
      </c>
      <c r="F496" s="2" t="str" cm="1">
        <f t="array" ref="F496">_xlfn.IFS(AND(101&gt;E496, E496&gt;69), "Top-Tier", AND(70&gt;E496, E496&gt;39), "Mid-Tier", 40&gt;E496, "Low-Tier")</f>
        <v>Top-Tier</v>
      </c>
      <c r="G496" s="4">
        <v>45689</v>
      </c>
      <c r="H496" t="s">
        <v>876</v>
      </c>
      <c r="I496" t="s">
        <v>33</v>
      </c>
      <c r="J496" t="s">
        <v>50</v>
      </c>
      <c r="K496" t="s">
        <v>159</v>
      </c>
      <c r="L496" t="s">
        <v>24</v>
      </c>
      <c r="N496" t="s">
        <v>31</v>
      </c>
      <c r="Q496" t="str">
        <f>LEFT(B496, 4)</f>
        <v>Dell</v>
      </c>
      <c r="R496" t="str">
        <f t="shared" si="52"/>
        <v>Apple M4</v>
      </c>
      <c r="S496" t="str">
        <f t="shared" si="53"/>
        <v xml:space="preserve">8 GB </v>
      </c>
    </row>
    <row r="497" spans="1:19">
      <c r="A497" t="str">
        <f>LEFT(B497, LEN(B497)-15)</f>
        <v>Lenovo LOQ 15IAX9 (83GS00CJIN) Laptop (Core i5 12th Gen/24 GB/512 GB SSD/Windows 11/6 GB)</v>
      </c>
      <c r="B497" t="s">
        <v>877</v>
      </c>
      <c r="C497" s="1">
        <v>75190</v>
      </c>
      <c r="D497" s="1">
        <v>779</v>
      </c>
      <c r="E497" s="2">
        <v>86</v>
      </c>
      <c r="F497" s="2" t="str" cm="1">
        <f t="array" ref="F497">_xlfn.IFS(AND(101&gt;E497, E497&gt;69), "Top-Tier", AND(70&gt;E497, E497&gt;39), "Mid-Tier", 40&gt;E497, "Low-Tier")</f>
        <v>Top-Tier</v>
      </c>
      <c r="G497" s="4">
        <v>45505</v>
      </c>
      <c r="H497" t="s">
        <v>876</v>
      </c>
      <c r="I497" t="s">
        <v>33</v>
      </c>
      <c r="J497" t="s">
        <v>436</v>
      </c>
      <c r="K497" t="s">
        <v>51</v>
      </c>
      <c r="L497" t="s">
        <v>24</v>
      </c>
      <c r="N497" t="s">
        <v>31</v>
      </c>
      <c r="P497" s="3">
        <v>86</v>
      </c>
      <c r="Q497" t="str">
        <f>LEFT(B497, 6)</f>
        <v>Lenovo</v>
      </c>
      <c r="R497" t="str">
        <f t="shared" si="52"/>
        <v>Apple M4</v>
      </c>
      <c r="S497" t="str">
        <f t="shared" si="53"/>
        <v>24 GB</v>
      </c>
    </row>
    <row r="498" spans="1:19">
      <c r="A498" t="str">
        <f>LEFT(B498, LEN(B498)-15)</f>
        <v>Asus ExpertBook P1 P1403CVA-S60940WS Laptop (Core i7 13th Gen/32 GB/512 GB SSD/Windows 11)</v>
      </c>
      <c r="B498" t="s">
        <v>878</v>
      </c>
      <c r="C498" s="1">
        <v>72990</v>
      </c>
      <c r="D498" s="1">
        <v>69</v>
      </c>
      <c r="E498" s="2">
        <v>86</v>
      </c>
      <c r="F498" s="2" t="str" cm="1">
        <f t="array" ref="F498">_xlfn.IFS(AND(101&gt;E498, E498&gt;69), "Top-Tier", AND(70&gt;E498, E498&gt;39), "Mid-Tier", 40&gt;E498, "Low-Tier")</f>
        <v>Top-Tier</v>
      </c>
      <c r="G498" s="4">
        <v>45748</v>
      </c>
      <c r="H498" t="s">
        <v>876</v>
      </c>
      <c r="I498" t="s">
        <v>33</v>
      </c>
      <c r="J498" t="s">
        <v>863</v>
      </c>
      <c r="K498" t="s">
        <v>427</v>
      </c>
      <c r="L498" t="s">
        <v>24</v>
      </c>
      <c r="M498" t="s">
        <v>864</v>
      </c>
      <c r="N498" t="s">
        <v>31</v>
      </c>
      <c r="P498" s="3">
        <v>81</v>
      </c>
      <c r="Q498" t="str">
        <f>LEFT(B498, 4)</f>
        <v>Asus</v>
      </c>
      <c r="R498" t="str">
        <f t="shared" si="52"/>
        <v>Apple M4</v>
      </c>
      <c r="S498" t="str">
        <f t="shared" si="53"/>
        <v>32 GB</v>
      </c>
    </row>
    <row r="499" spans="1:19">
      <c r="A499" t="str">
        <f>LEFT(B499, LEN(B499)-15)</f>
        <v>Asus ExpertBook P1 P1503CVA-S71042WS Laptop (Core i7 13th Gen/16 GB/512 GB SSD/Windows 11)</v>
      </c>
      <c r="B499" t="s">
        <v>879</v>
      </c>
      <c r="C499" s="1">
        <v>65990</v>
      </c>
      <c r="D499" s="1">
        <v>69</v>
      </c>
      <c r="E499" s="2">
        <v>86</v>
      </c>
      <c r="F499" s="2" t="str" cm="1">
        <f t="array" ref="F499">_xlfn.IFS(AND(101&gt;E499, E499&gt;69), "Top-Tier", AND(70&gt;E499, E499&gt;39), "Mid-Tier", 40&gt;E499, "Low-Tier")</f>
        <v>Top-Tier</v>
      </c>
      <c r="G499" s="4">
        <v>45748</v>
      </c>
      <c r="H499" t="s">
        <v>876</v>
      </c>
      <c r="I499" t="s">
        <v>33</v>
      </c>
      <c r="J499" t="s">
        <v>54</v>
      </c>
      <c r="K499" t="s">
        <v>159</v>
      </c>
      <c r="L499" t="s">
        <v>24</v>
      </c>
      <c r="M499" t="s">
        <v>52</v>
      </c>
      <c r="N499" t="s">
        <v>31</v>
      </c>
      <c r="P499" s="3">
        <v>80</v>
      </c>
      <c r="Q499" t="str">
        <f>LEFT(B499, 4)</f>
        <v>Asus</v>
      </c>
      <c r="R499" t="str">
        <f t="shared" si="52"/>
        <v>Apple M4</v>
      </c>
      <c r="S499" t="str">
        <f t="shared" si="53"/>
        <v>16 GB</v>
      </c>
    </row>
    <row r="500" spans="1:19">
      <c r="A500" t="str">
        <f>LEFT(B500, LEN(B500)-15)</f>
        <v>Asus VivoBook 15 X1504VA-NJ2324WS Laptop (Core i3 13th Gen/16 GB/512 GB SSD/Windows 11)</v>
      </c>
      <c r="B500" t="s">
        <v>880</v>
      </c>
      <c r="C500" s="1">
        <v>41990</v>
      </c>
      <c r="D500" s="1">
        <v>290</v>
      </c>
      <c r="E500" s="2">
        <v>86</v>
      </c>
      <c r="F500" s="2" t="str" cm="1">
        <f t="array" ref="F500">_xlfn.IFS(AND(101&gt;E500, E500&gt;69), "Top-Tier", AND(70&gt;E500, E500&gt;39), "Mid-Tier", 40&gt;E500, "Low-Tier")</f>
        <v>Top-Tier</v>
      </c>
      <c r="G500" s="4">
        <v>45689</v>
      </c>
      <c r="H500" t="s">
        <v>876</v>
      </c>
      <c r="I500" t="s">
        <v>33</v>
      </c>
      <c r="J500" t="s">
        <v>34</v>
      </c>
      <c r="K500" t="s">
        <v>51</v>
      </c>
      <c r="L500" t="s">
        <v>24</v>
      </c>
      <c r="M500" t="s">
        <v>95</v>
      </c>
      <c r="N500" t="s">
        <v>31</v>
      </c>
      <c r="P500" s="3">
        <v>78</v>
      </c>
      <c r="Q500" t="str">
        <f>LEFT(B500, 4)</f>
        <v>Asus</v>
      </c>
      <c r="R500" t="str">
        <f t="shared" si="52"/>
        <v>Apple M4</v>
      </c>
      <c r="S500" t="str">
        <f t="shared" si="53"/>
        <v>16 GB</v>
      </c>
    </row>
    <row r="501" spans="1:19">
      <c r="A501" t="str">
        <f>LEFT(B501, LEN(B501)-15)</f>
        <v>Infinix INBook Y3 Max YL613 (71008301495) Laptop (Core i5 12th Gen/16 GB/512 GB SSD/Windows 11)</v>
      </c>
      <c r="B501" t="s">
        <v>881</v>
      </c>
      <c r="C501" s="1">
        <v>29990</v>
      </c>
      <c r="D501" s="1">
        <v>362</v>
      </c>
      <c r="E501" s="2">
        <v>86</v>
      </c>
      <c r="F501" s="2" t="str" cm="1">
        <f t="array" ref="F501">_xlfn.IFS(AND(101&gt;E501, E501&gt;69), "Top-Tier", AND(70&gt;E501, E501&gt;39), "Mid-Tier", 40&gt;E501, "Low-Tier")</f>
        <v>Top-Tier</v>
      </c>
      <c r="G501" s="4">
        <v>45505</v>
      </c>
      <c r="H501" t="s">
        <v>876</v>
      </c>
      <c r="I501" t="s">
        <v>33</v>
      </c>
      <c r="J501" t="s">
        <v>214</v>
      </c>
      <c r="K501" t="s">
        <v>155</v>
      </c>
      <c r="L501" t="s">
        <v>24</v>
      </c>
      <c r="M501" t="s">
        <v>95</v>
      </c>
      <c r="N501" t="s">
        <v>31</v>
      </c>
      <c r="O501" t="s">
        <v>261</v>
      </c>
      <c r="P501" s="3">
        <v>76</v>
      </c>
      <c r="Q501" t="str">
        <f>LEFT(B501, 7)</f>
        <v>Infinix</v>
      </c>
      <c r="R501" t="str">
        <f t="shared" si="52"/>
        <v>Apple M4</v>
      </c>
      <c r="S501" t="str">
        <f t="shared" si="53"/>
        <v>16 GB</v>
      </c>
    </row>
    <row r="502" spans="1:19">
      <c r="A502" t="str">
        <f>LEFT(B502, LEN(B502)-15)</f>
        <v>Dell Vostro 15 3568 (A553502HIN9) Laptop (Core i3 6th Gen/4 GB/1 TB/Windows 10)</v>
      </c>
      <c r="B502" t="s">
        <v>882</v>
      </c>
      <c r="C502" s="1">
        <v>28990</v>
      </c>
      <c r="D502" s="1">
        <v>1783</v>
      </c>
      <c r="E502" s="2">
        <v>86</v>
      </c>
      <c r="F502" s="2" t="str" cm="1">
        <f t="array" ref="F502">_xlfn.IFS(AND(101&gt;E502, E502&gt;69), "Top-Tier", AND(70&gt;E502, E502&gt;39), "Mid-Tier", 40&gt;E502, "Low-Tier")</f>
        <v>Top-Tier</v>
      </c>
      <c r="H502" t="s">
        <v>876</v>
      </c>
      <c r="I502" t="s">
        <v>248</v>
      </c>
      <c r="J502" t="s">
        <v>542</v>
      </c>
      <c r="K502" t="s">
        <v>705</v>
      </c>
      <c r="L502" t="s">
        <v>24</v>
      </c>
      <c r="N502" t="s">
        <v>31</v>
      </c>
      <c r="O502" t="s">
        <v>152</v>
      </c>
      <c r="Q502" t="str">
        <f>LEFT(B502, 4)</f>
        <v>Dell</v>
      </c>
      <c r="R502" t="str">
        <f t="shared" si="52"/>
        <v>Apple M4</v>
      </c>
      <c r="S502" t="str">
        <f t="shared" si="53"/>
        <v xml:space="preserve">4 GB </v>
      </c>
    </row>
    <row r="503" spans="1:19">
      <c r="A503" t="str">
        <f>LEFT(B503, LEN(B503)-15)</f>
        <v>Acer Swift Go 14 SFG14-41 (NX.KG3SI.008) Laptop (AMD Octa Core Ryzen 7/16 GB/1 TB SSD/Windows 11)</v>
      </c>
      <c r="B503" t="s">
        <v>883</v>
      </c>
      <c r="C503" s="1">
        <v>52990</v>
      </c>
      <c r="D503" s="1">
        <v>588</v>
      </c>
      <c r="E503" s="2">
        <v>86</v>
      </c>
      <c r="F503" s="2" t="str" cm="1">
        <f t="array" ref="F503">_xlfn.IFS(AND(101&gt;E503, E503&gt;69), "Top-Tier", AND(70&gt;E503, E503&gt;39), "Mid-Tier", 40&gt;E503, "Low-Tier")</f>
        <v>Top-Tier</v>
      </c>
      <c r="G503" s="4">
        <v>45536</v>
      </c>
      <c r="H503" t="s">
        <v>876</v>
      </c>
      <c r="I503" t="s">
        <v>33</v>
      </c>
      <c r="J503" t="s">
        <v>293</v>
      </c>
      <c r="K503" t="s">
        <v>149</v>
      </c>
      <c r="L503" t="s">
        <v>24</v>
      </c>
      <c r="M503" t="s">
        <v>44</v>
      </c>
      <c r="N503" t="s">
        <v>31</v>
      </c>
      <c r="P503" s="3">
        <v>73</v>
      </c>
      <c r="Q503" t="str">
        <f>LEFT(B503, 4)</f>
        <v>Acer</v>
      </c>
      <c r="R503" t="str">
        <f t="shared" si="52"/>
        <v>Apple M4</v>
      </c>
      <c r="S503" t="str">
        <f t="shared" si="53"/>
        <v>16 GB</v>
      </c>
    </row>
    <row r="504" spans="1:19">
      <c r="A504" t="str">
        <f>LEFT(B504, LEN(B504)-15)</f>
        <v>Asus TUF Gaming A15 FA566NFR-HN259W Laptop (AMD Octa Core Ryzen 7/16 GB/512 GB SSD/Windows 11/4 GB)</v>
      </c>
      <c r="B504" t="s">
        <v>884</v>
      </c>
      <c r="C504" s="1">
        <v>60890</v>
      </c>
      <c r="D504" s="1">
        <v>921</v>
      </c>
      <c r="E504" s="2">
        <v>86</v>
      </c>
      <c r="F504" s="2" t="str" cm="1">
        <f t="array" ref="F504">_xlfn.IFS(AND(101&gt;E504, E504&gt;69), "Top-Tier", AND(70&gt;E504, E504&gt;39), "Mid-Tier", 40&gt;E504, "Low-Tier")</f>
        <v>Top-Tier</v>
      </c>
      <c r="G504" s="4">
        <v>45474</v>
      </c>
      <c r="H504" t="s">
        <v>876</v>
      </c>
      <c r="I504" t="s">
        <v>33</v>
      </c>
      <c r="J504" t="s">
        <v>54</v>
      </c>
      <c r="K504" t="s">
        <v>51</v>
      </c>
      <c r="L504" t="s">
        <v>24</v>
      </c>
      <c r="N504" t="s">
        <v>31</v>
      </c>
      <c r="P504" s="3">
        <v>85</v>
      </c>
      <c r="Q504" t="str">
        <f>LEFT(B504, 4)</f>
        <v>Asus</v>
      </c>
      <c r="R504" t="str">
        <f t="shared" si="52"/>
        <v>Apple M4</v>
      </c>
      <c r="S504" t="str">
        <f t="shared" si="53"/>
        <v>16 GB</v>
      </c>
    </row>
    <row r="505" spans="1:19">
      <c r="A505" t="str">
        <f>LEFT(B505, LEN(B505)-15)</f>
        <v>Infinix INBook Y3 Max YL613 (71008301492) Laptop (Core i3 12th Gen/8 GB/256 GB SSD/Windows 11)</v>
      </c>
      <c r="B505" t="s">
        <v>885</v>
      </c>
      <c r="C505" s="1">
        <v>23990</v>
      </c>
      <c r="D505" s="1">
        <v>514</v>
      </c>
      <c r="E505" s="2">
        <v>86</v>
      </c>
      <c r="F505" s="2" t="str" cm="1">
        <f t="array" ref="F505">_xlfn.IFS(AND(101&gt;E505, E505&gt;69), "Top-Tier", AND(70&gt;E505, E505&gt;39), "Mid-Tier", 40&gt;E505, "Low-Tier")</f>
        <v>Top-Tier</v>
      </c>
      <c r="G505" s="4">
        <v>45505</v>
      </c>
      <c r="H505" t="s">
        <v>876</v>
      </c>
      <c r="I505" t="s">
        <v>33</v>
      </c>
      <c r="J505" t="s">
        <v>798</v>
      </c>
      <c r="K505" t="s">
        <v>155</v>
      </c>
      <c r="L505" t="s">
        <v>24</v>
      </c>
      <c r="M505" t="s">
        <v>95</v>
      </c>
      <c r="N505" t="s">
        <v>31</v>
      </c>
      <c r="O505" t="s">
        <v>261</v>
      </c>
      <c r="P505" s="3">
        <v>72</v>
      </c>
      <c r="Q505" t="str">
        <f>LEFT(B505, 7)</f>
        <v>Infinix</v>
      </c>
      <c r="R505" t="str">
        <f t="shared" si="52"/>
        <v>Apple M4</v>
      </c>
      <c r="S505" t="str">
        <f t="shared" si="53"/>
        <v xml:space="preserve">8 GB </v>
      </c>
    </row>
    <row r="506" spans="1:19">
      <c r="A506" t="str">
        <f>LEFT(B506, LEN(B506)-15)</f>
        <v>Asus TUF Gaming A15 FA566NCR-HN075W Laptop (AMD Octa Core Ryzen 7/16 GB/512 GB SSD/Windows 11/4 GB)</v>
      </c>
      <c r="B506" t="s">
        <v>886</v>
      </c>
      <c r="C506" s="1">
        <v>67800</v>
      </c>
      <c r="D506" s="1">
        <v>918</v>
      </c>
      <c r="E506" s="2">
        <v>86</v>
      </c>
      <c r="F506" s="2" t="str" cm="1">
        <f t="array" ref="F506">_xlfn.IFS(AND(101&gt;E506, E506&gt;69), "Top-Tier", AND(70&gt;E506, E506&gt;39), "Mid-Tier", 40&gt;E506, "Low-Tier")</f>
        <v>Top-Tier</v>
      </c>
      <c r="G506" s="4">
        <v>45474</v>
      </c>
      <c r="H506" t="s">
        <v>876</v>
      </c>
      <c r="I506" t="s">
        <v>33</v>
      </c>
      <c r="J506" t="s">
        <v>54</v>
      </c>
      <c r="K506" t="s">
        <v>51</v>
      </c>
      <c r="L506" t="s">
        <v>24</v>
      </c>
      <c r="N506" t="s">
        <v>31</v>
      </c>
      <c r="P506" s="3">
        <v>86</v>
      </c>
      <c r="Q506" t="str">
        <f>LEFT(B506, 4)</f>
        <v>Asus</v>
      </c>
      <c r="R506" t="str">
        <f t="shared" si="52"/>
        <v>Apple M4</v>
      </c>
      <c r="S506" t="str">
        <f t="shared" si="53"/>
        <v>16 GB</v>
      </c>
    </row>
    <row r="507" spans="1:19">
      <c r="A507" t="str">
        <f>LEFT(B507, LEN(B507)-15)</f>
        <v>HP 15-be015tx (1HQ28PA) Laptop (Core i5 6th Gen/4 GB/1 TB/DOS/2 GB)</v>
      </c>
      <c r="B507" t="s">
        <v>887</v>
      </c>
      <c r="C507" s="1">
        <v>44900</v>
      </c>
      <c r="D507" s="1">
        <v>299</v>
      </c>
      <c r="E507" s="2">
        <v>86</v>
      </c>
      <c r="F507" s="2" t="str" cm="1">
        <f t="array" ref="F507">_xlfn.IFS(AND(101&gt;E507, E507&gt;69), "Top-Tier", AND(70&gt;E507, E507&gt;39), "Mid-Tier", 40&gt;E507, "Low-Tier")</f>
        <v>Top-Tier</v>
      </c>
      <c r="H507" t="s">
        <v>876</v>
      </c>
      <c r="I507" t="s">
        <v>124</v>
      </c>
      <c r="J507" t="s">
        <v>542</v>
      </c>
      <c r="K507" t="s">
        <v>705</v>
      </c>
      <c r="L507" t="s">
        <v>24</v>
      </c>
      <c r="N507" t="s">
        <v>31</v>
      </c>
      <c r="O507" t="s">
        <v>152</v>
      </c>
      <c r="Q507" t="str">
        <f>LEFT(B507, 2)</f>
        <v>HP</v>
      </c>
      <c r="R507" t="str">
        <f t="shared" si="52"/>
        <v>Apple M4</v>
      </c>
      <c r="S507" t="str">
        <f t="shared" si="53"/>
        <v xml:space="preserve">4 GB </v>
      </c>
    </row>
    <row r="508" spans="1:19">
      <c r="A508" t="str">
        <f>LEFT(B508, LEN(B508)-15)</f>
        <v>MSI Modern 14 C12MO-1021IN Laptop (Core i5 12th Gen/8 GB/512 GB SSD/Windows 11)</v>
      </c>
      <c r="B508" t="s">
        <v>888</v>
      </c>
      <c r="C508" s="1">
        <v>36990</v>
      </c>
      <c r="D508" s="1">
        <v>1851</v>
      </c>
      <c r="E508" s="2">
        <v>86</v>
      </c>
      <c r="F508" s="2" t="str" cm="1">
        <f t="array" ref="F508">_xlfn.IFS(AND(101&gt;E508, E508&gt;69), "Top-Tier", AND(70&gt;E508, E508&gt;39), "Mid-Tier", 40&gt;E508, "Low-Tier")</f>
        <v>Top-Tier</v>
      </c>
      <c r="G508" s="4">
        <v>45536</v>
      </c>
      <c r="H508" t="s">
        <v>876</v>
      </c>
      <c r="I508" t="s">
        <v>33</v>
      </c>
      <c r="J508" t="s">
        <v>50</v>
      </c>
      <c r="K508" t="s">
        <v>149</v>
      </c>
      <c r="L508" t="s">
        <v>24</v>
      </c>
      <c r="M508" t="s">
        <v>428</v>
      </c>
      <c r="N508" t="s">
        <v>31</v>
      </c>
      <c r="P508" s="3">
        <v>75</v>
      </c>
      <c r="Q508" t="str">
        <f>LEFT(B508, 3)</f>
        <v>MSI</v>
      </c>
      <c r="R508" t="str">
        <f t="shared" si="52"/>
        <v>Apple M4</v>
      </c>
      <c r="S508" t="str">
        <f t="shared" si="53"/>
        <v xml:space="preserve">8 GB </v>
      </c>
    </row>
    <row r="509" spans="1:19">
      <c r="A509" t="str">
        <f>LEFT(B509, LEN(B509)-15)</f>
        <v>MSI Modern 14 C12M-439IN Laptop (Core i5 12th Gen/16 GB/512 GB SSD/Windows 11)</v>
      </c>
      <c r="B509" t="s">
        <v>889</v>
      </c>
      <c r="C509" s="1">
        <v>43900</v>
      </c>
      <c r="D509" s="1">
        <v>1852</v>
      </c>
      <c r="E509" s="2">
        <v>86</v>
      </c>
      <c r="F509" s="2" t="str" cm="1">
        <f t="array" ref="F509">_xlfn.IFS(AND(101&gt;E509, E509&gt;69), "Top-Tier", AND(70&gt;E509, E509&gt;39), "Mid-Tier", 40&gt;E509, "Low-Tier")</f>
        <v>Top-Tier</v>
      </c>
      <c r="G509" s="4">
        <v>44986</v>
      </c>
      <c r="H509" t="s">
        <v>876</v>
      </c>
      <c r="I509" t="s">
        <v>33</v>
      </c>
      <c r="J509" t="s">
        <v>34</v>
      </c>
      <c r="K509" t="s">
        <v>149</v>
      </c>
      <c r="L509" t="s">
        <v>24</v>
      </c>
      <c r="M509" t="s">
        <v>428</v>
      </c>
      <c r="N509" t="s">
        <v>31</v>
      </c>
      <c r="P509" s="3">
        <v>75</v>
      </c>
      <c r="Q509" t="str">
        <f>LEFT(B509, 3)</f>
        <v>MSI</v>
      </c>
      <c r="R509" t="str">
        <f t="shared" si="52"/>
        <v>Apple M4</v>
      </c>
      <c r="S509" t="str">
        <f t="shared" si="53"/>
        <v>16 GB</v>
      </c>
    </row>
    <row r="510" spans="1:19">
      <c r="A510" t="str">
        <f>LEFT(B510, LEN(B510)-15)</f>
        <v>Acer Nitro V ANV15-41 (NH.QPFSI.004) Laptop (AMD Hexa Core Ryzen 5/16 GB/512 GB SSD/Windows 11/6 GB)</v>
      </c>
      <c r="B510" t="s">
        <v>890</v>
      </c>
      <c r="C510" s="1">
        <v>55470</v>
      </c>
      <c r="D510" s="1">
        <v>524</v>
      </c>
      <c r="E510" s="2">
        <v>86</v>
      </c>
      <c r="F510" s="2" t="str" cm="1">
        <f t="array" ref="F510">_xlfn.IFS(AND(101&gt;E510, E510&gt;69), "Top-Tier", AND(70&gt;E510, E510&gt;39), "Mid-Tier", 40&gt;E510, "Low-Tier")</f>
        <v>Top-Tier</v>
      </c>
      <c r="G510" s="4">
        <v>45505</v>
      </c>
      <c r="H510" t="s">
        <v>876</v>
      </c>
      <c r="I510" t="s">
        <v>33</v>
      </c>
      <c r="J510" t="s">
        <v>54</v>
      </c>
      <c r="K510" t="s">
        <v>51</v>
      </c>
      <c r="L510" t="s">
        <v>24</v>
      </c>
      <c r="N510" t="s">
        <v>31</v>
      </c>
      <c r="P510" s="3">
        <v>85</v>
      </c>
      <c r="Q510" t="str">
        <f>LEFT(B510, 4)</f>
        <v>Acer</v>
      </c>
      <c r="R510" t="str">
        <f t="shared" ref="R510:R530" si="54">LEFT(H510, 8)</f>
        <v>Apple M4</v>
      </c>
      <c r="S510" t="str">
        <f t="shared" si="53"/>
        <v>16 GB</v>
      </c>
    </row>
    <row r="511" spans="1:19">
      <c r="A511" t="str">
        <f>LEFT(B511, LEN(B511)-15)</f>
        <v>HP Victus 15-fb0180AX (B20DDPA) Laptop (AMD Hexa Core Ryzen 5/8 GB/512 GB SSD/Windows 11/4 GB)</v>
      </c>
      <c r="B511" t="s">
        <v>891</v>
      </c>
      <c r="C511" s="1">
        <v>57500</v>
      </c>
      <c r="D511" s="1">
        <v>779</v>
      </c>
      <c r="E511" s="2">
        <v>86</v>
      </c>
      <c r="F511" s="2" t="str" cm="1">
        <f t="array" ref="F511">_xlfn.IFS(AND(101&gt;E511, E511&gt;69), "Top-Tier", AND(70&gt;E511, E511&gt;39), "Mid-Tier", 40&gt;E511, "Low-Tier")</f>
        <v>Top-Tier</v>
      </c>
      <c r="G511" s="4">
        <v>45627</v>
      </c>
      <c r="H511" t="s">
        <v>876</v>
      </c>
      <c r="I511" t="s">
        <v>33</v>
      </c>
      <c r="J511" t="s">
        <v>50</v>
      </c>
      <c r="K511" t="s">
        <v>51</v>
      </c>
      <c r="L511" t="s">
        <v>24</v>
      </c>
      <c r="N511" t="s">
        <v>31</v>
      </c>
      <c r="P511" s="3">
        <v>82</v>
      </c>
      <c r="Q511" t="str">
        <f>LEFT(B511, 2)</f>
        <v>HP</v>
      </c>
      <c r="R511" t="str">
        <f t="shared" si="54"/>
        <v>Apple M4</v>
      </c>
      <c r="S511" t="str">
        <f t="shared" si="53"/>
        <v xml:space="preserve">8 GB </v>
      </c>
    </row>
    <row r="512" spans="1:19">
      <c r="A512" t="str">
        <f>LEFT(B512, LEN(B512)-15)</f>
        <v>Acer Swift Go OLED SFG14-71 (NX.KF1SI.007) Laptop (Core i7 13th Gen/16 GB/1 TB SSD/Windows 11)</v>
      </c>
      <c r="B512" t="s">
        <v>892</v>
      </c>
      <c r="C512" s="1">
        <v>69990</v>
      </c>
      <c r="D512" s="1">
        <v>770</v>
      </c>
      <c r="E512" s="2">
        <v>86</v>
      </c>
      <c r="F512" s="2" t="str" cm="1">
        <f t="array" ref="F512">_xlfn.IFS(AND(101&gt;E512, E512&gt;69), "Top-Tier", AND(70&gt;E512, E512&gt;39), "Mid-Tier", 40&gt;E512, "Low-Tier")</f>
        <v>Top-Tier</v>
      </c>
      <c r="G512" s="4">
        <v>45474</v>
      </c>
      <c r="H512" t="s">
        <v>876</v>
      </c>
      <c r="I512" t="s">
        <v>33</v>
      </c>
      <c r="J512" t="s">
        <v>167</v>
      </c>
      <c r="K512" t="s">
        <v>81</v>
      </c>
      <c r="L512" t="s">
        <v>24</v>
      </c>
      <c r="M512" t="s">
        <v>108</v>
      </c>
      <c r="N512" t="s">
        <v>31</v>
      </c>
      <c r="P512" s="3">
        <v>85</v>
      </c>
      <c r="Q512" t="str">
        <f>LEFT(B512, 4)</f>
        <v>Acer</v>
      </c>
      <c r="R512" t="str">
        <f t="shared" si="54"/>
        <v>Apple M4</v>
      </c>
      <c r="S512" t="str">
        <f t="shared" si="53"/>
        <v>16 GB</v>
      </c>
    </row>
    <row r="513" spans="1:19">
      <c r="A513" t="str">
        <f>LEFT(B513, LEN(B513)-15)</f>
        <v>Lenovo IdeaPad Slim 3 15IAH8 (83ER00H3IN) Laptop (Core i5 12th Gen/8 GB/512 GB SSD/Windows 11)</v>
      </c>
      <c r="B513" t="s">
        <v>893</v>
      </c>
      <c r="C513" s="1">
        <v>50090</v>
      </c>
      <c r="D513" s="1">
        <v>502</v>
      </c>
      <c r="E513" s="2">
        <v>86</v>
      </c>
      <c r="F513" s="2" t="str" cm="1">
        <f t="array" ref="F513">_xlfn.IFS(AND(101&gt;E513, E513&gt;69), "Top-Tier", AND(70&gt;E513, E513&gt;39), "Mid-Tier", 40&gt;E513, "Low-Tier")</f>
        <v>Top-Tier</v>
      </c>
      <c r="G513" s="4">
        <v>45627</v>
      </c>
      <c r="H513" t="s">
        <v>876</v>
      </c>
      <c r="I513" t="s">
        <v>33</v>
      </c>
      <c r="J513" t="s">
        <v>162</v>
      </c>
      <c r="K513" t="s">
        <v>51</v>
      </c>
      <c r="L513" t="s">
        <v>24</v>
      </c>
      <c r="M513" t="s">
        <v>95</v>
      </c>
      <c r="Q513" t="str">
        <f>LEFT(B513, 6)</f>
        <v>Lenovo</v>
      </c>
      <c r="R513" t="str">
        <f t="shared" si="54"/>
        <v>Apple M4</v>
      </c>
      <c r="S513" t="str">
        <f t="shared" ref="S513:S576" si="55">LEFT(J513, 5)</f>
        <v xml:space="preserve">8 GB </v>
      </c>
    </row>
    <row r="514" spans="1:19">
      <c r="A514" t="str">
        <f>LEFT(B514, LEN(B514)-15)</f>
        <v>Dell Inspiron 15 3535 (IN3535HF8X1003ORB1) Laptop (AMD Quad Core Ryzen 3/8 GB/512 GB SSD/Windows 11)</v>
      </c>
      <c r="B514" t="s">
        <v>894</v>
      </c>
      <c r="C514" s="1">
        <v>29989</v>
      </c>
      <c r="D514" s="1">
        <v>1658</v>
      </c>
      <c r="E514" s="2">
        <v>86</v>
      </c>
      <c r="F514" s="2" t="str" cm="1">
        <f t="array" ref="F514">_xlfn.IFS(AND(101&gt;E514, E514&gt;69), "Top-Tier", AND(70&gt;E514, E514&gt;39), "Mid-Tier", 40&gt;E514, "Low-Tier")</f>
        <v>Top-Tier</v>
      </c>
      <c r="G514" s="4">
        <v>45566</v>
      </c>
      <c r="H514" t="s">
        <v>876</v>
      </c>
      <c r="I514" t="s">
        <v>33</v>
      </c>
      <c r="J514" t="s">
        <v>162</v>
      </c>
      <c r="K514" t="s">
        <v>51</v>
      </c>
      <c r="L514" t="s">
        <v>24</v>
      </c>
      <c r="M514" t="s">
        <v>122</v>
      </c>
      <c r="N514" t="s">
        <v>31</v>
      </c>
      <c r="P514" s="3">
        <v>75</v>
      </c>
      <c r="Q514" t="str">
        <f>LEFT(B514, 4)</f>
        <v>Dell</v>
      </c>
      <c r="R514" t="str">
        <f t="shared" si="54"/>
        <v>Apple M4</v>
      </c>
      <c r="S514" t="str">
        <f t="shared" si="55"/>
        <v xml:space="preserve">8 GB </v>
      </c>
    </row>
    <row r="515" spans="1:19">
      <c r="A515" t="str">
        <f>LEFT(B515, LEN(B515)-15)</f>
        <v>Lenovo IdeaPad 3 15IAU7 (82RK018RIN) Laptop (Core i3 12th Gen/8 GB/512 GB SSD/Windows 11)</v>
      </c>
      <c r="B515" t="s">
        <v>895</v>
      </c>
      <c r="C515" s="1">
        <v>35690</v>
      </c>
      <c r="D515" s="1">
        <v>539</v>
      </c>
      <c r="E515" s="2">
        <v>86</v>
      </c>
      <c r="F515" s="2" t="str" cm="1">
        <f t="array" ref="F515">_xlfn.IFS(AND(101&gt;E515, E515&gt;69), "Top-Tier", AND(70&gt;E515, E515&gt;39), "Mid-Tier", 40&gt;E515, "Low-Tier")</f>
        <v>Top-Tier</v>
      </c>
      <c r="G515" s="4">
        <v>45536</v>
      </c>
      <c r="H515" t="s">
        <v>896</v>
      </c>
      <c r="I515" t="s">
        <v>33</v>
      </c>
      <c r="J515" t="s">
        <v>50</v>
      </c>
      <c r="K515" t="s">
        <v>217</v>
      </c>
      <c r="L515" t="s">
        <v>24</v>
      </c>
      <c r="M515" t="s">
        <v>52</v>
      </c>
      <c r="N515" t="s">
        <v>31</v>
      </c>
      <c r="P515" s="3">
        <v>73</v>
      </c>
      <c r="Q515" t="str">
        <f>LEFT(B515, 6)</f>
        <v>Lenovo</v>
      </c>
      <c r="R515" t="str">
        <f t="shared" si="54"/>
        <v>Apple M4</v>
      </c>
      <c r="S515" t="str">
        <f t="shared" si="55"/>
        <v xml:space="preserve">8 GB </v>
      </c>
    </row>
    <row r="516" spans="1:19">
      <c r="A516" t="str">
        <f>LEFT(B516, LEN(B516)-15)</f>
        <v>Acer Swift Go 14 SFG14-41 (NX.KG3SI.006) Laptop (AMD Hexa Core Ryzen 5/16 GB/512 GB SSD/Windows 11)</v>
      </c>
      <c r="B516" t="s">
        <v>897</v>
      </c>
      <c r="C516" s="1">
        <v>49999</v>
      </c>
      <c r="D516" s="1">
        <v>904</v>
      </c>
      <c r="E516" s="2">
        <v>86</v>
      </c>
      <c r="F516" s="2" t="str" cm="1">
        <f t="array" ref="F516">_xlfn.IFS(AND(101&gt;E516, E516&gt;69), "Top-Tier", AND(70&gt;E516, E516&gt;39), "Mid-Tier", 40&gt;E516, "Low-Tier")</f>
        <v>Top-Tier</v>
      </c>
      <c r="G516" s="4">
        <v>45474</v>
      </c>
      <c r="H516" t="s">
        <v>898</v>
      </c>
      <c r="I516" t="s">
        <v>33</v>
      </c>
      <c r="J516" t="s">
        <v>208</v>
      </c>
      <c r="K516" t="s">
        <v>354</v>
      </c>
      <c r="L516" t="s">
        <v>24</v>
      </c>
      <c r="M516" t="s">
        <v>44</v>
      </c>
      <c r="N516" t="s">
        <v>31</v>
      </c>
      <c r="Q516" t="str">
        <f>LEFT(B516, 4)</f>
        <v>Acer</v>
      </c>
      <c r="R516" t="str">
        <f t="shared" si="54"/>
        <v>Apple M4</v>
      </c>
      <c r="S516" t="str">
        <f t="shared" si="55"/>
        <v>16 GB</v>
      </c>
    </row>
    <row r="517" spans="1:19">
      <c r="A517" t="str">
        <f>LEFT(B517, LEN(B517)-15)</f>
        <v>Asus TUF Gaming A15 FA566NFR-HN260W Laptop (AMD Octa Core Ryzen 7/8 GB/512 GB SSD/Windows 11/4 GB)</v>
      </c>
      <c r="B517" t="s">
        <v>899</v>
      </c>
      <c r="C517" s="1">
        <v>54990</v>
      </c>
      <c r="D517" s="1">
        <v>905</v>
      </c>
      <c r="E517" s="2">
        <v>86</v>
      </c>
      <c r="F517" s="2" t="str" cm="1">
        <f t="array" ref="F517">_xlfn.IFS(AND(101&gt;E517, E517&gt;69), "Top-Tier", AND(70&gt;E517, E517&gt;39), "Mid-Tier", 40&gt;E517, "Low-Tier")</f>
        <v>Top-Tier</v>
      </c>
      <c r="G517" s="4">
        <v>45474</v>
      </c>
      <c r="H517" t="s">
        <v>900</v>
      </c>
      <c r="I517" t="s">
        <v>33</v>
      </c>
      <c r="J517" t="s">
        <v>119</v>
      </c>
      <c r="K517" t="s">
        <v>51</v>
      </c>
      <c r="L517" t="s">
        <v>24</v>
      </c>
      <c r="N517" t="s">
        <v>31</v>
      </c>
      <c r="P517" s="3">
        <v>85</v>
      </c>
      <c r="Q517" t="str">
        <f>LEFT(B517, 4)</f>
        <v>Asus</v>
      </c>
      <c r="R517" t="str">
        <f t="shared" si="54"/>
        <v>Apple M4</v>
      </c>
      <c r="S517" t="str">
        <f t="shared" si="55"/>
        <v xml:space="preserve">8 GB </v>
      </c>
    </row>
    <row r="518" spans="1:19">
      <c r="A518" t="str">
        <f>LEFT(B518, LEN(B518)-15)</f>
        <v>HP Victus 15-fa0333TX (A03GZPA) Laptop (Core i5 12th Gen/16 GB/512 GB SSD/Windows 11/4 GB)</v>
      </c>
      <c r="B518" t="s">
        <v>901</v>
      </c>
      <c r="C518" s="1">
        <v>68690</v>
      </c>
      <c r="D518" s="1">
        <v>617</v>
      </c>
      <c r="E518" s="2">
        <v>86</v>
      </c>
      <c r="F518" s="2" t="str" cm="1">
        <f t="array" ref="F518">_xlfn.IFS(AND(101&gt;E518, E518&gt;69), "Top-Tier", AND(70&gt;E518, E518&gt;39), "Mid-Tier", 40&gt;E518, "Low-Tier")</f>
        <v>Top-Tier</v>
      </c>
      <c r="G518" s="4">
        <v>45536</v>
      </c>
      <c r="H518" t="s">
        <v>900</v>
      </c>
      <c r="I518" t="s">
        <v>33</v>
      </c>
      <c r="J518" t="s">
        <v>34</v>
      </c>
      <c r="K518" t="s">
        <v>51</v>
      </c>
      <c r="L518" t="s">
        <v>24</v>
      </c>
      <c r="N518" t="s">
        <v>31</v>
      </c>
      <c r="P518" s="3">
        <v>86</v>
      </c>
      <c r="Q518" t="str">
        <f>LEFT(B518, 2)</f>
        <v>HP</v>
      </c>
      <c r="R518" t="str">
        <f t="shared" si="54"/>
        <v>Apple M4</v>
      </c>
      <c r="S518" t="str">
        <f t="shared" si="55"/>
        <v>16 GB</v>
      </c>
    </row>
    <row r="519" spans="1:19">
      <c r="A519" t="str">
        <f>LEFT(B519, LEN(B519)-15)</f>
        <v>Acer Swift Go 14 SFG14-41 (NX.KG3SI.007) Laptop (AMD Octa Core Ryzen 7/16 GB/512 GB SSD/Windows 11)</v>
      </c>
      <c r="B519" t="s">
        <v>902</v>
      </c>
      <c r="C519" s="1">
        <v>49990</v>
      </c>
      <c r="D519" s="1">
        <v>565</v>
      </c>
      <c r="E519" s="2">
        <v>86</v>
      </c>
      <c r="F519" s="2" t="str" cm="1">
        <f t="array" ref="F519">_xlfn.IFS(AND(101&gt;E519, E519&gt;69), "Top-Tier", AND(70&gt;E519, E519&gt;39), "Mid-Tier", 40&gt;E519, "Low-Tier")</f>
        <v>Top-Tier</v>
      </c>
      <c r="G519" s="4">
        <v>45474</v>
      </c>
      <c r="H519" t="s">
        <v>900</v>
      </c>
      <c r="I519" t="s">
        <v>33</v>
      </c>
      <c r="J519" t="s">
        <v>208</v>
      </c>
      <c r="K519" t="s">
        <v>354</v>
      </c>
      <c r="L519" t="s">
        <v>24</v>
      </c>
      <c r="M519" t="s">
        <v>44</v>
      </c>
      <c r="N519" t="s">
        <v>31</v>
      </c>
      <c r="P519" s="3">
        <v>72</v>
      </c>
      <c r="Q519" t="str">
        <f>LEFT(B519, 4)</f>
        <v>Acer</v>
      </c>
      <c r="R519" t="str">
        <f t="shared" si="54"/>
        <v>Apple M4</v>
      </c>
      <c r="S519" t="str">
        <f t="shared" si="55"/>
        <v>16 GB</v>
      </c>
    </row>
    <row r="520" spans="1:19">
      <c r="A520" t="str">
        <f>LEFT(B520, LEN(B520)-15)</f>
        <v>Lenovo LOQ 15ARP9 Gen 9 (83JC00EHIN) Laptop (AMD Octa Core Ryzen 7/24 GB/512 GB SSD/Windows 11/8 GB)</v>
      </c>
      <c r="B520" t="s">
        <v>903</v>
      </c>
      <c r="C520" s="1">
        <v>91990</v>
      </c>
      <c r="D520" s="1">
        <v>62</v>
      </c>
      <c r="E520" s="2">
        <v>86</v>
      </c>
      <c r="F520" s="2" t="str" cm="1">
        <f t="array" ref="F520">_xlfn.IFS(AND(101&gt;E520, E520&gt;69), "Top-Tier", AND(70&gt;E520, E520&gt;39), "Mid-Tier", 40&gt;E520, "Low-Tier")</f>
        <v>Top-Tier</v>
      </c>
      <c r="G520" s="4">
        <v>45658</v>
      </c>
      <c r="H520" t="s">
        <v>900</v>
      </c>
      <c r="I520" t="s">
        <v>33</v>
      </c>
      <c r="J520" t="s">
        <v>436</v>
      </c>
      <c r="K520" t="s">
        <v>51</v>
      </c>
      <c r="L520" t="s">
        <v>24</v>
      </c>
      <c r="N520" t="s">
        <v>31</v>
      </c>
      <c r="Q520" t="str">
        <f>LEFT(B520, 6)</f>
        <v>Lenovo</v>
      </c>
      <c r="R520" t="str">
        <f t="shared" si="54"/>
        <v>Apple M4</v>
      </c>
      <c r="S520" t="str">
        <f t="shared" si="55"/>
        <v>24 GB</v>
      </c>
    </row>
    <row r="521" spans="1:19">
      <c r="A521" t="str">
        <f>LEFT(B521, LEN(B521)-15)</f>
        <v>Lenovo LOQ 15ARP9 (83JC00EGIN) Laptop (AMD Octa Core Ryzen 7/24 GB/512 GB SSD/Windows 11/6 GB)</v>
      </c>
      <c r="B521" t="s">
        <v>904</v>
      </c>
      <c r="C521" s="1">
        <v>82990</v>
      </c>
      <c r="D521" s="1">
        <v>62</v>
      </c>
      <c r="E521" s="2">
        <v>86</v>
      </c>
      <c r="F521" s="2" t="str" cm="1">
        <f t="array" ref="F521">_xlfn.IFS(AND(101&gt;E521, E521&gt;69), "Top-Tier", AND(70&gt;E521, E521&gt;39), "Mid-Tier", 40&gt;E521, "Low-Tier")</f>
        <v>Top-Tier</v>
      </c>
      <c r="G521" s="4">
        <v>45627</v>
      </c>
      <c r="H521" t="s">
        <v>900</v>
      </c>
      <c r="I521" t="s">
        <v>33</v>
      </c>
      <c r="J521" t="s">
        <v>436</v>
      </c>
      <c r="K521" t="s">
        <v>51</v>
      </c>
      <c r="L521" t="s">
        <v>24</v>
      </c>
      <c r="N521" t="s">
        <v>31</v>
      </c>
      <c r="Q521" t="str">
        <f>LEFT(B521, 6)</f>
        <v>Lenovo</v>
      </c>
      <c r="R521" t="str">
        <f t="shared" si="54"/>
        <v>Apple M4</v>
      </c>
      <c r="S521" t="str">
        <f t="shared" si="55"/>
        <v>24 GB</v>
      </c>
    </row>
    <row r="522" spans="1:19">
      <c r="A522" t="str">
        <f>LEFT(B522, LEN(B522)-15)</f>
        <v>HP 14s-ef1000tu (511C6PA) Laptop (Core i3 11th Gen/8 GB/512 GB SSD/Windows 11)</v>
      </c>
      <c r="B522" t="s">
        <v>905</v>
      </c>
      <c r="C522" s="1">
        <v>43490</v>
      </c>
      <c r="D522" s="1">
        <v>131</v>
      </c>
      <c r="E522" s="2">
        <v>86</v>
      </c>
      <c r="F522" s="2" t="str" cm="1">
        <f t="array" ref="F522">_xlfn.IFS(AND(101&gt;E522, E522&gt;69), "Top-Tier", AND(70&gt;E522, E522&gt;39), "Mid-Tier", 40&gt;E522, "Low-Tier")</f>
        <v>Top-Tier</v>
      </c>
      <c r="G522" s="4">
        <v>44652</v>
      </c>
      <c r="H522" t="s">
        <v>900</v>
      </c>
      <c r="I522" t="s">
        <v>33</v>
      </c>
      <c r="J522" t="s">
        <v>50</v>
      </c>
      <c r="K522" t="s">
        <v>439</v>
      </c>
      <c r="L522" t="s">
        <v>24</v>
      </c>
      <c r="M522" t="s">
        <v>52</v>
      </c>
      <c r="Q522" t="str">
        <f>LEFT(B522, 2)</f>
        <v>HP</v>
      </c>
      <c r="R522" t="str">
        <f t="shared" si="54"/>
        <v>Apple M4</v>
      </c>
      <c r="S522" t="str">
        <f t="shared" si="55"/>
        <v xml:space="preserve">8 GB </v>
      </c>
    </row>
    <row r="523" spans="1:19">
      <c r="A523" t="str">
        <f>LEFT(B523, LEN(B523)-15)</f>
        <v>Asus VivoBook 15 X1504ZA-NJ520WS Laptop (Core i5 12th Gen/8 GB/512 GB SSD/Windows 11)</v>
      </c>
      <c r="B523" t="s">
        <v>906</v>
      </c>
      <c r="C523" s="1">
        <v>40799</v>
      </c>
      <c r="D523" s="1">
        <v>51</v>
      </c>
      <c r="E523" s="2">
        <v>86</v>
      </c>
      <c r="F523" s="2" t="str" cm="1">
        <f t="array" ref="F523">_xlfn.IFS(AND(101&gt;E523, E523&gt;69), "Top-Tier", AND(70&gt;E523, E523&gt;39), "Mid-Tier", 40&gt;E523, "Low-Tier")</f>
        <v>Top-Tier</v>
      </c>
      <c r="G523" s="4">
        <v>45536</v>
      </c>
      <c r="H523" t="s">
        <v>907</v>
      </c>
      <c r="I523" t="s">
        <v>33</v>
      </c>
      <c r="J523" t="s">
        <v>50</v>
      </c>
      <c r="K523" t="s">
        <v>51</v>
      </c>
      <c r="L523" t="s">
        <v>24</v>
      </c>
      <c r="M523" t="s">
        <v>95</v>
      </c>
      <c r="N523" t="s">
        <v>31</v>
      </c>
      <c r="P523" s="3">
        <v>74</v>
      </c>
      <c r="Q523" t="str">
        <f>LEFT(B523, 4)</f>
        <v>Asus</v>
      </c>
      <c r="R523" t="str">
        <f t="shared" si="54"/>
        <v>Apple M4</v>
      </c>
      <c r="S523" t="str">
        <f t="shared" si="55"/>
        <v xml:space="preserve">8 GB </v>
      </c>
    </row>
    <row r="524" spans="1:19">
      <c r="A524" t="str">
        <f>LEFT(B524, LEN(B524)-15)</f>
        <v>MSI Modern 14 C12M-671IN Laptop (Core i7 12th Gen/16 GB/512 GB SSD/Windows 11)</v>
      </c>
      <c r="B524" t="s">
        <v>908</v>
      </c>
      <c r="C524" s="1">
        <v>47990</v>
      </c>
      <c r="D524" s="1">
        <v>185</v>
      </c>
      <c r="E524" s="2">
        <v>86</v>
      </c>
      <c r="F524" s="2" t="str" cm="1">
        <f t="array" ref="F524">_xlfn.IFS(AND(101&gt;E524, E524&gt;69), "Top-Tier", AND(70&gt;E524, E524&gt;39), "Mid-Tier", 40&gt;E524, "Low-Tier")</f>
        <v>Top-Tier</v>
      </c>
      <c r="G524" s="4">
        <v>45078</v>
      </c>
      <c r="H524" t="s">
        <v>907</v>
      </c>
      <c r="I524" t="s">
        <v>33</v>
      </c>
      <c r="J524" t="s">
        <v>34</v>
      </c>
      <c r="K524" t="s">
        <v>149</v>
      </c>
      <c r="L524" t="s">
        <v>24</v>
      </c>
      <c r="M524" t="s">
        <v>428</v>
      </c>
      <c r="N524" t="s">
        <v>31</v>
      </c>
      <c r="O524" t="s">
        <v>261</v>
      </c>
      <c r="P524" s="3">
        <v>76</v>
      </c>
      <c r="Q524" t="str">
        <f>LEFT(B524, 3)</f>
        <v>MSI</v>
      </c>
      <c r="R524" t="str">
        <f t="shared" si="54"/>
        <v>Apple M4</v>
      </c>
      <c r="S524" t="str">
        <f t="shared" si="55"/>
        <v>16 GB</v>
      </c>
    </row>
    <row r="525" spans="1:19">
      <c r="A525" t="str">
        <f>LEFT(B525, LEN(B525)-15)</f>
        <v>Dell Inspiron 15 3505 (D560392WIN9BE) Laptop (AMD Dual Core Ryzen 3/8 GB/256 GB SSD/Windows 10)</v>
      </c>
      <c r="B525" t="s">
        <v>909</v>
      </c>
      <c r="C525" s="1">
        <v>35871</v>
      </c>
      <c r="D525" s="1">
        <v>1303</v>
      </c>
      <c r="E525" s="2">
        <v>86</v>
      </c>
      <c r="F525" s="2" t="str" cm="1">
        <f t="array" ref="F525">_xlfn.IFS(AND(101&gt;E525, E525&gt;69), "Top-Tier", AND(70&gt;E525, E525&gt;39), "Mid-Tier", 40&gt;E525, "Low-Tier")</f>
        <v>Top-Tier</v>
      </c>
      <c r="G525" s="4">
        <v>44197</v>
      </c>
      <c r="H525" t="s">
        <v>907</v>
      </c>
      <c r="I525" t="s">
        <v>248</v>
      </c>
      <c r="J525" t="s">
        <v>338</v>
      </c>
      <c r="K525" t="s">
        <v>249</v>
      </c>
      <c r="L525" t="s">
        <v>24</v>
      </c>
      <c r="M525" t="s">
        <v>253</v>
      </c>
      <c r="N525" t="s">
        <v>31</v>
      </c>
      <c r="Q525" t="str">
        <f>LEFT(B525, 4)</f>
        <v>Dell</v>
      </c>
      <c r="R525" t="str">
        <f t="shared" si="54"/>
        <v>Apple M4</v>
      </c>
      <c r="S525" t="str">
        <f t="shared" si="55"/>
        <v xml:space="preserve">8 GB </v>
      </c>
    </row>
    <row r="526" spans="1:19">
      <c r="A526" t="str">
        <f>LEFT(B526, LEN(B526)-15)</f>
        <v>Asus Vivobook S15 K5504VAB-BN416WS Laptop (Core i5 13th Gen/16 GB/512 GB SSD/Windows 11)</v>
      </c>
      <c r="B526" t="s">
        <v>910</v>
      </c>
      <c r="C526" s="1">
        <v>69990</v>
      </c>
      <c r="D526" s="1">
        <v>6</v>
      </c>
      <c r="E526" s="2">
        <v>86</v>
      </c>
      <c r="F526" s="2" t="str" cm="1">
        <f t="array" ref="F526">_xlfn.IFS(AND(101&gt;E526, E526&gt;69), "Top-Tier", AND(70&gt;E526, E526&gt;39), "Mid-Tier", 40&gt;E526, "Low-Tier")</f>
        <v>Top-Tier</v>
      </c>
      <c r="G526" s="4">
        <v>45597</v>
      </c>
      <c r="H526" t="s">
        <v>907</v>
      </c>
      <c r="I526" t="s">
        <v>33</v>
      </c>
      <c r="J526" t="s">
        <v>121</v>
      </c>
      <c r="K526" t="s">
        <v>159</v>
      </c>
      <c r="L526" t="s">
        <v>24</v>
      </c>
      <c r="M526" t="s">
        <v>95</v>
      </c>
      <c r="N526" t="s">
        <v>31</v>
      </c>
      <c r="P526" s="3">
        <v>82</v>
      </c>
      <c r="Q526" t="str">
        <f>LEFT(B526, 4)</f>
        <v>Asus</v>
      </c>
      <c r="R526" t="str">
        <f t="shared" si="54"/>
        <v>Apple M4</v>
      </c>
      <c r="S526" t="str">
        <f t="shared" si="55"/>
        <v>16 GB</v>
      </c>
    </row>
    <row r="527" spans="1:19">
      <c r="A527" t="str">
        <f>LEFT(B527, LEN(B527)-15)</f>
        <v>Apple MacBook Pro M4 MX2E3HN/A Ultrabook (Apple M4 Pro/24 GB/512 GB SSD/macOS Sequoia)</v>
      </c>
      <c r="B527" t="s">
        <v>911</v>
      </c>
      <c r="C527" s="1">
        <v>191990</v>
      </c>
      <c r="D527" s="1">
        <v>9</v>
      </c>
      <c r="E527" s="2">
        <v>86</v>
      </c>
      <c r="F527" s="2" t="str" cm="1">
        <f t="array" ref="F527">_xlfn.IFS(AND(101&gt;E527, E527&gt;69), "Top-Tier", AND(70&gt;E527, E527&gt;39), "Mid-Tier", 40&gt;E527, "Low-Tier")</f>
        <v>Top-Tier</v>
      </c>
      <c r="G527" s="4">
        <v>45597</v>
      </c>
      <c r="H527" t="s">
        <v>907</v>
      </c>
      <c r="I527" t="s">
        <v>21</v>
      </c>
      <c r="J527" t="s">
        <v>28</v>
      </c>
      <c r="K527" t="s">
        <v>29</v>
      </c>
      <c r="L527" t="s">
        <v>24</v>
      </c>
      <c r="M527" t="s">
        <v>30</v>
      </c>
      <c r="N527" t="s">
        <v>31</v>
      </c>
      <c r="P527" s="3">
        <v>87</v>
      </c>
      <c r="Q527" t="str">
        <f>LEFT(B527, 5)</f>
        <v>Apple</v>
      </c>
      <c r="R527" t="str">
        <f t="shared" si="54"/>
        <v>Apple M4</v>
      </c>
      <c r="S527" t="str">
        <f t="shared" si="55"/>
        <v>24 GB</v>
      </c>
    </row>
    <row r="528" spans="1:19">
      <c r="A528" t="str">
        <f>LEFT(B528, LEN(B528)-15)</f>
        <v>HP Omen 16-wd0011TX (A1NW1PA) Laptop (Core i7 13th Gen/16 GB/1 TB SSD/Windows 11/6 GB)</v>
      </c>
      <c r="B528" t="s">
        <v>912</v>
      </c>
      <c r="C528" s="1">
        <v>92750</v>
      </c>
      <c r="D528" s="1">
        <v>46</v>
      </c>
      <c r="E528" s="2">
        <v>86</v>
      </c>
      <c r="F528" s="2" t="str" cm="1">
        <f t="array" ref="F528">_xlfn.IFS(AND(101&gt;E528, E528&gt;69), "Top-Tier", AND(70&gt;E528, E528&gt;39), "Mid-Tier", 40&gt;E528, "Low-Tier")</f>
        <v>Top-Tier</v>
      </c>
      <c r="G528" s="4">
        <v>45474</v>
      </c>
      <c r="H528" t="s">
        <v>907</v>
      </c>
      <c r="I528" t="s">
        <v>33</v>
      </c>
      <c r="J528" t="s">
        <v>72</v>
      </c>
      <c r="K528" t="s">
        <v>271</v>
      </c>
      <c r="L528" t="s">
        <v>24</v>
      </c>
      <c r="N528" t="s">
        <v>31</v>
      </c>
      <c r="Q528" t="str">
        <f>LEFT(B528, 2)</f>
        <v>HP</v>
      </c>
      <c r="R528" t="str">
        <f t="shared" si="54"/>
        <v>Apple M4</v>
      </c>
      <c r="S528" t="str">
        <f t="shared" si="55"/>
        <v>16 GB</v>
      </c>
    </row>
    <row r="529" spans="1:19">
      <c r="A529" t="str">
        <f>LEFT(B529, LEN(B529)-15)</f>
        <v>Infinix Zero Book Ultra AI PC ZL514 (71008301677) Laptop (Core Ultra 7/16 GB/512 GB SSD/Windows 11)</v>
      </c>
      <c r="B529" t="s">
        <v>913</v>
      </c>
      <c r="C529" s="1">
        <v>64990</v>
      </c>
      <c r="D529" s="1">
        <v>22</v>
      </c>
      <c r="E529" s="2">
        <v>86</v>
      </c>
      <c r="F529" s="2" t="str" cm="1">
        <f t="array" ref="F529">_xlfn.IFS(AND(101&gt;E529, E529&gt;69), "Top-Tier", AND(70&gt;E529, E529&gt;39), "Mid-Tier", 40&gt;E529, "Low-Tier")</f>
        <v>Top-Tier</v>
      </c>
      <c r="G529" s="4">
        <v>45474</v>
      </c>
      <c r="H529" t="s">
        <v>907</v>
      </c>
      <c r="I529" t="s">
        <v>33</v>
      </c>
      <c r="J529" t="s">
        <v>63</v>
      </c>
      <c r="K529" t="s">
        <v>51</v>
      </c>
      <c r="L529" t="s">
        <v>24</v>
      </c>
      <c r="M529" t="s">
        <v>178</v>
      </c>
      <c r="N529" t="s">
        <v>31</v>
      </c>
      <c r="P529" s="3">
        <v>84</v>
      </c>
      <c r="Q529" t="str">
        <f>LEFT(B529, 7)</f>
        <v>Infinix</v>
      </c>
      <c r="R529" t="str">
        <f t="shared" si="54"/>
        <v>Apple M4</v>
      </c>
      <c r="S529" t="str">
        <f t="shared" si="55"/>
        <v>16 GB</v>
      </c>
    </row>
    <row r="530" spans="1:19">
      <c r="A530" t="str">
        <f>LEFT(B530, LEN(B530)-15)</f>
        <v>HP Pavilion x360 14-dy1049TU (67G62PA) Laptop (Intel Core i5 11th Gen/16 GB/512 GB SSD/Windows 11)</v>
      </c>
      <c r="B530" t="s">
        <v>914</v>
      </c>
      <c r="C530" s="1">
        <v>73900</v>
      </c>
      <c r="D530" s="1">
        <v>148</v>
      </c>
      <c r="E530" s="2">
        <v>86</v>
      </c>
      <c r="F530" s="2" t="str" cm="1">
        <f t="array" ref="F530">_xlfn.IFS(AND(101&gt;E530, E530&gt;69), "Top-Tier", AND(70&gt;E530, E530&gt;39), "Mid-Tier", 40&gt;E530, "Low-Tier")</f>
        <v>Top-Tier</v>
      </c>
      <c r="G530" s="4">
        <v>44652</v>
      </c>
      <c r="H530" t="s">
        <v>907</v>
      </c>
      <c r="I530" t="s">
        <v>33</v>
      </c>
      <c r="J530" t="s">
        <v>34</v>
      </c>
      <c r="K530" t="s">
        <v>149</v>
      </c>
      <c r="L530" t="s">
        <v>24</v>
      </c>
      <c r="M530" t="s">
        <v>253</v>
      </c>
      <c r="N530" t="s">
        <v>31</v>
      </c>
      <c r="P530" s="3">
        <v>72</v>
      </c>
      <c r="Q530" t="str">
        <f>LEFT(B530, 2)</f>
        <v>HP</v>
      </c>
      <c r="R530" t="str">
        <f t="shared" si="54"/>
        <v>Apple M4</v>
      </c>
      <c r="S530" t="str">
        <f t="shared" si="55"/>
        <v>16 GB</v>
      </c>
    </row>
    <row r="531" spans="1:19">
      <c r="A531" t="str">
        <f>LEFT(B531, LEN(B531)-15)</f>
        <v>HP Pavilion x360 14-dy0003TU (3W2A5PA) Laptop (Core i5 11th Gen/8 GB/512 GB SSD/Windows 10)</v>
      </c>
      <c r="B531" t="s">
        <v>915</v>
      </c>
      <c r="C531" s="1">
        <v>78478</v>
      </c>
      <c r="D531" s="1">
        <v>53</v>
      </c>
      <c r="E531" s="2">
        <v>86</v>
      </c>
      <c r="F531" s="2" t="str" cm="1">
        <f t="array" ref="F531">_xlfn.IFS(AND(101&gt;E531, E531&gt;69), "Top-Tier", AND(70&gt;E531, E531&gt;39), "Mid-Tier", 40&gt;E531, "Low-Tier")</f>
        <v>Top-Tier</v>
      </c>
      <c r="G531" s="4">
        <v>44470</v>
      </c>
      <c r="H531" t="s">
        <v>916</v>
      </c>
      <c r="I531" t="s">
        <v>248</v>
      </c>
      <c r="J531" t="s">
        <v>50</v>
      </c>
      <c r="K531" t="s">
        <v>439</v>
      </c>
      <c r="L531" t="s">
        <v>24</v>
      </c>
      <c r="M531" t="s">
        <v>250</v>
      </c>
      <c r="N531" t="s">
        <v>31</v>
      </c>
      <c r="P531" s="3">
        <v>73</v>
      </c>
      <c r="Q531" t="str">
        <f>LEFT(B531, 2)</f>
        <v>HP</v>
      </c>
      <c r="R531" t="str">
        <f>LEFT(H531, 23)</f>
        <v>Intel Celeron Dual-Core</v>
      </c>
      <c r="S531" t="str">
        <f t="shared" si="55"/>
        <v xml:space="preserve">8 GB </v>
      </c>
    </row>
    <row r="532" spans="1:19">
      <c r="A532" t="str">
        <f>LEFT(B532, LEN(B532)-15)</f>
        <v>HP 250 G8 (3D4T7PA) Laptop (Core i3 10th Gen/4 GB/512 GB SSD/Windows 10)</v>
      </c>
      <c r="B532" t="s">
        <v>917</v>
      </c>
      <c r="C532" s="1">
        <v>30990</v>
      </c>
      <c r="D532" s="1">
        <v>248</v>
      </c>
      <c r="E532" s="2">
        <v>86</v>
      </c>
      <c r="F532" s="2" t="str" cm="1">
        <f t="array" ref="F532">_xlfn.IFS(AND(101&gt;E532, E532&gt;69), "Top-Tier", AND(70&gt;E532, E532&gt;39), "Mid-Tier", 40&gt;E532, "Low-Tier")</f>
        <v>Top-Tier</v>
      </c>
      <c r="G532" s="4">
        <v>44317</v>
      </c>
      <c r="H532" t="s">
        <v>918</v>
      </c>
      <c r="I532" t="s">
        <v>248</v>
      </c>
      <c r="J532" t="s">
        <v>649</v>
      </c>
      <c r="K532" t="s">
        <v>249</v>
      </c>
      <c r="L532" t="s">
        <v>24</v>
      </c>
      <c r="M532" t="s">
        <v>52</v>
      </c>
      <c r="N532" t="s">
        <v>31</v>
      </c>
      <c r="O532" t="s">
        <v>261</v>
      </c>
      <c r="Q532" t="str">
        <f>LEFT(B532, 2)</f>
        <v>HP</v>
      </c>
      <c r="R532" t="str">
        <f t="shared" ref="R532:R589" si="56">LEFT(H532, 23)</f>
        <v>Intel Celeron Dual-Core</v>
      </c>
      <c r="S532" t="str">
        <f t="shared" si="55"/>
        <v xml:space="preserve">4 GB </v>
      </c>
    </row>
    <row r="533" spans="1:19">
      <c r="A533" t="str">
        <f>LEFT(B533, LEN(B533)-15)</f>
        <v>Asus VivoBook 15 X515EA-EJ312TS Laptop (Core i3 11th Gen/8 GB/256 GB SSD/Windows 10)</v>
      </c>
      <c r="B533" t="s">
        <v>919</v>
      </c>
      <c r="C533" s="1">
        <v>51990</v>
      </c>
      <c r="D533" s="1">
        <v>338</v>
      </c>
      <c r="E533" s="2">
        <v>86</v>
      </c>
      <c r="F533" s="2" t="str" cm="1">
        <f t="array" ref="F533">_xlfn.IFS(AND(101&gt;E533, E533&gt;69), "Top-Tier", AND(70&gt;E533, E533&gt;39), "Mid-Tier", 40&gt;E533, "Low-Tier")</f>
        <v>Top-Tier</v>
      </c>
      <c r="G533" s="4">
        <v>44287</v>
      </c>
      <c r="H533" t="s">
        <v>920</v>
      </c>
      <c r="I533" t="s">
        <v>248</v>
      </c>
      <c r="J533" t="s">
        <v>338</v>
      </c>
      <c r="K533" t="s">
        <v>249</v>
      </c>
      <c r="L533" t="s">
        <v>24</v>
      </c>
      <c r="M533" t="s">
        <v>52</v>
      </c>
      <c r="N533" t="s">
        <v>31</v>
      </c>
      <c r="Q533" t="str">
        <f>LEFT(B533, 4)</f>
        <v>Asus</v>
      </c>
      <c r="R533" t="str">
        <f t="shared" si="56"/>
        <v>Intel Celeron Dual-Core</v>
      </c>
      <c r="S533" t="str">
        <f t="shared" si="55"/>
        <v xml:space="preserve">8 GB </v>
      </c>
    </row>
    <row r="534" spans="1:19">
      <c r="A534" t="str">
        <f>LEFT(B534, LEN(B534)-15)</f>
        <v>Asus VivoBook S14 S433EA-AM701TS Laptop (Core i7 11th Gen/8 GB/512 GB SSD/Windows 10)</v>
      </c>
      <c r="B534" t="s">
        <v>921</v>
      </c>
      <c r="C534" s="1">
        <v>77635</v>
      </c>
      <c r="D534" s="1">
        <v>315</v>
      </c>
      <c r="E534" s="2">
        <v>86</v>
      </c>
      <c r="F534" s="2" t="str" cm="1">
        <f t="array" ref="F534">_xlfn.IFS(AND(101&gt;E534, E534&gt;69), "Top-Tier", AND(70&gt;E534, E534&gt;39), "Mid-Tier", 40&gt;E534, "Low-Tier")</f>
        <v>Top-Tier</v>
      </c>
      <c r="G534" s="4">
        <v>44228</v>
      </c>
      <c r="H534" t="s">
        <v>920</v>
      </c>
      <c r="I534" t="s">
        <v>248</v>
      </c>
      <c r="J534" t="s">
        <v>50</v>
      </c>
      <c r="K534" t="s">
        <v>439</v>
      </c>
      <c r="L534" t="s">
        <v>24</v>
      </c>
      <c r="M534" t="s">
        <v>44</v>
      </c>
      <c r="N534" t="s">
        <v>31</v>
      </c>
      <c r="P534" s="3">
        <v>77</v>
      </c>
      <c r="Q534" t="str">
        <f>LEFT(B534, 4)</f>
        <v>Asus</v>
      </c>
      <c r="R534" t="str">
        <f t="shared" si="56"/>
        <v>Intel Celeron Dual-Core</v>
      </c>
      <c r="S534" t="str">
        <f t="shared" si="55"/>
        <v xml:space="preserve">8 GB </v>
      </c>
    </row>
    <row r="535" spans="1:19">
      <c r="A535" t="str">
        <f>LEFT(B535, LEN(B535)-15)</f>
        <v>Asus Vivobook S410UA-EB267T Laptop (Core i5 8th Gen/8 GB/1 TB 128 GB SSD/Windows 10)</v>
      </c>
      <c r="B535" t="s">
        <v>922</v>
      </c>
      <c r="C535" s="1">
        <v>64490</v>
      </c>
      <c r="D535" s="1">
        <v>191</v>
      </c>
      <c r="E535" s="2">
        <v>86</v>
      </c>
      <c r="F535" s="2" t="str" cm="1">
        <f t="array" ref="F535">_xlfn.IFS(AND(101&gt;E535, E535&gt;69), "Top-Tier", AND(70&gt;E535, E535&gt;39), "Mid-Tier", 40&gt;E535, "Low-Tier")</f>
        <v>Top-Tier</v>
      </c>
      <c r="H535" t="s">
        <v>920</v>
      </c>
      <c r="I535" t="s">
        <v>248</v>
      </c>
      <c r="J535" t="s">
        <v>332</v>
      </c>
      <c r="K535" t="s">
        <v>439</v>
      </c>
      <c r="L535" t="s">
        <v>24</v>
      </c>
      <c r="M535" t="s">
        <v>529</v>
      </c>
      <c r="N535" t="s">
        <v>31</v>
      </c>
      <c r="O535" t="s">
        <v>152</v>
      </c>
      <c r="Q535" t="str">
        <f>LEFT(B535, 4)</f>
        <v>Asus</v>
      </c>
      <c r="R535" t="str">
        <f t="shared" si="56"/>
        <v>Intel Celeron Dual-Core</v>
      </c>
      <c r="S535" t="str">
        <f t="shared" si="55"/>
        <v xml:space="preserve">8 GB </v>
      </c>
    </row>
    <row r="536" spans="1:19">
      <c r="A536" t="str">
        <f>LEFT(B536, LEN(B536)-15)</f>
        <v>Dell Vostro 3520 (VN35200F59D001OSG1) Laptop (Core i5 11th Gen/8 GB/512 GB SSD/Windows 11)</v>
      </c>
      <c r="B536" t="s">
        <v>923</v>
      </c>
      <c r="C536" s="1">
        <v>49990</v>
      </c>
      <c r="D536" s="1">
        <v>131</v>
      </c>
      <c r="E536" s="2">
        <v>86</v>
      </c>
      <c r="F536" s="2" t="str" cm="1">
        <f t="array" ref="F536">_xlfn.IFS(AND(101&gt;E536, E536&gt;69), "Top-Tier", AND(70&gt;E536, E536&gt;39), "Mid-Tier", 40&gt;E536, "Low-Tier")</f>
        <v>Top-Tier</v>
      </c>
      <c r="G536" s="4">
        <v>45627</v>
      </c>
      <c r="H536" t="s">
        <v>920</v>
      </c>
      <c r="I536" t="s">
        <v>33</v>
      </c>
      <c r="J536" t="s">
        <v>50</v>
      </c>
      <c r="K536" t="s">
        <v>51</v>
      </c>
      <c r="L536" t="s">
        <v>24</v>
      </c>
      <c r="M536" t="s">
        <v>178</v>
      </c>
      <c r="N536" t="s">
        <v>31</v>
      </c>
      <c r="P536" s="3">
        <v>75</v>
      </c>
      <c r="Q536" t="str">
        <f>LEFT(B536, 4)</f>
        <v>Dell</v>
      </c>
      <c r="R536" t="str">
        <f t="shared" si="56"/>
        <v>Intel Celeron Dual-Core</v>
      </c>
      <c r="S536" t="str">
        <f t="shared" si="55"/>
        <v xml:space="preserve">8 GB </v>
      </c>
    </row>
    <row r="537" spans="1:19">
      <c r="A537" t="str">
        <f>LEFT(B537, LEN(B537)-15)</f>
        <v>Samsung Galaxy Book 4 Pro 360 NP960QGK-LG2IN Laptop (Core Ultra 7/16 GB/1 TB SSD/Windows 11)</v>
      </c>
      <c r="B537" t="s">
        <v>924</v>
      </c>
      <c r="C537" s="1">
        <v>179990</v>
      </c>
      <c r="D537" s="1">
        <v>21</v>
      </c>
      <c r="E537" s="2">
        <v>86</v>
      </c>
      <c r="F537" s="2" t="str" cm="1">
        <f t="array" ref="F537">_xlfn.IFS(AND(101&gt;E537, E537&gt;69), "Top-Tier", AND(70&gt;E537, E537&gt;39), "Mid-Tier", 40&gt;E537, "Low-Tier")</f>
        <v>Top-Tier</v>
      </c>
      <c r="G537" s="4">
        <v>45536</v>
      </c>
      <c r="H537" t="s">
        <v>920</v>
      </c>
      <c r="I537" t="s">
        <v>33</v>
      </c>
      <c r="J537" t="s">
        <v>42</v>
      </c>
      <c r="K537" t="s">
        <v>169</v>
      </c>
      <c r="L537" t="s">
        <v>24</v>
      </c>
      <c r="M537" t="s">
        <v>170</v>
      </c>
      <c r="N537" t="s">
        <v>31</v>
      </c>
      <c r="P537" s="3">
        <v>86</v>
      </c>
      <c r="Q537" t="str">
        <f>LEFT(B537, 7)</f>
        <v>Samsung</v>
      </c>
      <c r="R537" t="str">
        <f t="shared" si="56"/>
        <v>Intel Celeron Dual-Core</v>
      </c>
      <c r="S537" t="str">
        <f t="shared" si="55"/>
        <v>16 GB</v>
      </c>
    </row>
    <row r="538" spans="1:19">
      <c r="A538" t="str">
        <f>LEFT(B538, LEN(B538)-15)</f>
        <v>Asus Vivobook Go 15 OLED E1504FAB-LK549WS Laptop (AMD Quad Core Ryzen 5/16 GB/512 GB SSD/Windows 11)</v>
      </c>
      <c r="B538" t="s">
        <v>925</v>
      </c>
      <c r="C538" s="1">
        <v>50962</v>
      </c>
      <c r="D538" s="1">
        <v>20</v>
      </c>
      <c r="E538" s="2">
        <v>86</v>
      </c>
      <c r="F538" s="2" t="str" cm="1">
        <f t="array" ref="F538">_xlfn.IFS(AND(101&gt;E538, E538&gt;69), "Top-Tier", AND(70&gt;E538, E538&gt;39), "Mid-Tier", 40&gt;E538, "Low-Tier")</f>
        <v>Top-Tier</v>
      </c>
      <c r="G538" s="4">
        <v>45505</v>
      </c>
      <c r="H538" t="s">
        <v>920</v>
      </c>
      <c r="I538" t="s">
        <v>33</v>
      </c>
      <c r="J538" t="s">
        <v>121</v>
      </c>
      <c r="K538" t="s">
        <v>215</v>
      </c>
      <c r="L538" t="s">
        <v>24</v>
      </c>
      <c r="M538" t="s">
        <v>95</v>
      </c>
      <c r="N538" t="s">
        <v>31</v>
      </c>
      <c r="P538" s="3">
        <v>76</v>
      </c>
      <c r="Q538" t="str">
        <f>LEFT(B538, 4)</f>
        <v>Asus</v>
      </c>
      <c r="R538" t="str">
        <f t="shared" si="56"/>
        <v>Intel Celeron Dual-Core</v>
      </c>
      <c r="S538" t="str">
        <f t="shared" si="55"/>
        <v>16 GB</v>
      </c>
    </row>
    <row r="539" spans="1:19">
      <c r="A539" t="str">
        <f>LEFT(B539, LEN(B539)-15)</f>
        <v>Samsung Galaxy Book 4 Pro 360 NP960QGK-KG2IN Laptop (Intel Core Ultra 7/16 GB/1 TB SSD/Windows 11)</v>
      </c>
      <c r="B539" t="s">
        <v>926</v>
      </c>
      <c r="C539" s="1">
        <v>159999</v>
      </c>
      <c r="D539" s="1">
        <v>22</v>
      </c>
      <c r="E539" s="2">
        <v>86</v>
      </c>
      <c r="F539" s="2" t="str" cm="1">
        <f t="array" ref="F539">_xlfn.IFS(AND(101&gt;E539, E539&gt;69), "Top-Tier", AND(70&gt;E539, E539&gt;39), "Mid-Tier", 40&gt;E539, "Low-Tier")</f>
        <v>Top-Tier</v>
      </c>
      <c r="G539" s="4">
        <v>45323</v>
      </c>
      <c r="H539" t="s">
        <v>920</v>
      </c>
      <c r="I539" t="s">
        <v>33</v>
      </c>
      <c r="J539" t="s">
        <v>42</v>
      </c>
      <c r="K539" t="s">
        <v>169</v>
      </c>
      <c r="L539" t="s">
        <v>24</v>
      </c>
      <c r="M539" t="s">
        <v>170</v>
      </c>
      <c r="N539" t="s">
        <v>31</v>
      </c>
      <c r="P539" s="3">
        <v>86</v>
      </c>
      <c r="Q539" t="str">
        <f>LEFT(B539, 7)</f>
        <v>Samsung</v>
      </c>
      <c r="R539" t="str">
        <f t="shared" si="56"/>
        <v>Intel Celeron Dual-Core</v>
      </c>
      <c r="S539" t="str">
        <f t="shared" si="55"/>
        <v>16 GB</v>
      </c>
    </row>
    <row r="540" spans="1:19">
      <c r="A540" t="str">
        <f>LEFT(B540, LEN(B540)-15)</f>
        <v>Asus ROG Strix G15 G513QM-HF318TS Laptop (AMD Octa Core Ryzen 9/16 GB/1 TB SSD/Windows 10/6 GB)</v>
      </c>
      <c r="B540" t="s">
        <v>927</v>
      </c>
      <c r="C540" s="1">
        <v>129999</v>
      </c>
      <c r="D540" s="1">
        <v>63</v>
      </c>
      <c r="E540" s="2">
        <v>86</v>
      </c>
      <c r="F540" s="2" t="str" cm="1">
        <f t="array" ref="F540">_xlfn.IFS(AND(101&gt;E540, E540&gt;69), "Top-Tier", AND(70&gt;E540, E540&gt;39), "Mid-Tier", 40&gt;E540, "Low-Tier")</f>
        <v>Top-Tier</v>
      </c>
      <c r="G540" s="4">
        <v>44348</v>
      </c>
      <c r="H540" t="s">
        <v>920</v>
      </c>
      <c r="I540" t="s">
        <v>248</v>
      </c>
      <c r="J540" t="s">
        <v>184</v>
      </c>
      <c r="K540" t="s">
        <v>51</v>
      </c>
      <c r="L540" t="s">
        <v>24</v>
      </c>
      <c r="N540" t="s">
        <v>31</v>
      </c>
      <c r="O540" t="s">
        <v>291</v>
      </c>
      <c r="P540" s="3">
        <v>83</v>
      </c>
      <c r="Q540" t="str">
        <f>LEFT(B540, 4)</f>
        <v>Asus</v>
      </c>
      <c r="R540" t="str">
        <f t="shared" si="56"/>
        <v>Intel Celeron Dual-Core</v>
      </c>
      <c r="S540" t="str">
        <f t="shared" si="55"/>
        <v>16 GB</v>
      </c>
    </row>
    <row r="541" spans="1:19">
      <c r="A541" t="str">
        <f>LEFT(B541, LEN(B541)-15)</f>
        <v>Asus VivoBook Gaming F571LI-AL146T Laptop (Core i7 10th Gen/8 GB/1 TB 256 GB SSD/Windows 10/4 GB)</v>
      </c>
      <c r="B541" t="s">
        <v>928</v>
      </c>
      <c r="C541" s="1">
        <v>78999</v>
      </c>
      <c r="D541" s="1">
        <v>280</v>
      </c>
      <c r="E541" s="2">
        <v>86</v>
      </c>
      <c r="F541" s="2" t="str" cm="1">
        <f t="array" ref="F541">_xlfn.IFS(AND(101&gt;E541, E541&gt;69), "Top-Tier", AND(70&gt;E541, E541&gt;39), "Mid-Tier", 40&gt;E541, "Low-Tier")</f>
        <v>Top-Tier</v>
      </c>
      <c r="G541" s="4">
        <v>44136</v>
      </c>
      <c r="H541" t="s">
        <v>920</v>
      </c>
      <c r="I541" t="s">
        <v>248</v>
      </c>
      <c r="J541" t="s">
        <v>332</v>
      </c>
      <c r="K541" t="s">
        <v>249</v>
      </c>
      <c r="L541" t="s">
        <v>24</v>
      </c>
      <c r="M541" t="s">
        <v>176</v>
      </c>
      <c r="N541" t="s">
        <v>31</v>
      </c>
      <c r="P541" s="3">
        <v>75</v>
      </c>
      <c r="Q541" t="str">
        <f>LEFT(B541, 4)</f>
        <v>Asus</v>
      </c>
      <c r="R541" t="str">
        <f t="shared" si="56"/>
        <v>Intel Celeron Dual-Core</v>
      </c>
      <c r="S541" t="str">
        <f t="shared" si="55"/>
        <v xml:space="preserve">8 GB </v>
      </c>
    </row>
    <row r="542" spans="1:19">
      <c r="A542" t="str">
        <f>LEFT(B542, LEN(B542)-15)</f>
        <v>HP 14s-DR1010TU (227U3PA) Laptop (Core i7 10th Gen/8 GB/512 GB SSD/Windows 10)</v>
      </c>
      <c r="B542" t="s">
        <v>929</v>
      </c>
      <c r="C542" s="1">
        <v>72990</v>
      </c>
      <c r="D542" s="1">
        <v>83</v>
      </c>
      <c r="E542" s="2">
        <v>86</v>
      </c>
      <c r="F542" s="2" t="str" cm="1">
        <f t="array" ref="F542">_xlfn.IFS(AND(101&gt;E542, E542&gt;69), "Top-Tier", AND(70&gt;E542, E542&gt;39), "Mid-Tier", 40&gt;E542, "Low-Tier")</f>
        <v>Top-Tier</v>
      </c>
      <c r="G542" s="4">
        <v>44075</v>
      </c>
      <c r="H542" t="s">
        <v>920</v>
      </c>
      <c r="I542" t="s">
        <v>248</v>
      </c>
      <c r="J542" t="s">
        <v>50</v>
      </c>
      <c r="K542" t="s">
        <v>439</v>
      </c>
      <c r="L542" t="s">
        <v>24</v>
      </c>
      <c r="M542" t="s">
        <v>95</v>
      </c>
      <c r="N542" t="s">
        <v>31</v>
      </c>
      <c r="P542" s="3">
        <v>71</v>
      </c>
      <c r="Q542" t="str">
        <f>LEFT(B542, 2)</f>
        <v>HP</v>
      </c>
      <c r="R542" t="str">
        <f t="shared" si="56"/>
        <v>Intel Celeron Dual-Core</v>
      </c>
      <c r="S542" t="str">
        <f t="shared" si="55"/>
        <v xml:space="preserve">8 GB </v>
      </c>
    </row>
    <row r="543" spans="1:19">
      <c r="A543" t="str">
        <f>LEFT(B543, LEN(B543)-15)</f>
        <v>Infinix Zero Book Ultra AI PC ZL514 (71008301614) Laptop (Core Ultra 9/32 GB/1 TB SSD/Windows 11)</v>
      </c>
      <c r="B543" t="s">
        <v>930</v>
      </c>
      <c r="C543" s="1">
        <v>79990</v>
      </c>
      <c r="D543" s="1">
        <v>28</v>
      </c>
      <c r="E543" s="2">
        <v>86</v>
      </c>
      <c r="F543" s="2" t="str" cm="1">
        <f t="array" ref="F543">_xlfn.IFS(AND(101&gt;E543, E543&gt;69), "Top-Tier", AND(70&gt;E543, E543&gt;39), "Mid-Tier", 40&gt;E543, "Low-Tier")</f>
        <v>Top-Tier</v>
      </c>
      <c r="G543" s="4">
        <v>45474</v>
      </c>
      <c r="H543" t="s">
        <v>920</v>
      </c>
      <c r="I543" t="s">
        <v>33</v>
      </c>
      <c r="J543" t="s">
        <v>58</v>
      </c>
      <c r="K543" t="s">
        <v>51</v>
      </c>
      <c r="L543" t="s">
        <v>24</v>
      </c>
      <c r="M543" t="s">
        <v>178</v>
      </c>
      <c r="N543" t="s">
        <v>31</v>
      </c>
      <c r="P543" s="3">
        <v>86</v>
      </c>
      <c r="Q543" t="str">
        <f>LEFT(B543, 7)</f>
        <v>Infinix</v>
      </c>
      <c r="R543" t="str">
        <f t="shared" si="56"/>
        <v>Intel Celeron Dual-Core</v>
      </c>
      <c r="S543" t="str">
        <f t="shared" si="55"/>
        <v>32 GB</v>
      </c>
    </row>
    <row r="544" spans="1:19">
      <c r="A544" t="str">
        <f>LEFT(B544, LEN(B544)-15)</f>
        <v>Asus VivoBook S15 OLED S5506MA-MA951WS Laptop (Core Ultra 9/16 GB/1 TB SSD/Windows 11)</v>
      </c>
      <c r="B544" t="s">
        <v>931</v>
      </c>
      <c r="C544" s="1">
        <v>119990</v>
      </c>
      <c r="D544" s="1">
        <v>7</v>
      </c>
      <c r="E544" s="2">
        <v>86</v>
      </c>
      <c r="F544" s="2" t="str" cm="1">
        <f t="array" ref="F544">_xlfn.IFS(AND(101&gt;E544, E544&gt;69), "Top-Tier", AND(70&gt;E544, E544&gt;39), "Mid-Tier", 40&gt;E544, "Low-Tier")</f>
        <v>Top-Tier</v>
      </c>
      <c r="G544" s="4">
        <v>45474</v>
      </c>
      <c r="H544" t="s">
        <v>920</v>
      </c>
      <c r="I544" t="s">
        <v>33</v>
      </c>
      <c r="J544" t="s">
        <v>42</v>
      </c>
      <c r="K544" t="s">
        <v>43</v>
      </c>
      <c r="L544" t="s">
        <v>24</v>
      </c>
      <c r="M544" t="s">
        <v>44</v>
      </c>
      <c r="N544" t="s">
        <v>31</v>
      </c>
      <c r="P544" s="3">
        <v>85</v>
      </c>
      <c r="Q544" t="str">
        <f>LEFT(B544, 4)</f>
        <v>Asus</v>
      </c>
      <c r="R544" t="str">
        <f t="shared" si="56"/>
        <v>Intel Celeron Dual-Core</v>
      </c>
      <c r="S544" t="str">
        <f t="shared" si="55"/>
        <v>16 GB</v>
      </c>
    </row>
    <row r="545" spans="1:19">
      <c r="A545" t="str">
        <f>LEFT(B545, LEN(B545)-15)</f>
        <v>MSI Thin A15 B7UCX-216IN Laptop (AMD Hexa Core Ryzen 5/8 GB/512 GB SSD/Windows 11/4 GB)</v>
      </c>
      <c r="B545" t="s">
        <v>932</v>
      </c>
      <c r="C545" s="1">
        <v>51990</v>
      </c>
      <c r="D545" s="1">
        <v>204</v>
      </c>
      <c r="E545" s="2">
        <v>86</v>
      </c>
      <c r="F545" s="2" t="str" cm="1">
        <f t="array" ref="F545">_xlfn.IFS(AND(101&gt;E545, E545&gt;69), "Top-Tier", AND(70&gt;E545, E545&gt;39), "Mid-Tier", 40&gt;E545, "Low-Tier")</f>
        <v>Top-Tier</v>
      </c>
      <c r="G545" s="4">
        <v>45474</v>
      </c>
      <c r="H545" t="s">
        <v>920</v>
      </c>
      <c r="I545" t="s">
        <v>33</v>
      </c>
      <c r="J545" t="s">
        <v>119</v>
      </c>
      <c r="K545" t="s">
        <v>51</v>
      </c>
      <c r="L545" t="s">
        <v>24</v>
      </c>
      <c r="M545" t="s">
        <v>113</v>
      </c>
      <c r="N545" t="s">
        <v>31</v>
      </c>
      <c r="P545" s="3">
        <v>85</v>
      </c>
      <c r="Q545" t="str">
        <f>LEFT(B545, 3)</f>
        <v>MSI</v>
      </c>
      <c r="R545" t="str">
        <f t="shared" si="56"/>
        <v>Intel Celeron Dual-Core</v>
      </c>
      <c r="S545" t="str">
        <f t="shared" si="55"/>
        <v xml:space="preserve">8 GB </v>
      </c>
    </row>
    <row r="546" spans="1:19">
      <c r="A546" t="str">
        <f>LEFT(B546, LEN(B546)-15)</f>
        <v>Samsung Galaxy Book 4 360 NP750QGK-LG1IN Laptop (Core 5 Series 1 /16 GB/512 GB SSD/Windows 11)</v>
      </c>
      <c r="B546" t="s">
        <v>933</v>
      </c>
      <c r="C546" s="1">
        <v>114990</v>
      </c>
      <c r="D546" s="1">
        <v>41</v>
      </c>
      <c r="E546" s="2">
        <v>86</v>
      </c>
      <c r="F546" s="2" t="str" cm="1">
        <f t="array" ref="F546">_xlfn.IFS(AND(101&gt;E546, E546&gt;69), "Top-Tier", AND(70&gt;E546, E546&gt;39), "Mid-Tier", 40&gt;E546, "Low-Tier")</f>
        <v>Top-Tier</v>
      </c>
      <c r="G546" s="4">
        <v>45444</v>
      </c>
      <c r="H546" t="s">
        <v>920</v>
      </c>
      <c r="I546" t="s">
        <v>33</v>
      </c>
      <c r="J546" t="s">
        <v>121</v>
      </c>
      <c r="K546" t="s">
        <v>164</v>
      </c>
      <c r="L546" t="s">
        <v>24</v>
      </c>
      <c r="M546" t="s">
        <v>165</v>
      </c>
      <c r="N546" t="s">
        <v>31</v>
      </c>
      <c r="P546" s="3">
        <v>83</v>
      </c>
      <c r="Q546" t="str">
        <f>LEFT(B546, 7)</f>
        <v>Samsung</v>
      </c>
      <c r="R546" t="str">
        <f t="shared" si="56"/>
        <v>Intel Celeron Dual-Core</v>
      </c>
      <c r="S546" t="str">
        <f t="shared" si="55"/>
        <v>16 GB</v>
      </c>
    </row>
    <row r="547" spans="1:19">
      <c r="A547" t="str">
        <f>LEFT(B547, LEN(B547)-15)</f>
        <v>HP Victus 15-fb2114AX (A85SGPA) Laptop (AMD Octa Core Ryzen 7/16 GB/512 GB SSD/Windows 11/6 GB)</v>
      </c>
      <c r="B547" t="s">
        <v>934</v>
      </c>
      <c r="C547" s="1">
        <v>84990</v>
      </c>
      <c r="D547" s="1">
        <v>10</v>
      </c>
      <c r="E547" s="2">
        <v>86</v>
      </c>
      <c r="F547" s="2" t="str" cm="1">
        <f t="array" ref="F547">_xlfn.IFS(AND(101&gt;E547, E547&gt;69), "Top-Tier", AND(70&gt;E547, E547&gt;39), "Mid-Tier", 40&gt;E547, "Low-Tier")</f>
        <v>Top-Tier</v>
      </c>
      <c r="G547" s="4">
        <v>45444</v>
      </c>
      <c r="H547" t="s">
        <v>920</v>
      </c>
      <c r="I547" t="s">
        <v>33</v>
      </c>
      <c r="J547" t="s">
        <v>54</v>
      </c>
      <c r="K547" t="s">
        <v>51</v>
      </c>
      <c r="L547" t="s">
        <v>24</v>
      </c>
      <c r="N547" t="s">
        <v>31</v>
      </c>
      <c r="Q547" t="str">
        <f>LEFT(B547, 2)</f>
        <v>HP</v>
      </c>
      <c r="R547" t="str">
        <f t="shared" si="56"/>
        <v>Intel Celeron Dual-Core</v>
      </c>
      <c r="S547" t="str">
        <f t="shared" si="55"/>
        <v>16 GB</v>
      </c>
    </row>
    <row r="548" spans="1:19">
      <c r="A548" t="str">
        <f>LEFT(B548, LEN(B548)-15)</f>
        <v>Dell Inspiron 15 3530 (OIN353034011RINB1M) Laptop (Core i5 13th Gen/8 GB/512 GB SSD/Windows 11)</v>
      </c>
      <c r="B548" t="s">
        <v>935</v>
      </c>
      <c r="C548" s="1">
        <v>52390</v>
      </c>
      <c r="D548" s="1">
        <v>181</v>
      </c>
      <c r="E548" s="2">
        <v>86</v>
      </c>
      <c r="F548" s="2" t="str" cm="1">
        <f t="array" ref="F548">_xlfn.IFS(AND(101&gt;E548, E548&gt;69), "Top-Tier", AND(70&gt;E548, E548&gt;39), "Mid-Tier", 40&gt;E548, "Low-Tier")</f>
        <v>Top-Tier</v>
      </c>
      <c r="G548" s="4">
        <v>45444</v>
      </c>
      <c r="H548" t="s">
        <v>920</v>
      </c>
      <c r="I548" t="s">
        <v>33</v>
      </c>
      <c r="J548" t="s">
        <v>50</v>
      </c>
      <c r="K548" t="s">
        <v>51</v>
      </c>
      <c r="L548" t="s">
        <v>24</v>
      </c>
      <c r="M548" t="s">
        <v>122</v>
      </c>
      <c r="N548" t="s">
        <v>31</v>
      </c>
      <c r="P548" s="3">
        <v>79</v>
      </c>
      <c r="Q548" t="str">
        <f>LEFT(B548, 4)</f>
        <v>Dell</v>
      </c>
      <c r="R548" t="str">
        <f t="shared" si="56"/>
        <v>Intel Celeron Dual-Core</v>
      </c>
      <c r="S548" t="str">
        <f t="shared" si="55"/>
        <v xml:space="preserve">8 GB </v>
      </c>
    </row>
    <row r="549" spans="1:19">
      <c r="A549" t="str">
        <f>LEFT(B549, LEN(B549)-15)</f>
        <v>Dell Inspiron 15 3530 (OIN353010031RINS1M) Laptop (Core i7 13th Gen/16 GB/512 GB SSD/Windows 11)</v>
      </c>
      <c r="B549" t="s">
        <v>936</v>
      </c>
      <c r="C549" s="1">
        <v>69190</v>
      </c>
      <c r="D549" s="1">
        <v>127</v>
      </c>
      <c r="E549" s="2">
        <v>86</v>
      </c>
      <c r="F549" s="2" t="str" cm="1">
        <f t="array" ref="F549">_xlfn.IFS(AND(101&gt;E549, E549&gt;69), "Top-Tier", AND(70&gt;E549, E549&gt;39), "Mid-Tier", 40&gt;E549, "Low-Tier")</f>
        <v>Top-Tier</v>
      </c>
      <c r="G549" s="4">
        <v>45444</v>
      </c>
      <c r="H549" t="s">
        <v>920</v>
      </c>
      <c r="I549" t="s">
        <v>33</v>
      </c>
      <c r="J549" t="s">
        <v>34</v>
      </c>
      <c r="K549" t="s">
        <v>51</v>
      </c>
      <c r="L549" t="s">
        <v>24</v>
      </c>
      <c r="M549" t="s">
        <v>122</v>
      </c>
      <c r="N549" t="s">
        <v>31</v>
      </c>
      <c r="P549" s="3">
        <v>81</v>
      </c>
      <c r="Q549" t="str">
        <f>LEFT(B549, 4)</f>
        <v>Dell</v>
      </c>
      <c r="R549" t="str">
        <f t="shared" si="56"/>
        <v>Intel Celeron Dual-Core</v>
      </c>
      <c r="S549" t="str">
        <f t="shared" si="55"/>
        <v>16 GB</v>
      </c>
    </row>
    <row r="550" spans="1:19">
      <c r="A550" t="str">
        <f>LEFT(B550, LEN(B550)-15)</f>
        <v>Acer Aspire 3 A324-51 (UN.343SI.001) Laptop (Core i3 12th Gen/8 GB/512 GB SSD/Windows 11)</v>
      </c>
      <c r="B550" t="s">
        <v>937</v>
      </c>
      <c r="C550" s="1">
        <v>43000</v>
      </c>
      <c r="D550" s="1">
        <v>79</v>
      </c>
      <c r="E550" s="2">
        <v>86</v>
      </c>
      <c r="F550" s="2" t="str" cm="1">
        <f t="array" ref="F550">_xlfn.IFS(AND(101&gt;E550, E550&gt;69), "Top-Tier", AND(70&gt;E550, E550&gt;39), "Mid-Tier", 40&gt;E550, "Low-Tier")</f>
        <v>Top-Tier</v>
      </c>
      <c r="G550" s="4">
        <v>45444</v>
      </c>
      <c r="H550" t="s">
        <v>920</v>
      </c>
      <c r="I550" t="s">
        <v>33</v>
      </c>
      <c r="J550" t="s">
        <v>50</v>
      </c>
      <c r="K550" t="s">
        <v>354</v>
      </c>
      <c r="L550" t="s">
        <v>24</v>
      </c>
      <c r="M550" t="s">
        <v>336</v>
      </c>
      <c r="N550" t="s">
        <v>31</v>
      </c>
      <c r="P550" s="3">
        <v>76</v>
      </c>
      <c r="Q550" t="str">
        <f>LEFT(B550, 4)</f>
        <v>Acer</v>
      </c>
      <c r="R550" t="str">
        <f t="shared" si="56"/>
        <v>Intel Celeron Dual-Core</v>
      </c>
      <c r="S550" t="str">
        <f t="shared" si="55"/>
        <v xml:space="preserve">8 GB </v>
      </c>
    </row>
    <row r="551" spans="1:19">
      <c r="A551" t="str">
        <f>LEFT(B551, LEN(B551)-15)</f>
        <v>Acer Aspire 3 A324-51 (UN.343SI.006) Laptop (Core i3 12th Gen/8 GB/256 GB SSD/Windows 11)</v>
      </c>
      <c r="B551" t="s">
        <v>938</v>
      </c>
      <c r="C551" s="1">
        <v>41000</v>
      </c>
      <c r="D551" s="1">
        <v>79</v>
      </c>
      <c r="E551" s="2">
        <v>86</v>
      </c>
      <c r="F551" s="2" t="str" cm="1">
        <f t="array" ref="F551">_xlfn.IFS(AND(101&gt;E551, E551&gt;69), "Top-Tier", AND(70&gt;E551, E551&gt;39), "Mid-Tier", 40&gt;E551, "Low-Tier")</f>
        <v>Top-Tier</v>
      </c>
      <c r="G551" s="4">
        <v>45444</v>
      </c>
      <c r="H551" t="s">
        <v>920</v>
      </c>
      <c r="I551" t="s">
        <v>33</v>
      </c>
      <c r="J551" t="s">
        <v>338</v>
      </c>
      <c r="K551" t="s">
        <v>354</v>
      </c>
      <c r="L551" t="s">
        <v>24</v>
      </c>
      <c r="M551" t="s">
        <v>336</v>
      </c>
      <c r="N551" t="s">
        <v>31</v>
      </c>
      <c r="P551" s="3">
        <v>75</v>
      </c>
      <c r="Q551" t="str">
        <f>LEFT(B551, 4)</f>
        <v>Acer</v>
      </c>
      <c r="R551" t="str">
        <f t="shared" si="56"/>
        <v>Intel Celeron Dual-Core</v>
      </c>
      <c r="S551" t="str">
        <f t="shared" si="55"/>
        <v xml:space="preserve">8 GB </v>
      </c>
    </row>
    <row r="552" spans="1:19">
      <c r="A552" t="str">
        <f>LEFT(B552, LEN(B552)-15)</f>
        <v>MSI Modern 15 B12MO-612IN Laptop (Core i3 12th Gen/16 GB/512 GB SSD/Windows 11)</v>
      </c>
      <c r="B552" t="s">
        <v>939</v>
      </c>
      <c r="C552" s="1">
        <v>34990</v>
      </c>
      <c r="D552" s="1">
        <v>434</v>
      </c>
      <c r="E552" s="2">
        <v>86</v>
      </c>
      <c r="F552" s="2" t="str" cm="1">
        <f t="array" ref="F552">_xlfn.IFS(AND(101&gt;E552, E552&gt;69), "Top-Tier", AND(70&gt;E552, E552&gt;39), "Mid-Tier", 40&gt;E552, "Low-Tier")</f>
        <v>Top-Tier</v>
      </c>
      <c r="G552" s="4">
        <v>45413</v>
      </c>
      <c r="H552" t="s">
        <v>920</v>
      </c>
      <c r="I552" t="s">
        <v>33</v>
      </c>
      <c r="J552" t="s">
        <v>34</v>
      </c>
      <c r="K552" t="s">
        <v>51</v>
      </c>
      <c r="L552" t="s">
        <v>24</v>
      </c>
      <c r="M552" t="s">
        <v>52</v>
      </c>
      <c r="N552" t="s">
        <v>31</v>
      </c>
      <c r="P552" s="3">
        <v>76</v>
      </c>
      <c r="Q552" t="str">
        <f>LEFT(B552, 3)</f>
        <v>MSI</v>
      </c>
      <c r="R552" t="str">
        <f t="shared" si="56"/>
        <v>Intel Celeron Dual-Core</v>
      </c>
      <c r="S552" t="str">
        <f t="shared" si="55"/>
        <v>16 GB</v>
      </c>
    </row>
    <row r="553" spans="1:19">
      <c r="A553" t="str">
        <f>LEFT(B553, LEN(B553)-15)</f>
        <v>MSI Thin 15 B12UCX-1695IN Laptop (Core i5 12th Gen/16 GB/512 GB SSD/Windows 11/4 GB)</v>
      </c>
      <c r="B553" t="s">
        <v>940</v>
      </c>
      <c r="C553" s="1">
        <v>51999</v>
      </c>
      <c r="D553" s="1">
        <v>1052</v>
      </c>
      <c r="E553" s="2">
        <v>86</v>
      </c>
      <c r="F553" s="2" t="str" cm="1">
        <f t="array" ref="F553">_xlfn.IFS(AND(101&gt;E553, E553&gt;69), "Top-Tier", AND(70&gt;E553, E553&gt;39), "Mid-Tier", 40&gt;E553, "Low-Tier")</f>
        <v>Top-Tier</v>
      </c>
      <c r="G553" s="4">
        <v>45323</v>
      </c>
      <c r="H553" t="s">
        <v>920</v>
      </c>
      <c r="I553" t="s">
        <v>33</v>
      </c>
      <c r="J553" t="s">
        <v>34</v>
      </c>
      <c r="K553" t="s">
        <v>51</v>
      </c>
      <c r="L553" t="s">
        <v>24</v>
      </c>
      <c r="M553" t="s">
        <v>113</v>
      </c>
      <c r="N553" t="s">
        <v>31</v>
      </c>
      <c r="P553" s="3">
        <v>85</v>
      </c>
      <c r="Q553" t="str">
        <f>LEFT(B553, 3)</f>
        <v>MSI</v>
      </c>
      <c r="R553" t="str">
        <f t="shared" si="56"/>
        <v>Intel Celeron Dual-Core</v>
      </c>
      <c r="S553" t="str">
        <f t="shared" si="55"/>
        <v>16 GB</v>
      </c>
    </row>
    <row r="554" spans="1:19">
      <c r="A554" t="str">
        <f>LEFT(B554, LEN(B554)-15)</f>
        <v>HP Omen 16-wf0179TX (9Q9M6PA) Laptop (Core i7 13th Gen/16 GB/512 GB SSD/Windows 11/6 GB)</v>
      </c>
      <c r="B554" t="s">
        <v>941</v>
      </c>
      <c r="C554" s="1">
        <v>101990</v>
      </c>
      <c r="D554" s="1">
        <v>152</v>
      </c>
      <c r="E554" s="2">
        <v>86</v>
      </c>
      <c r="F554" s="2" t="str" cm="1">
        <f t="array" ref="F554">_xlfn.IFS(AND(101&gt;E554, E554&gt;69), "Top-Tier", AND(70&gt;E554, E554&gt;39), "Mid-Tier", 40&gt;E554, "Low-Tier")</f>
        <v>Top-Tier</v>
      </c>
      <c r="G554" s="4">
        <v>45292</v>
      </c>
      <c r="H554" t="s">
        <v>920</v>
      </c>
      <c r="I554" t="s">
        <v>33</v>
      </c>
      <c r="J554" t="s">
        <v>54</v>
      </c>
      <c r="K554" t="s">
        <v>271</v>
      </c>
      <c r="L554" t="s">
        <v>24</v>
      </c>
      <c r="N554" t="s">
        <v>31</v>
      </c>
      <c r="Q554" t="str">
        <f>LEFT(B554, 2)</f>
        <v>HP</v>
      </c>
      <c r="R554" t="str">
        <f t="shared" si="56"/>
        <v>Intel Celeron Dual-Core</v>
      </c>
      <c r="S554" t="str">
        <f t="shared" si="55"/>
        <v>16 GB</v>
      </c>
    </row>
    <row r="555" spans="1:19">
      <c r="A555" t="str">
        <f>LEFT(B555, LEN(B555)-15)</f>
        <v>Infinix INBook Y4 Max YL613 Laptop (Core i5 13th Gen/16 GB/512 GB SSD/Windows 11)</v>
      </c>
      <c r="B555" t="s">
        <v>942</v>
      </c>
      <c r="C555" s="1">
        <v>38990</v>
      </c>
      <c r="D555" s="1">
        <v>146</v>
      </c>
      <c r="E555" s="2">
        <v>86</v>
      </c>
      <c r="F555" s="2" t="str" cm="1">
        <f t="array" ref="F555">_xlfn.IFS(AND(101&gt;E555, E555&gt;69), "Top-Tier", AND(70&gt;E555, E555&gt;39), "Mid-Tier", 40&gt;E555, "Low-Tier")</f>
        <v>Top-Tier</v>
      </c>
      <c r="G555" s="4">
        <v>45292</v>
      </c>
      <c r="H555" t="s">
        <v>920</v>
      </c>
      <c r="I555" t="s">
        <v>33</v>
      </c>
      <c r="J555" t="s">
        <v>214</v>
      </c>
      <c r="K555" t="s">
        <v>155</v>
      </c>
      <c r="L555" t="s">
        <v>24</v>
      </c>
      <c r="M555" t="s">
        <v>95</v>
      </c>
      <c r="N555" t="s">
        <v>31</v>
      </c>
      <c r="O555" t="s">
        <v>261</v>
      </c>
      <c r="P555" s="3">
        <v>81</v>
      </c>
      <c r="Q555" t="str">
        <f>LEFT(B555, 7)</f>
        <v>Infinix</v>
      </c>
      <c r="R555" t="str">
        <f t="shared" si="56"/>
        <v>Intel Celeron Dual-Core</v>
      </c>
      <c r="S555" t="str">
        <f t="shared" si="55"/>
        <v>16 GB</v>
      </c>
    </row>
    <row r="556" spans="1:19">
      <c r="A556" t="str">
        <f>LEFT(B556, LEN(B556)-15)</f>
        <v>Lenovo Ideapad Slim 5 16IMH9 (83DC0042IN) Laptop (Intel Core Ultra 5/16 GB/1 TB SSD/Windows 11)</v>
      </c>
      <c r="B556" t="s">
        <v>943</v>
      </c>
      <c r="C556" s="1">
        <v>71990</v>
      </c>
      <c r="D556" s="1">
        <v>93</v>
      </c>
      <c r="E556" s="2">
        <v>86</v>
      </c>
      <c r="F556" s="2" t="str" cm="1">
        <f t="array" ref="F556">_xlfn.IFS(AND(101&gt;E556, E556&gt;69), "Top-Tier", AND(70&gt;E556, E556&gt;39), "Mid-Tier", 40&gt;E556, "Low-Tier")</f>
        <v>Top-Tier</v>
      </c>
      <c r="G556" s="4">
        <v>45292</v>
      </c>
      <c r="H556" t="s">
        <v>920</v>
      </c>
      <c r="I556" t="s">
        <v>33</v>
      </c>
      <c r="J556" t="s">
        <v>42</v>
      </c>
      <c r="K556" t="s">
        <v>155</v>
      </c>
      <c r="L556" t="s">
        <v>24</v>
      </c>
      <c r="M556" t="s">
        <v>95</v>
      </c>
      <c r="N556" t="s">
        <v>31</v>
      </c>
      <c r="P556" s="3">
        <v>84</v>
      </c>
      <c r="Q556" t="str">
        <f>LEFT(B556, 6)</f>
        <v>Lenovo</v>
      </c>
      <c r="R556" t="str">
        <f t="shared" si="56"/>
        <v>Intel Celeron Dual-Core</v>
      </c>
      <c r="S556" t="str">
        <f t="shared" si="55"/>
        <v>16 GB</v>
      </c>
    </row>
    <row r="557" spans="1:19">
      <c r="A557" t="str">
        <f>LEFT(B557, LEN(B557)-15)</f>
        <v>HP Victus 15-fb0136AX (87B82PA) Laptop (AMD Hexa Core Ryzen 5/16 GB/512 GB SSD/Windows 11/4 GB)</v>
      </c>
      <c r="B557" t="s">
        <v>944</v>
      </c>
      <c r="C557" s="1">
        <v>57500</v>
      </c>
      <c r="D557" s="1">
        <v>988</v>
      </c>
      <c r="E557" s="2">
        <v>86</v>
      </c>
      <c r="F557" s="2" t="str" cm="1">
        <f t="array" ref="F557">_xlfn.IFS(AND(101&gt;E557, E557&gt;69), "Top-Tier", AND(70&gt;E557, E557&gt;39), "Mid-Tier", 40&gt;E557, "Low-Tier")</f>
        <v>Top-Tier</v>
      </c>
      <c r="G557" s="4">
        <v>45261</v>
      </c>
      <c r="H557" t="s">
        <v>920</v>
      </c>
      <c r="I557" t="s">
        <v>33</v>
      </c>
      <c r="J557" t="s">
        <v>34</v>
      </c>
      <c r="K557" t="s">
        <v>51</v>
      </c>
      <c r="L557" t="s">
        <v>24</v>
      </c>
      <c r="N557" t="s">
        <v>31</v>
      </c>
      <c r="P557" s="3">
        <v>82</v>
      </c>
      <c r="Q557" t="str">
        <f>LEFT(B557, 2)</f>
        <v>HP</v>
      </c>
      <c r="R557" t="str">
        <f t="shared" si="56"/>
        <v>Intel Celeron Dual-Core</v>
      </c>
      <c r="S557" t="str">
        <f t="shared" si="55"/>
        <v>16 GB</v>
      </c>
    </row>
    <row r="558" spans="1:19">
      <c r="A558" t="str">
        <f>LEFT(B558, LEN(B558)-15)</f>
        <v>HP 15S-EQ2084AU (91R01PA) Laptop (AMD Octa Core Ryzen 7/16 GB/512 GB SSD/Windows 11)</v>
      </c>
      <c r="B558" t="s">
        <v>945</v>
      </c>
      <c r="C558" s="1">
        <v>59485</v>
      </c>
      <c r="D558" s="1">
        <v>467</v>
      </c>
      <c r="E558" s="2">
        <v>86</v>
      </c>
      <c r="F558" s="2" t="str" cm="1">
        <f t="array" ref="F558">_xlfn.IFS(AND(101&gt;E558, E558&gt;69), "Top-Tier", AND(70&gt;E558, E558&gt;39), "Mid-Tier", 40&gt;E558, "Low-Tier")</f>
        <v>Top-Tier</v>
      </c>
      <c r="G558" s="4">
        <v>45261</v>
      </c>
      <c r="H558" t="s">
        <v>946</v>
      </c>
      <c r="I558" t="s">
        <v>33</v>
      </c>
      <c r="J558" t="s">
        <v>34</v>
      </c>
      <c r="K558" t="s">
        <v>51</v>
      </c>
      <c r="L558" t="s">
        <v>24</v>
      </c>
      <c r="M558" t="s">
        <v>95</v>
      </c>
      <c r="N558" t="s">
        <v>31</v>
      </c>
      <c r="P558" s="3">
        <v>71</v>
      </c>
      <c r="Q558" t="str">
        <f>LEFT(B558, 2)</f>
        <v>HP</v>
      </c>
      <c r="R558" t="str">
        <f t="shared" si="56"/>
        <v>Intel Celeron Dual-Core</v>
      </c>
      <c r="S558" t="str">
        <f t="shared" si="55"/>
        <v>16 GB</v>
      </c>
    </row>
    <row r="559" spans="1:19">
      <c r="A559" t="str">
        <f>LEFT(B559, LEN(B559)-15)</f>
        <v>Asus VivoBook 14 X1400EA-EK543WS Laptop (Core i5 11th Gen/16 GB/512 GB SSD/Windows 11)</v>
      </c>
      <c r="B559" t="s">
        <v>947</v>
      </c>
      <c r="C559" s="1">
        <v>43990</v>
      </c>
      <c r="D559" s="1">
        <v>8266</v>
      </c>
      <c r="E559" s="2">
        <v>86</v>
      </c>
      <c r="F559" s="2" t="str" cm="1">
        <f t="array" ref="F559">_xlfn.IFS(AND(101&gt;E559, E559&gt;69), "Top-Tier", AND(70&gt;E559, E559&gt;39), "Mid-Tier", 40&gt;E559, "Low-Tier")</f>
        <v>Top-Tier</v>
      </c>
      <c r="G559" s="4">
        <v>45231</v>
      </c>
      <c r="H559" t="s">
        <v>948</v>
      </c>
      <c r="I559" t="s">
        <v>33</v>
      </c>
      <c r="J559" t="s">
        <v>34</v>
      </c>
      <c r="K559" t="s">
        <v>149</v>
      </c>
      <c r="L559" t="s">
        <v>24</v>
      </c>
      <c r="M559" t="s">
        <v>52</v>
      </c>
      <c r="N559" t="s">
        <v>31</v>
      </c>
      <c r="P559" s="3">
        <v>77</v>
      </c>
      <c r="Q559" t="str">
        <f>LEFT(B559, 4)</f>
        <v>Asus</v>
      </c>
      <c r="R559" t="str">
        <f t="shared" si="56"/>
        <v>Intel Celeron Dual-Core</v>
      </c>
      <c r="S559" t="str">
        <f t="shared" si="55"/>
        <v>16 GB</v>
      </c>
    </row>
    <row r="560" spans="1:19">
      <c r="A560" t="str">
        <f>LEFT(B560, LEN(B560)-15)</f>
        <v>Asus ROG Strix G15 G513RC-HN061W Laptop (AMD Octa Core Ryzen 7/16 GB/512 GB SSD/Windows 11/4 GB)</v>
      </c>
      <c r="B560" t="s">
        <v>949</v>
      </c>
      <c r="C560" s="1">
        <v>78999</v>
      </c>
      <c r="D560" s="1">
        <v>625</v>
      </c>
      <c r="E560" s="2">
        <v>86</v>
      </c>
      <c r="F560" s="2" t="str" cm="1">
        <f t="array" ref="F560">_xlfn.IFS(AND(101&gt;E560, E560&gt;69), "Top-Tier", AND(70&gt;E560, E560&gt;39), "Mid-Tier", 40&gt;E560, "Low-Tier")</f>
        <v>Top-Tier</v>
      </c>
      <c r="G560" s="4">
        <v>45231</v>
      </c>
      <c r="H560" t="s">
        <v>948</v>
      </c>
      <c r="I560" t="s">
        <v>33</v>
      </c>
      <c r="J560" t="s">
        <v>54</v>
      </c>
      <c r="K560" t="s">
        <v>51</v>
      </c>
      <c r="N560" t="s">
        <v>31</v>
      </c>
      <c r="P560" s="3">
        <v>86</v>
      </c>
      <c r="Q560" t="str">
        <f>LEFT(B560, 4)</f>
        <v>Asus</v>
      </c>
      <c r="R560" t="str">
        <f t="shared" si="56"/>
        <v>Intel Celeron Dual-Core</v>
      </c>
      <c r="S560" t="str">
        <f t="shared" si="55"/>
        <v>16 GB</v>
      </c>
    </row>
    <row r="561" spans="1:19">
      <c r="A561" t="str">
        <f>LEFT(B561, LEN(B561)-15)</f>
        <v>HP Pavilion 15-eg3036TU (7S4P3PA) Laptop (Core i7 13th Gen/16 GB/1 TB SSD/Windows 11)</v>
      </c>
      <c r="B561" t="s">
        <v>950</v>
      </c>
      <c r="C561" s="1">
        <v>98000</v>
      </c>
      <c r="D561" s="1">
        <v>200</v>
      </c>
      <c r="E561" s="2">
        <v>86</v>
      </c>
      <c r="F561" s="2" t="str" cm="1">
        <f t="array" ref="F561">_xlfn.IFS(AND(101&gt;E561, E561&gt;69), "Top-Tier", AND(70&gt;E561, E561&gt;39), "Mid-Tier", 40&gt;E561, "Low-Tier")</f>
        <v>Top-Tier</v>
      </c>
      <c r="G561" s="4">
        <v>45231</v>
      </c>
      <c r="H561" t="s">
        <v>948</v>
      </c>
      <c r="I561" t="s">
        <v>33</v>
      </c>
      <c r="J561" t="s">
        <v>184</v>
      </c>
      <c r="K561" t="s">
        <v>51</v>
      </c>
      <c r="L561" t="s">
        <v>24</v>
      </c>
      <c r="M561" t="s">
        <v>95</v>
      </c>
      <c r="N561" t="s">
        <v>31</v>
      </c>
      <c r="P561" s="3">
        <v>83</v>
      </c>
      <c r="Q561" t="str">
        <f>LEFT(B561, 2)</f>
        <v>HP</v>
      </c>
      <c r="R561" t="str">
        <f t="shared" si="56"/>
        <v>Intel Celeron Dual-Core</v>
      </c>
      <c r="S561" t="str">
        <f t="shared" si="55"/>
        <v>16 GB</v>
      </c>
    </row>
    <row r="562" spans="1:19">
      <c r="A562" t="str">
        <f>LEFT(B562, LEN(B562)-15)</f>
        <v>Asus VivoBook 15 X515EA-EJ342WS Laptop (Core i3 11th Gen/16 GB/512 GB SSD/Windows 11)</v>
      </c>
      <c r="B562" t="s">
        <v>951</v>
      </c>
      <c r="C562" s="1">
        <v>34990</v>
      </c>
      <c r="D562" s="1">
        <v>8605</v>
      </c>
      <c r="E562" s="2">
        <v>86</v>
      </c>
      <c r="F562" s="2" t="str" cm="1">
        <f t="array" ref="F562">_xlfn.IFS(AND(101&gt;E562, E562&gt;69), "Top-Tier", AND(70&gt;E562, E562&gt;39), "Mid-Tier", 40&gt;E562, "Low-Tier")</f>
        <v>Top-Tier</v>
      </c>
      <c r="G562" s="4">
        <v>45200</v>
      </c>
      <c r="H562" t="s">
        <v>948</v>
      </c>
      <c r="I562" t="s">
        <v>33</v>
      </c>
      <c r="J562" t="s">
        <v>34</v>
      </c>
      <c r="K562" t="s">
        <v>51</v>
      </c>
      <c r="L562" t="s">
        <v>24</v>
      </c>
      <c r="M562" t="s">
        <v>52</v>
      </c>
      <c r="N562" t="s">
        <v>31</v>
      </c>
      <c r="P562" s="3">
        <v>73</v>
      </c>
      <c r="Q562" t="str">
        <f>LEFT(B562, 4)</f>
        <v>Asus</v>
      </c>
      <c r="R562" t="str">
        <f t="shared" si="56"/>
        <v>Intel Celeron Dual-Core</v>
      </c>
      <c r="S562" t="str">
        <f t="shared" si="55"/>
        <v>16 GB</v>
      </c>
    </row>
    <row r="563" spans="1:19">
      <c r="A563" t="str">
        <f>LEFT(B563, LEN(B563)-15)</f>
        <v>Asus VivoBook S14 S3402ZA-LY542WS Laptop (Core i5 12th Gen/16 GB/512 GB SSD/Windows 11)</v>
      </c>
      <c r="B563" t="s">
        <v>952</v>
      </c>
      <c r="C563" s="1">
        <v>66990</v>
      </c>
      <c r="D563" s="1">
        <v>1819</v>
      </c>
      <c r="E563" s="2">
        <v>86</v>
      </c>
      <c r="F563" s="2" t="str" cm="1">
        <f t="array" ref="F563">_xlfn.IFS(AND(101&gt;E563, E563&gt;69), "Top-Tier", AND(70&gt;E563, E563&gt;39), "Mid-Tier", 40&gt;E563, "Low-Tier")</f>
        <v>Top-Tier</v>
      </c>
      <c r="G563" s="4">
        <v>45200</v>
      </c>
      <c r="H563" t="s">
        <v>948</v>
      </c>
      <c r="I563" t="s">
        <v>33</v>
      </c>
      <c r="J563" t="s">
        <v>34</v>
      </c>
      <c r="K563" t="s">
        <v>94</v>
      </c>
      <c r="L563" t="s">
        <v>24</v>
      </c>
      <c r="M563" t="s">
        <v>122</v>
      </c>
      <c r="N563" t="s">
        <v>31</v>
      </c>
      <c r="P563" s="3">
        <v>81</v>
      </c>
      <c r="Q563" t="str">
        <f>LEFT(B563, 4)</f>
        <v>Asus</v>
      </c>
      <c r="R563" t="str">
        <f t="shared" si="56"/>
        <v>Intel Celeron Dual-Core</v>
      </c>
      <c r="S563" t="str">
        <f t="shared" si="55"/>
        <v>16 GB</v>
      </c>
    </row>
    <row r="564" spans="1:19">
      <c r="A564" t="str">
        <f>LEFT(B564, LEN(B564)-15)</f>
        <v>MSI GF63 Thin 12UC-846IN Laptop (Core i5 12th Gen/16 GB/512 GB SSD/Windows 11/4 GB)</v>
      </c>
      <c r="B564" t="s">
        <v>953</v>
      </c>
      <c r="C564" s="1">
        <v>76990</v>
      </c>
      <c r="D564" s="1">
        <v>203</v>
      </c>
      <c r="E564" s="2">
        <v>86</v>
      </c>
      <c r="F564" s="2" t="str" cm="1">
        <f t="array" ref="F564">_xlfn.IFS(AND(101&gt;E564, E564&gt;69), "Top-Tier", AND(70&gt;E564, E564&gt;39), "Mid-Tier", 40&gt;E564, "Low-Tier")</f>
        <v>Top-Tier</v>
      </c>
      <c r="G564" s="4">
        <v>45200</v>
      </c>
      <c r="H564" t="s">
        <v>948</v>
      </c>
      <c r="I564" t="s">
        <v>33</v>
      </c>
      <c r="J564" t="s">
        <v>34</v>
      </c>
      <c r="K564" t="s">
        <v>51</v>
      </c>
      <c r="L564" t="s">
        <v>24</v>
      </c>
      <c r="M564" t="s">
        <v>113</v>
      </c>
      <c r="P564" s="3">
        <v>80</v>
      </c>
      <c r="Q564" t="str">
        <f>LEFT(B564, 3)</f>
        <v>MSI</v>
      </c>
      <c r="R564" t="str">
        <f t="shared" si="56"/>
        <v>Intel Celeron Dual-Core</v>
      </c>
      <c r="S564" t="str">
        <f t="shared" si="55"/>
        <v>16 GB</v>
      </c>
    </row>
    <row r="565" spans="1:19">
      <c r="A565" t="str">
        <f>LEFT(B565, LEN(B565)-15)</f>
        <v>Acer Aspire Lite AL15-51 (UN.431SI.253) Laptop (Core i3 11th Gen/8 GB/512 GB SSD/Windows 11)</v>
      </c>
      <c r="B565" t="s">
        <v>954</v>
      </c>
      <c r="C565" s="1">
        <v>31990</v>
      </c>
      <c r="D565" s="1">
        <v>184</v>
      </c>
      <c r="E565" s="2">
        <v>86</v>
      </c>
      <c r="F565" s="2" t="str" cm="1">
        <f t="array" ref="F565">_xlfn.IFS(AND(101&gt;E565, E565&gt;69), "Top-Tier", AND(70&gt;E565, E565&gt;39), "Mid-Tier", 40&gt;E565, "Low-Tier")</f>
        <v>Top-Tier</v>
      </c>
      <c r="G565" s="4">
        <v>45170</v>
      </c>
      <c r="H565" t="s">
        <v>948</v>
      </c>
      <c r="I565" t="s">
        <v>33</v>
      </c>
      <c r="J565" t="s">
        <v>955</v>
      </c>
      <c r="K565" t="s">
        <v>159</v>
      </c>
      <c r="L565" t="s">
        <v>24</v>
      </c>
      <c r="M565" t="s">
        <v>864</v>
      </c>
      <c r="N565" t="s">
        <v>31</v>
      </c>
      <c r="P565" s="3">
        <v>72</v>
      </c>
      <c r="Q565" t="str">
        <f>LEFT(B565, 4)</f>
        <v>Acer</v>
      </c>
      <c r="R565" t="str">
        <f t="shared" si="56"/>
        <v>Intel Celeron Dual-Core</v>
      </c>
      <c r="S565" t="str">
        <f t="shared" si="55"/>
        <v xml:space="preserve">8 GB </v>
      </c>
    </row>
    <row r="566" spans="1:19">
      <c r="A566" t="str">
        <f>LEFT(B566, LEN(B566)-15)</f>
        <v>Lenovo ThinkBook 15 (21JF0026MJ) Laptop (AMD Octa Core Ryzen 7/16 GB/512 GB SSD/Windows 11)</v>
      </c>
      <c r="B566" t="s">
        <v>956</v>
      </c>
      <c r="C566" s="1">
        <v>57400</v>
      </c>
      <c r="D566" s="1">
        <v>54</v>
      </c>
      <c r="E566" s="2">
        <v>86</v>
      </c>
      <c r="F566" s="2" t="str" cm="1">
        <f t="array" ref="F566">_xlfn.IFS(AND(101&gt;E566, E566&gt;69), "Top-Tier", AND(70&gt;E566, E566&gt;39), "Mid-Tier", 40&gt;E566, "Low-Tier")</f>
        <v>Top-Tier</v>
      </c>
      <c r="G566" s="4">
        <v>45170</v>
      </c>
      <c r="H566" t="s">
        <v>948</v>
      </c>
      <c r="I566" t="s">
        <v>33</v>
      </c>
      <c r="J566" t="s">
        <v>34</v>
      </c>
      <c r="K566" t="s">
        <v>51</v>
      </c>
      <c r="L566" t="s">
        <v>24</v>
      </c>
      <c r="N566" t="s">
        <v>31</v>
      </c>
      <c r="Q566" t="str">
        <f>LEFT(B566, 6)</f>
        <v>Lenovo</v>
      </c>
      <c r="R566" t="str">
        <f t="shared" si="56"/>
        <v>Intel Celeron Dual-Core</v>
      </c>
      <c r="S566" t="str">
        <f t="shared" si="55"/>
        <v>16 GB</v>
      </c>
    </row>
    <row r="567" spans="1:19">
      <c r="A567" t="str">
        <f>LEFT(B567, LEN(B567)-15)</f>
        <v>Asus VivoBook 15 X1502ZA-EJ993WS Laptop (Core i3 12th Gen/16 GB/512 GB SSD/Windows 11)</v>
      </c>
      <c r="B567" t="s">
        <v>957</v>
      </c>
      <c r="C567" s="1">
        <v>35990</v>
      </c>
      <c r="D567" s="1">
        <v>3285</v>
      </c>
      <c r="E567" s="2">
        <v>86</v>
      </c>
      <c r="F567" s="2" t="str" cm="1">
        <f t="array" ref="F567">_xlfn.IFS(AND(101&gt;E567, E567&gt;69), "Top-Tier", AND(70&gt;E567, E567&gt;39), "Mid-Tier", 40&gt;E567, "Low-Tier")</f>
        <v>Top-Tier</v>
      </c>
      <c r="G567" s="4">
        <v>45170</v>
      </c>
      <c r="H567" t="s">
        <v>948</v>
      </c>
      <c r="I567" t="s">
        <v>33</v>
      </c>
      <c r="J567" t="s">
        <v>34</v>
      </c>
      <c r="K567" t="s">
        <v>51</v>
      </c>
      <c r="L567" t="s">
        <v>24</v>
      </c>
      <c r="M567" t="s">
        <v>52</v>
      </c>
      <c r="N567" t="s">
        <v>31</v>
      </c>
      <c r="P567" s="3">
        <v>77</v>
      </c>
      <c r="Q567" t="str">
        <f>LEFT(B567, 4)</f>
        <v>Asus</v>
      </c>
      <c r="R567" t="str">
        <f t="shared" si="56"/>
        <v>Intel Celeron Dual-Core</v>
      </c>
      <c r="S567" t="str">
        <f t="shared" si="55"/>
        <v>16 GB</v>
      </c>
    </row>
    <row r="568" spans="1:19">
      <c r="A568" t="str">
        <f>LEFT(B568, LEN(B568)-15)</f>
        <v>HP Pavilion 15-eg3018TU (87B57PA) Laptop (Core i5 13th Gen/16 GB/1 TB SSD/Windows 11)</v>
      </c>
      <c r="B568" t="s">
        <v>958</v>
      </c>
      <c r="C568" s="1">
        <v>68790</v>
      </c>
      <c r="D568" s="1">
        <v>411</v>
      </c>
      <c r="E568" s="2">
        <v>86</v>
      </c>
      <c r="F568" s="2" t="str" cm="1">
        <f t="array" ref="F568">_xlfn.IFS(AND(101&gt;E568, E568&gt;69), "Top-Tier", AND(70&gt;E568, E568&gt;39), "Mid-Tier", 40&gt;E568, "Low-Tier")</f>
        <v>Top-Tier</v>
      </c>
      <c r="G568" s="4">
        <v>45170</v>
      </c>
      <c r="H568" t="s">
        <v>948</v>
      </c>
      <c r="I568" t="s">
        <v>33</v>
      </c>
      <c r="J568" t="s">
        <v>184</v>
      </c>
      <c r="K568" t="s">
        <v>51</v>
      </c>
      <c r="L568" t="s">
        <v>24</v>
      </c>
      <c r="M568" t="s">
        <v>95</v>
      </c>
      <c r="N568" t="s">
        <v>31</v>
      </c>
      <c r="P568" s="3">
        <v>77</v>
      </c>
      <c r="Q568" t="str">
        <f>LEFT(B568, 2)</f>
        <v>HP</v>
      </c>
      <c r="R568" t="str">
        <f t="shared" si="56"/>
        <v>Intel Celeron Dual-Core</v>
      </c>
      <c r="S568" t="str">
        <f t="shared" si="55"/>
        <v>16 GB</v>
      </c>
    </row>
    <row r="569" spans="1:19">
      <c r="A569" t="str">
        <f>LEFT(B569, LEN(B569)-15)</f>
        <v>HP Pavilion 14-dv2153TU (8Y2S3PA) Laptop (Core i5 12th Gen/16 GB/1 TB SSD/Windows 11)</v>
      </c>
      <c r="B569" t="s">
        <v>959</v>
      </c>
      <c r="C569" s="1">
        <v>67900</v>
      </c>
      <c r="D569" s="1">
        <v>2072</v>
      </c>
      <c r="E569" s="2">
        <v>86</v>
      </c>
      <c r="F569" s="2" t="str" cm="1">
        <f t="array" ref="F569">_xlfn.IFS(AND(101&gt;E569, E569&gt;69), "Top-Tier", AND(70&gt;E569, E569&gt;39), "Mid-Tier", 40&gt;E569, "Low-Tier")</f>
        <v>Top-Tier</v>
      </c>
      <c r="G569" s="4">
        <v>45139</v>
      </c>
      <c r="H569" t="s">
        <v>948</v>
      </c>
      <c r="I569" t="s">
        <v>33</v>
      </c>
      <c r="J569" t="s">
        <v>184</v>
      </c>
      <c r="K569" t="s">
        <v>149</v>
      </c>
      <c r="L569" t="s">
        <v>24</v>
      </c>
      <c r="M569" t="s">
        <v>203</v>
      </c>
      <c r="N569" t="s">
        <v>31</v>
      </c>
      <c r="P569" s="3">
        <v>81</v>
      </c>
      <c r="Q569" t="str">
        <f>LEFT(B569, 2)</f>
        <v>HP</v>
      </c>
      <c r="R569" t="str">
        <f t="shared" si="56"/>
        <v>Intel Celeron Dual-Core</v>
      </c>
      <c r="S569" t="str">
        <f t="shared" si="55"/>
        <v>16 GB</v>
      </c>
    </row>
    <row r="570" spans="1:19">
      <c r="A570" t="str">
        <f>LEFT(B570, LEN(B570)-15)</f>
        <v>Lenovo Ideapad Gaming 3 15ARH7 (82SB00V5IN) Laptop (AMD Octa Core Ryzen 7/8 GB/512 GB SSD/Windows 11/4 GB)</v>
      </c>
      <c r="B570" t="s">
        <v>960</v>
      </c>
      <c r="C570" s="1">
        <v>64990</v>
      </c>
      <c r="D570" s="1">
        <v>384</v>
      </c>
      <c r="E570" s="2">
        <v>86</v>
      </c>
      <c r="F570" s="2" t="str" cm="1">
        <f t="array" ref="F570">_xlfn.IFS(AND(101&gt;E570, E570&gt;69), "Top-Tier", AND(70&gt;E570, E570&gt;39), "Mid-Tier", 40&gt;E570, "Low-Tier")</f>
        <v>Top-Tier</v>
      </c>
      <c r="G570" s="4">
        <v>45139</v>
      </c>
      <c r="H570" t="s">
        <v>948</v>
      </c>
      <c r="I570" t="s">
        <v>33</v>
      </c>
      <c r="J570" t="s">
        <v>119</v>
      </c>
      <c r="K570" t="s">
        <v>51</v>
      </c>
      <c r="L570" t="s">
        <v>24</v>
      </c>
      <c r="M570" t="s">
        <v>738</v>
      </c>
      <c r="N570" t="s">
        <v>31</v>
      </c>
      <c r="P570" s="3">
        <v>86</v>
      </c>
      <c r="Q570" t="str">
        <f>LEFT(B570, 6)</f>
        <v>Lenovo</v>
      </c>
      <c r="R570" t="str">
        <f t="shared" si="56"/>
        <v>Intel Celeron Dual-Core</v>
      </c>
      <c r="S570" t="str">
        <f t="shared" si="55"/>
        <v xml:space="preserve">8 GB </v>
      </c>
    </row>
    <row r="571" spans="1:19">
      <c r="A571" t="str">
        <f>LEFT(B571, LEN(B571)-15)</f>
        <v>Lenovo IdeaPad Gaming 3 15ARH7 (82SB00Y8IN) Laptop (AMD Octa Core Ryzen 7/16 GB/512 GB SSD/Windows 11/4 GB)</v>
      </c>
      <c r="B571" t="s">
        <v>961</v>
      </c>
      <c r="C571" s="1">
        <v>67890</v>
      </c>
      <c r="D571" s="1">
        <v>384</v>
      </c>
      <c r="E571" s="2">
        <v>86</v>
      </c>
      <c r="F571" s="2" t="str" cm="1">
        <f t="array" ref="F571">_xlfn.IFS(AND(101&gt;E571, E571&gt;69), "Top-Tier", AND(70&gt;E571, E571&gt;39), "Mid-Tier", 40&gt;E571, "Low-Tier")</f>
        <v>Top-Tier</v>
      </c>
      <c r="G571" s="4">
        <v>45139</v>
      </c>
      <c r="H571" t="s">
        <v>948</v>
      </c>
      <c r="I571" t="s">
        <v>33</v>
      </c>
      <c r="J571" t="s">
        <v>54</v>
      </c>
      <c r="K571" t="s">
        <v>51</v>
      </c>
      <c r="L571" t="s">
        <v>24</v>
      </c>
      <c r="M571" t="s">
        <v>738</v>
      </c>
      <c r="N571" t="s">
        <v>31</v>
      </c>
      <c r="P571" s="3">
        <v>87</v>
      </c>
      <c r="Q571" t="str">
        <f>LEFT(B571, 6)</f>
        <v>Lenovo</v>
      </c>
      <c r="R571" t="str">
        <f t="shared" si="56"/>
        <v>Intel Celeron Dual-Core</v>
      </c>
      <c r="S571" t="str">
        <f t="shared" si="55"/>
        <v>16 GB</v>
      </c>
    </row>
    <row r="572" spans="1:19">
      <c r="A572" t="str">
        <f>LEFT(B572, LEN(B572)-15)</f>
        <v>HP Victus 15-fb1015AX (8R0L0PA) Laptop (AMD Hexa Core Ryzen 5/8 GB/512 GB SSD/Windows 11/4 GB)</v>
      </c>
      <c r="B572" t="s">
        <v>962</v>
      </c>
      <c r="C572" s="1">
        <v>68000</v>
      </c>
      <c r="D572" s="1">
        <v>304</v>
      </c>
      <c r="E572" s="2">
        <v>86</v>
      </c>
      <c r="F572" s="2" t="str" cm="1">
        <f t="array" ref="F572">_xlfn.IFS(AND(101&gt;E572, E572&gt;69), "Top-Tier", AND(70&gt;E572, E572&gt;39), "Mid-Tier", 40&gt;E572, "Low-Tier")</f>
        <v>Top-Tier</v>
      </c>
      <c r="G572" s="4">
        <v>45139</v>
      </c>
      <c r="H572" t="s">
        <v>948</v>
      </c>
      <c r="I572" t="s">
        <v>33</v>
      </c>
      <c r="J572" t="s">
        <v>119</v>
      </c>
      <c r="K572" t="s">
        <v>51</v>
      </c>
      <c r="L572" t="s">
        <v>24</v>
      </c>
      <c r="N572" t="s">
        <v>31</v>
      </c>
      <c r="P572" s="3">
        <v>79</v>
      </c>
      <c r="Q572" t="str">
        <f>LEFT(B572, 2)</f>
        <v>HP</v>
      </c>
      <c r="R572" t="str">
        <f t="shared" si="56"/>
        <v>Intel Celeron Dual-Core</v>
      </c>
      <c r="S572" t="str">
        <f t="shared" si="55"/>
        <v xml:space="preserve">8 GB </v>
      </c>
    </row>
    <row r="573" spans="1:19">
      <c r="A573" t="str">
        <f>LEFT(B573, LEN(B573)-15)</f>
        <v>Lenovo Yoga Slim 6 14IRH8 (83E00006IN) Laptop (Core i5 13th Gen/16 GB/512 GB SSD/Windows 11)</v>
      </c>
      <c r="B573" t="s">
        <v>963</v>
      </c>
      <c r="C573" s="1">
        <v>75990</v>
      </c>
      <c r="D573" s="1">
        <v>18</v>
      </c>
      <c r="E573" s="2">
        <v>86</v>
      </c>
      <c r="F573" s="2" t="str" cm="1">
        <f t="array" ref="F573">_xlfn.IFS(AND(101&gt;E573, E573&gt;69), "Top-Tier", AND(70&gt;E573, E573&gt;39), "Mid-Tier", 40&gt;E573, "Low-Tier")</f>
        <v>Top-Tier</v>
      </c>
      <c r="G573" s="4">
        <v>45139</v>
      </c>
      <c r="H573" t="s">
        <v>948</v>
      </c>
      <c r="I573" t="s">
        <v>33</v>
      </c>
      <c r="J573" t="s">
        <v>63</v>
      </c>
      <c r="K573" t="s">
        <v>59</v>
      </c>
      <c r="L573" t="s">
        <v>24</v>
      </c>
      <c r="M573" t="s">
        <v>108</v>
      </c>
      <c r="N573" t="s">
        <v>31</v>
      </c>
      <c r="P573" s="3">
        <v>83</v>
      </c>
      <c r="Q573" t="str">
        <f>LEFT(B573, 6)</f>
        <v>Lenovo</v>
      </c>
      <c r="R573" t="str">
        <f t="shared" si="56"/>
        <v>Intel Celeron Dual-Core</v>
      </c>
      <c r="S573" t="str">
        <f t="shared" si="55"/>
        <v>16 GB</v>
      </c>
    </row>
    <row r="574" spans="1:19">
      <c r="A574" t="str">
        <f>LEFT(B574, LEN(B574)-15)</f>
        <v>Lenovo Yoga Slim 6 14IRH8 (83E00007IN) Laptop (Core i7 13th Gen/16 GB/512 GB SSD/Windows 11)</v>
      </c>
      <c r="B574" t="s">
        <v>964</v>
      </c>
      <c r="C574" s="1">
        <v>89990</v>
      </c>
      <c r="D574" s="1">
        <v>24</v>
      </c>
      <c r="E574" s="2">
        <v>86</v>
      </c>
      <c r="F574" s="2" t="str" cm="1">
        <f t="array" ref="F574">_xlfn.IFS(AND(101&gt;E574, E574&gt;69), "Top-Tier", AND(70&gt;E574, E574&gt;39), "Mid-Tier", 40&gt;E574, "Low-Tier")</f>
        <v>Top-Tier</v>
      </c>
      <c r="G574" s="4">
        <v>45139</v>
      </c>
      <c r="H574" t="s">
        <v>948</v>
      </c>
      <c r="I574" t="s">
        <v>33</v>
      </c>
      <c r="J574" t="s">
        <v>63</v>
      </c>
      <c r="K574" t="s">
        <v>59</v>
      </c>
      <c r="L574" t="s">
        <v>24</v>
      </c>
      <c r="N574" t="s">
        <v>31</v>
      </c>
      <c r="P574" s="3">
        <v>83</v>
      </c>
      <c r="Q574" t="str">
        <f>LEFT(B574, 6)</f>
        <v>Lenovo</v>
      </c>
      <c r="R574" t="str">
        <f t="shared" si="56"/>
        <v>Intel Celeron Dual-Core</v>
      </c>
      <c r="S574" t="str">
        <f t="shared" si="55"/>
        <v>16 GB</v>
      </c>
    </row>
    <row r="575" spans="1:19">
      <c r="A575" t="str">
        <f>LEFT(B575, LEN(B575)-15)</f>
        <v>Asus TUF Gaming F15 FX506HF-HN075W Laptop (Core i5 11th Gen/8 GB/512 GB SSD/Windows 11/4 GB)</v>
      </c>
      <c r="B575" t="s">
        <v>965</v>
      </c>
      <c r="C575" s="1">
        <v>47890</v>
      </c>
      <c r="D575" s="1">
        <v>4742</v>
      </c>
      <c r="E575" s="2">
        <v>86</v>
      </c>
      <c r="F575" s="2" t="str" cm="1">
        <f t="array" ref="F575">_xlfn.IFS(AND(101&gt;E575, E575&gt;69), "Top-Tier", AND(70&gt;E575, E575&gt;39), "Mid-Tier", 40&gt;E575, "Low-Tier")</f>
        <v>Top-Tier</v>
      </c>
      <c r="G575" s="4">
        <v>45139</v>
      </c>
      <c r="H575" t="s">
        <v>948</v>
      </c>
      <c r="I575" t="s">
        <v>33</v>
      </c>
      <c r="J575" t="s">
        <v>50</v>
      </c>
      <c r="K575" t="s">
        <v>51</v>
      </c>
      <c r="L575" t="s">
        <v>24</v>
      </c>
      <c r="N575" t="s">
        <v>31</v>
      </c>
      <c r="P575" s="3">
        <v>77</v>
      </c>
      <c r="Q575" t="str">
        <f>LEFT(B575, 4)</f>
        <v>Asus</v>
      </c>
      <c r="R575" t="str">
        <f t="shared" si="56"/>
        <v>Intel Celeron Dual-Core</v>
      </c>
      <c r="S575" t="str">
        <f t="shared" si="55"/>
        <v xml:space="preserve">8 GB </v>
      </c>
    </row>
    <row r="576" spans="1:19">
      <c r="A576" t="str">
        <f>LEFT(B576, LEN(B576)-15)</f>
        <v>Asus TUF Gaming F15 FX506HF-HN076W Laptop (Core i5 11th Gen/16 GB/512 GB SSD/Windows 11/4 GB)</v>
      </c>
      <c r="B576" t="s">
        <v>966</v>
      </c>
      <c r="C576" s="1">
        <v>52990</v>
      </c>
      <c r="D576" s="1">
        <v>4499</v>
      </c>
      <c r="E576" s="2">
        <v>86</v>
      </c>
      <c r="F576" s="2" t="str" cm="1">
        <f t="array" ref="F576">_xlfn.IFS(AND(101&gt;E576, E576&gt;69), "Top-Tier", AND(70&gt;E576, E576&gt;39), "Mid-Tier", 40&gt;E576, "Low-Tier")</f>
        <v>Top-Tier</v>
      </c>
      <c r="G576" s="4">
        <v>45139</v>
      </c>
      <c r="H576" t="s">
        <v>948</v>
      </c>
      <c r="I576" t="s">
        <v>33</v>
      </c>
      <c r="J576" t="s">
        <v>34</v>
      </c>
      <c r="K576" t="s">
        <v>51</v>
      </c>
      <c r="L576" t="s">
        <v>24</v>
      </c>
      <c r="N576" t="s">
        <v>31</v>
      </c>
      <c r="P576" s="3">
        <v>77</v>
      </c>
      <c r="Q576" t="str">
        <f>LEFT(B576, 4)</f>
        <v>Asus</v>
      </c>
      <c r="R576" t="str">
        <f t="shared" si="56"/>
        <v>Intel Celeron Dual-Core</v>
      </c>
      <c r="S576" t="str">
        <f t="shared" si="55"/>
        <v>16 GB</v>
      </c>
    </row>
    <row r="577" spans="1:19">
      <c r="A577" t="str">
        <f>LEFT(B577, LEN(B577)-15)</f>
        <v>Infinix INBook X3 Slim XL422 Laptop (Core i7 12th Gen/16 GB/512 GB SSD/Windows 11)</v>
      </c>
      <c r="B577" t="s">
        <v>967</v>
      </c>
      <c r="C577" s="1">
        <v>40999</v>
      </c>
      <c r="D577" s="1">
        <v>115</v>
      </c>
      <c r="E577" s="2">
        <v>86</v>
      </c>
      <c r="F577" s="2" t="str" cm="1">
        <f t="array" ref="F577">_xlfn.IFS(AND(101&gt;E577, E577&gt;69), "Top-Tier", AND(70&gt;E577, E577&gt;39), "Mid-Tier", 40&gt;E577, "Low-Tier")</f>
        <v>Top-Tier</v>
      </c>
      <c r="G577" s="4">
        <v>45139</v>
      </c>
      <c r="H577" t="s">
        <v>948</v>
      </c>
      <c r="I577" t="s">
        <v>33</v>
      </c>
      <c r="J577" t="s">
        <v>214</v>
      </c>
      <c r="K577" t="s">
        <v>149</v>
      </c>
      <c r="L577" t="s">
        <v>24</v>
      </c>
      <c r="M577" t="s">
        <v>968</v>
      </c>
      <c r="N577" t="s">
        <v>31</v>
      </c>
      <c r="O577" t="s">
        <v>261</v>
      </c>
      <c r="P577" s="3">
        <v>80</v>
      </c>
      <c r="Q577" t="str">
        <f>LEFT(B577, 7)</f>
        <v>Infinix</v>
      </c>
      <c r="R577" t="str">
        <f t="shared" si="56"/>
        <v>Intel Celeron Dual-Core</v>
      </c>
      <c r="S577" t="str">
        <f t="shared" ref="S577:S634" si="57">LEFT(J577, 5)</f>
        <v>16 GB</v>
      </c>
    </row>
    <row r="578" spans="1:19">
      <c r="A578" t="str">
        <f>LEFT(B578, LEN(B578)-15)</f>
        <v>HP Victus 15-fb0150AX (8F506PA) Laptop (AMD Hexa Core Ryzen 5/16 GB/512 GB SSD/Windows 11/4 GB)</v>
      </c>
      <c r="B578" t="s">
        <v>969</v>
      </c>
      <c r="C578" s="1">
        <v>50990</v>
      </c>
      <c r="D578" s="1">
        <v>13</v>
      </c>
      <c r="E578" s="2">
        <v>86</v>
      </c>
      <c r="F578" s="2" t="str" cm="1">
        <f t="array" ref="F578">_xlfn.IFS(AND(101&gt;E578, E578&gt;69), "Top-Tier", AND(70&gt;E578, E578&gt;39), "Mid-Tier", 40&gt;E578, "Low-Tier")</f>
        <v>Top-Tier</v>
      </c>
      <c r="G578" s="4">
        <v>45139</v>
      </c>
      <c r="H578" t="s">
        <v>948</v>
      </c>
      <c r="I578" t="s">
        <v>33</v>
      </c>
      <c r="J578" t="s">
        <v>34</v>
      </c>
      <c r="K578" t="s">
        <v>51</v>
      </c>
      <c r="L578" t="s">
        <v>24</v>
      </c>
      <c r="N578" t="s">
        <v>31</v>
      </c>
      <c r="P578" s="3">
        <v>83</v>
      </c>
      <c r="Q578" t="str">
        <f>LEFT(B578, 2)</f>
        <v>HP</v>
      </c>
      <c r="R578" t="str">
        <f t="shared" si="56"/>
        <v>Intel Celeron Dual-Core</v>
      </c>
      <c r="S578" t="str">
        <f t="shared" si="57"/>
        <v>16 GB</v>
      </c>
    </row>
    <row r="579" spans="1:19">
      <c r="A579" t="str">
        <f>LEFT(B579, LEN(B579)-15)</f>
        <v>MSI GF63 Thin 11UCX-1492IN Laptop (Core i5 11th Gen/16 GB/1 TB 256 GB SSD/Windows 11/4 GB)</v>
      </c>
      <c r="B579" t="s">
        <v>970</v>
      </c>
      <c r="C579" s="1">
        <v>56990</v>
      </c>
      <c r="D579" s="1">
        <v>40</v>
      </c>
      <c r="E579" s="2">
        <v>86</v>
      </c>
      <c r="F579" s="2" t="str" cm="1">
        <f t="array" ref="F579">_xlfn.IFS(AND(101&gt;E579, E579&gt;69), "Top-Tier", AND(70&gt;E579, E579&gt;39), "Mid-Tier", 40&gt;E579, "Low-Tier")</f>
        <v>Top-Tier</v>
      </c>
      <c r="G579" s="4">
        <v>45139</v>
      </c>
      <c r="H579" t="s">
        <v>948</v>
      </c>
      <c r="I579" t="s">
        <v>33</v>
      </c>
      <c r="J579" t="s">
        <v>315</v>
      </c>
      <c r="K579" t="s">
        <v>51</v>
      </c>
      <c r="L579" t="s">
        <v>24</v>
      </c>
      <c r="M579" t="s">
        <v>113</v>
      </c>
      <c r="N579" t="s">
        <v>31</v>
      </c>
      <c r="P579" s="3">
        <v>77</v>
      </c>
      <c r="Q579" t="str">
        <f>LEFT(B579, 3)</f>
        <v>MSI</v>
      </c>
      <c r="R579" t="str">
        <f t="shared" si="56"/>
        <v>Intel Celeron Dual-Core</v>
      </c>
      <c r="S579" t="str">
        <f t="shared" si="57"/>
        <v>16 GB</v>
      </c>
    </row>
    <row r="580" spans="1:19">
      <c r="A580" t="str">
        <f>LEFT(B580, LEN(B580)-15)</f>
        <v>Lenovo Ideapad Slim 5 16IAH8 (83BG000PIN) Laptop (Core i5 12th Gen/16 GB/512 GB SSD/Windows 11)</v>
      </c>
      <c r="B580" t="s">
        <v>971</v>
      </c>
      <c r="C580" s="1">
        <v>59990</v>
      </c>
      <c r="D580" s="1">
        <v>212</v>
      </c>
      <c r="E580" s="2">
        <v>86</v>
      </c>
      <c r="F580" s="2" t="str" cm="1">
        <f t="array" ref="F580">_xlfn.IFS(AND(101&gt;E580, E580&gt;69), "Top-Tier", AND(70&gt;E580, E580&gt;39), "Mid-Tier", 40&gt;E580, "Low-Tier")</f>
        <v>Top-Tier</v>
      </c>
      <c r="G580" s="4">
        <v>45139</v>
      </c>
      <c r="H580" t="s">
        <v>948</v>
      </c>
      <c r="I580" t="s">
        <v>33</v>
      </c>
      <c r="J580" t="s">
        <v>121</v>
      </c>
      <c r="K580" t="s">
        <v>155</v>
      </c>
      <c r="L580" t="s">
        <v>24</v>
      </c>
      <c r="M580" t="s">
        <v>95</v>
      </c>
      <c r="N580" t="s">
        <v>31</v>
      </c>
      <c r="P580" s="3">
        <v>81</v>
      </c>
      <c r="Q580" t="str">
        <f>LEFT(B580, 6)</f>
        <v>Lenovo</v>
      </c>
      <c r="R580" t="str">
        <f t="shared" si="56"/>
        <v>Intel Celeron Dual-Core</v>
      </c>
      <c r="S580" t="str">
        <f t="shared" si="57"/>
        <v>16 GB</v>
      </c>
    </row>
    <row r="581" spans="1:19">
      <c r="A581" t="str">
        <f>LEFT(B581, LEN(B581)-15)</f>
        <v>Asus VivoBook Flip 14 OLED UP5401ZA-KU741WS Laptop (Core i7 12th Gen/16 GB/512 GB SSD/Windows 11)</v>
      </c>
      <c r="B581" t="s">
        <v>972</v>
      </c>
      <c r="C581" s="1">
        <v>100170</v>
      </c>
      <c r="D581" s="1">
        <v>92</v>
      </c>
      <c r="E581" s="2">
        <v>86</v>
      </c>
      <c r="F581" s="2" t="str" cm="1">
        <f t="array" ref="F581">_xlfn.IFS(AND(101&gt;E581, E581&gt;69), "Top-Tier", AND(70&gt;E581, E581&gt;39), "Mid-Tier", 40&gt;E581, "Low-Tier")</f>
        <v>Top-Tier</v>
      </c>
      <c r="G581" s="4">
        <v>45139</v>
      </c>
      <c r="H581" t="s">
        <v>973</v>
      </c>
      <c r="I581" t="s">
        <v>33</v>
      </c>
      <c r="J581" t="s">
        <v>121</v>
      </c>
      <c r="K581" t="s">
        <v>974</v>
      </c>
      <c r="L581" t="s">
        <v>24</v>
      </c>
      <c r="M581" t="s">
        <v>44</v>
      </c>
      <c r="N581" t="s">
        <v>31</v>
      </c>
      <c r="P581" s="3">
        <v>80</v>
      </c>
      <c r="Q581" t="str">
        <f>LEFT(B581, 4)</f>
        <v>Asus</v>
      </c>
      <c r="R581" t="str">
        <f t="shared" si="56"/>
        <v>Intel Celeron Quad-Core</v>
      </c>
      <c r="S581" t="str">
        <f t="shared" si="57"/>
        <v>16 GB</v>
      </c>
    </row>
    <row r="582" spans="1:19">
      <c r="A582" t="str">
        <f>LEFT(B582, LEN(B582)-15)</f>
        <v>Lenovo LOQ 15APH8 (82XT004HIN) Laptop (AMD Octa Core Ryzen 7/16 GB/512 GB SSD/Windows 11/6 GB)</v>
      </c>
      <c r="B582" t="s">
        <v>975</v>
      </c>
      <c r="C582" s="1">
        <v>75990</v>
      </c>
      <c r="D582" s="1">
        <v>57</v>
      </c>
      <c r="E582" s="2">
        <v>86</v>
      </c>
      <c r="F582" s="2" t="str" cm="1">
        <f t="array" ref="F582">_xlfn.IFS(AND(101&gt;E582, E582&gt;69), "Top-Tier", AND(70&gt;E582, E582&gt;39), "Mid-Tier", 40&gt;E582, "Low-Tier")</f>
        <v>Top-Tier</v>
      </c>
      <c r="G582" s="4">
        <v>45139</v>
      </c>
      <c r="H582" t="s">
        <v>976</v>
      </c>
      <c r="I582" t="s">
        <v>33</v>
      </c>
      <c r="J582" t="s">
        <v>54</v>
      </c>
      <c r="K582" t="s">
        <v>51</v>
      </c>
      <c r="L582" t="s">
        <v>24</v>
      </c>
      <c r="N582" t="s">
        <v>31</v>
      </c>
      <c r="P582" s="3">
        <v>83</v>
      </c>
      <c r="Q582" t="str">
        <f>LEFT(B582, 6)</f>
        <v>Lenovo</v>
      </c>
      <c r="R582" t="str">
        <f t="shared" si="56"/>
        <v>Intel Celeron Quad-Core</v>
      </c>
      <c r="S582" t="str">
        <f t="shared" si="57"/>
        <v>16 GB</v>
      </c>
    </row>
    <row r="583" spans="1:19">
      <c r="A583" t="str">
        <f>LEFT(B583, LEN(B583)-15)</f>
        <v>HP Victus 15-fb1016AX (8R0L2PA) Laptop (AMD Hexa Core Ryzen 5/8 GB/512 GB SSD/Windows 11/4 GB)</v>
      </c>
      <c r="B583" t="s">
        <v>977</v>
      </c>
      <c r="C583" s="1">
        <v>75142</v>
      </c>
      <c r="D583" s="1">
        <v>304</v>
      </c>
      <c r="E583" s="2">
        <v>86</v>
      </c>
      <c r="F583" s="2" t="str" cm="1">
        <f t="array" ref="F583">_xlfn.IFS(AND(101&gt;E583, E583&gt;69), "Top-Tier", AND(70&gt;E583, E583&gt;39), "Mid-Tier", 40&gt;E583, "Low-Tier")</f>
        <v>Top-Tier</v>
      </c>
      <c r="G583" s="4">
        <v>45139</v>
      </c>
      <c r="H583" t="s">
        <v>978</v>
      </c>
      <c r="I583" t="s">
        <v>33</v>
      </c>
      <c r="J583" t="s">
        <v>119</v>
      </c>
      <c r="K583" t="s">
        <v>51</v>
      </c>
      <c r="L583" t="s">
        <v>24</v>
      </c>
      <c r="N583" t="s">
        <v>31</v>
      </c>
      <c r="P583" s="3">
        <v>84</v>
      </c>
      <c r="Q583" t="str">
        <f>LEFT(B583, 2)</f>
        <v>HP</v>
      </c>
      <c r="R583" t="str">
        <f t="shared" si="56"/>
        <v>Intel Core 3 (Series 1)</v>
      </c>
      <c r="S583" t="str">
        <f t="shared" si="57"/>
        <v xml:space="preserve">8 GB </v>
      </c>
    </row>
    <row r="584" spans="1:19">
      <c r="A584" t="str">
        <f>LEFT(B584, LEN(B584)-15)</f>
        <v>Asus VivoBook 16 X1605VAB-MB544WS Laptop (Core i5 13th Gen/16 GB/512 GB SSD/Windows 11)</v>
      </c>
      <c r="B584" t="s">
        <v>979</v>
      </c>
      <c r="C584" s="1">
        <v>60990</v>
      </c>
      <c r="D584" s="1">
        <v>123</v>
      </c>
      <c r="E584" s="2">
        <v>86</v>
      </c>
      <c r="F584" s="2" t="str" cm="1">
        <f t="array" ref="F584">_xlfn.IFS(AND(101&gt;E584, E584&gt;69), "Top-Tier", AND(70&gt;E584, E584&gt;39), "Mid-Tier", 40&gt;E584, "Low-Tier")</f>
        <v>Top-Tier</v>
      </c>
      <c r="G584" s="4">
        <v>45108</v>
      </c>
      <c r="H584" t="s">
        <v>980</v>
      </c>
      <c r="I584" t="s">
        <v>33</v>
      </c>
      <c r="J584" t="s">
        <v>34</v>
      </c>
      <c r="K584" t="s">
        <v>155</v>
      </c>
      <c r="L584" t="s">
        <v>24</v>
      </c>
      <c r="M584" t="s">
        <v>52</v>
      </c>
      <c r="N584" t="s">
        <v>31</v>
      </c>
      <c r="P584" s="3">
        <v>74</v>
      </c>
      <c r="Q584" t="str">
        <f>LEFT(B584, 4)</f>
        <v>Asus</v>
      </c>
      <c r="R584" t="str">
        <f t="shared" si="56"/>
        <v>Intel Core 5 (Series 1)</v>
      </c>
      <c r="S584" t="str">
        <f t="shared" si="57"/>
        <v>16 GB</v>
      </c>
    </row>
    <row r="585" spans="1:19">
      <c r="A585" t="str">
        <f>LEFT(B585, LEN(B585)-15)</f>
        <v>HP Victus 15-fb0134AX (87B80PA) Laptop (AMD Hexa Core Ryzen 5/16 GB/512 GB SSD/Windows 11/4 GB)</v>
      </c>
      <c r="B585" t="s">
        <v>981</v>
      </c>
      <c r="C585" s="1">
        <v>57990</v>
      </c>
      <c r="D585" s="1">
        <v>462</v>
      </c>
      <c r="E585" s="2">
        <v>86</v>
      </c>
      <c r="F585" s="2" t="str" cm="1">
        <f t="array" ref="F585">_xlfn.IFS(AND(101&gt;E585, E585&gt;69), "Top-Tier", AND(70&gt;E585, E585&gt;39), "Mid-Tier", 40&gt;E585, "Low-Tier")</f>
        <v>Top-Tier</v>
      </c>
      <c r="G585" s="4">
        <v>45108</v>
      </c>
      <c r="H585" t="s">
        <v>980</v>
      </c>
      <c r="I585" t="s">
        <v>33</v>
      </c>
      <c r="J585" t="s">
        <v>34</v>
      </c>
      <c r="K585" t="s">
        <v>51</v>
      </c>
      <c r="L585" t="s">
        <v>24</v>
      </c>
      <c r="N585" t="s">
        <v>31</v>
      </c>
      <c r="P585" s="3">
        <v>83</v>
      </c>
      <c r="Q585" t="str">
        <f>LEFT(B585, 2)</f>
        <v>HP</v>
      </c>
      <c r="R585" t="str">
        <f t="shared" si="56"/>
        <v>Intel Core 5 (Series 1)</v>
      </c>
      <c r="S585" t="str">
        <f t="shared" si="57"/>
        <v>16 GB</v>
      </c>
    </row>
    <row r="586" spans="1:19">
      <c r="A586" t="str">
        <f>LEFT(B586, LEN(B586)-15)</f>
        <v>HP Omen 16-wd0880TX (88Y65PA) Laptop (Core i5 13th Gen/16 GB/512 GB SSD/Windows 11/6 GB)</v>
      </c>
      <c r="B586" t="s">
        <v>982</v>
      </c>
      <c r="C586" s="1">
        <v>87216</v>
      </c>
      <c r="D586" s="1">
        <v>122</v>
      </c>
      <c r="E586" s="2">
        <v>86</v>
      </c>
      <c r="F586" s="2" t="str" cm="1">
        <f t="array" ref="F586">_xlfn.IFS(AND(101&gt;E586, E586&gt;69), "Top-Tier", AND(70&gt;E586, E586&gt;39), "Mid-Tier", 40&gt;E586, "Low-Tier")</f>
        <v>Top-Tier</v>
      </c>
      <c r="G586" s="4">
        <v>45108</v>
      </c>
      <c r="H586" t="s">
        <v>980</v>
      </c>
      <c r="I586" t="s">
        <v>33</v>
      </c>
      <c r="J586" t="s">
        <v>54</v>
      </c>
      <c r="K586" t="s">
        <v>983</v>
      </c>
      <c r="L586" t="s">
        <v>24</v>
      </c>
      <c r="N586" t="s">
        <v>31</v>
      </c>
      <c r="P586" s="3">
        <v>83</v>
      </c>
      <c r="Q586" t="str">
        <f>LEFT(B586, 2)</f>
        <v>HP</v>
      </c>
      <c r="R586" t="str">
        <f t="shared" si="56"/>
        <v>Intel Core 5 (Series 1)</v>
      </c>
      <c r="S586" t="str">
        <f t="shared" si="57"/>
        <v>16 GB</v>
      </c>
    </row>
    <row r="587" spans="1:19">
      <c r="A587" t="str">
        <f>LEFT(B587, LEN(B587)-15)</f>
        <v>Lenovo Ideapad Gaming 3 15ACH6 (82K2022YIN) Laptop (AMD Hexa Core Ryzen 5/8 GB/512 GB SSD/Windows 11/4 GB)</v>
      </c>
      <c r="B587" t="s">
        <v>984</v>
      </c>
      <c r="C587" s="1">
        <v>57560</v>
      </c>
      <c r="D587" s="1">
        <v>273</v>
      </c>
      <c r="E587" s="2">
        <v>86</v>
      </c>
      <c r="F587" s="2" t="str" cm="1">
        <f t="array" ref="F587">_xlfn.IFS(AND(101&gt;E587, E587&gt;69), "Top-Tier", AND(70&gt;E587, E587&gt;39), "Mid-Tier", 40&gt;E587, "Low-Tier")</f>
        <v>Top-Tier</v>
      </c>
      <c r="G587" s="4">
        <v>45108</v>
      </c>
      <c r="H587" t="s">
        <v>980</v>
      </c>
      <c r="I587" t="s">
        <v>33</v>
      </c>
      <c r="J587" t="s">
        <v>50</v>
      </c>
      <c r="K587" t="s">
        <v>51</v>
      </c>
      <c r="L587" t="s">
        <v>24</v>
      </c>
      <c r="N587" t="s">
        <v>31</v>
      </c>
      <c r="P587" s="3">
        <v>78</v>
      </c>
      <c r="Q587" t="str">
        <f>LEFT(B587, 6)</f>
        <v>Lenovo</v>
      </c>
      <c r="R587" t="str">
        <f t="shared" si="56"/>
        <v>Intel Core 5 (Series 1)</v>
      </c>
      <c r="S587" t="str">
        <f t="shared" si="57"/>
        <v xml:space="preserve">8 GB </v>
      </c>
    </row>
    <row r="588" spans="1:19">
      <c r="A588" t="str">
        <f>LEFT(B588, LEN(B588)-15)</f>
        <v>HP Envy x360 15-fe0027TU (8C527PA) Laptop (Core i5 13th Gen/16 GB/512 GB SSD/Windows 11)</v>
      </c>
      <c r="B588" t="s">
        <v>985</v>
      </c>
      <c r="C588" s="1">
        <v>80990</v>
      </c>
      <c r="D588" s="1">
        <v>7</v>
      </c>
      <c r="E588" s="2">
        <v>86</v>
      </c>
      <c r="F588" s="2" t="str" cm="1">
        <f t="array" ref="F588">_xlfn.IFS(AND(101&gt;E588, E588&gt;69), "Top-Tier", AND(70&gt;E588, E588&gt;39), "Mid-Tier", 40&gt;E588, "Low-Tier")</f>
        <v>Top-Tier</v>
      </c>
      <c r="G588" s="4">
        <v>45108</v>
      </c>
      <c r="H588" t="s">
        <v>980</v>
      </c>
      <c r="I588" t="s">
        <v>33</v>
      </c>
      <c r="J588" t="s">
        <v>121</v>
      </c>
      <c r="K588" t="s">
        <v>51</v>
      </c>
      <c r="L588" t="s">
        <v>24</v>
      </c>
      <c r="M588" t="s">
        <v>36</v>
      </c>
      <c r="N588" t="s">
        <v>31</v>
      </c>
      <c r="P588" s="3">
        <v>76</v>
      </c>
      <c r="Q588" t="str">
        <f>LEFT(B588, 2)</f>
        <v>HP</v>
      </c>
      <c r="R588" t="str">
        <f t="shared" si="56"/>
        <v>Intel Core 5 (Series 1)</v>
      </c>
      <c r="S588" t="str">
        <f t="shared" si="57"/>
        <v>16 GB</v>
      </c>
    </row>
    <row r="589" spans="1:19">
      <c r="A589" t="str">
        <f>LEFT(B589, LEN(B589)-15)</f>
        <v>Lenovo Ideapad Gaming 3 15ACH6 (82K2025LIN) Laptop (AMD Hexa Core Ryzen 5/16 GB/512 GB SSD/Windows 11/4 GB)</v>
      </c>
      <c r="B589" t="s">
        <v>986</v>
      </c>
      <c r="C589" s="1">
        <v>72990</v>
      </c>
      <c r="D589" s="1">
        <v>842</v>
      </c>
      <c r="E589" s="2">
        <v>86</v>
      </c>
      <c r="F589" s="2" t="str" cm="1">
        <f t="array" ref="F589">_xlfn.IFS(AND(101&gt;E589, E589&gt;69), "Top-Tier", AND(70&gt;E589, E589&gt;39), "Mid-Tier", 40&gt;E589, "Low-Tier")</f>
        <v>Top-Tier</v>
      </c>
      <c r="G589" s="4">
        <v>45108</v>
      </c>
      <c r="H589" t="s">
        <v>987</v>
      </c>
      <c r="I589" t="s">
        <v>33</v>
      </c>
      <c r="J589" t="s">
        <v>34</v>
      </c>
      <c r="K589" t="s">
        <v>51</v>
      </c>
      <c r="L589" t="s">
        <v>24</v>
      </c>
      <c r="N589" t="s">
        <v>31</v>
      </c>
      <c r="P589" s="3">
        <v>77</v>
      </c>
      <c r="Q589" t="str">
        <f>LEFT(B589, 6)</f>
        <v>Lenovo</v>
      </c>
      <c r="R589" t="str">
        <f t="shared" si="56"/>
        <v>Intel Core 5 (Series 1)</v>
      </c>
      <c r="S589" t="str">
        <f t="shared" si="57"/>
        <v>16 GB</v>
      </c>
    </row>
    <row r="590" spans="1:19">
      <c r="A590" t="str">
        <f>LEFT(B590, LEN(B590)-15)</f>
        <v>HP Omen Transcend 16-u0005TX (834T6PA) Laptop (Core i7 13th Gen/16 GB/1 TB SSD/Windows 11/8 GB)</v>
      </c>
      <c r="B590" t="s">
        <v>988</v>
      </c>
      <c r="C590" s="1">
        <v>200773</v>
      </c>
      <c r="D590" s="1">
        <v>9</v>
      </c>
      <c r="E590" s="2">
        <v>86</v>
      </c>
      <c r="F590" s="2" t="str" cm="1">
        <f t="array" ref="F590">_xlfn.IFS(AND(101&gt;E590, E590&gt;69), "Top-Tier", AND(70&gt;E590, E590&gt;39), "Mid-Tier", 40&gt;E590, "Low-Tier")</f>
        <v>Top-Tier</v>
      </c>
      <c r="G590" s="4">
        <v>45078</v>
      </c>
      <c r="H590" t="s">
        <v>989</v>
      </c>
      <c r="I590" t="s">
        <v>33</v>
      </c>
      <c r="J590" t="s">
        <v>72</v>
      </c>
      <c r="K590" t="s">
        <v>117</v>
      </c>
      <c r="L590" t="s">
        <v>24</v>
      </c>
      <c r="M590" t="s">
        <v>52</v>
      </c>
      <c r="N590" t="s">
        <v>31</v>
      </c>
      <c r="Q590" t="str">
        <f>LEFT(B590, 2)</f>
        <v>HP</v>
      </c>
      <c r="R590" t="str">
        <f t="shared" ref="R590:R653" si="58">LEFT(H590, 23)</f>
        <v>Intel Core 5 (Series 2)</v>
      </c>
      <c r="S590" t="str">
        <f t="shared" si="57"/>
        <v>16 GB</v>
      </c>
    </row>
    <row r="591" spans="1:19">
      <c r="A591" t="str">
        <f>LEFT(B591, LEN(B591)-15)</f>
        <v>MSI Modern 14 C12M-444IN Laptop (Core i3 12th Gen/16 GB/512 GB SSD/Windows 11)</v>
      </c>
      <c r="B591" t="s">
        <v>990</v>
      </c>
      <c r="C591" s="1">
        <v>34990</v>
      </c>
      <c r="D591" s="1">
        <v>438</v>
      </c>
      <c r="E591" s="2">
        <v>86</v>
      </c>
      <c r="F591" s="2" t="str" cm="1">
        <f t="array" ref="F591">_xlfn.IFS(AND(101&gt;E591, E591&gt;69), "Top-Tier", AND(70&gt;E591, E591&gt;39), "Mid-Tier", 40&gt;E591, "Low-Tier")</f>
        <v>Top-Tier</v>
      </c>
      <c r="G591" s="4">
        <v>45078</v>
      </c>
      <c r="H591" t="s">
        <v>989</v>
      </c>
      <c r="I591" t="s">
        <v>33</v>
      </c>
      <c r="J591" t="s">
        <v>34</v>
      </c>
      <c r="K591" t="s">
        <v>149</v>
      </c>
      <c r="L591" t="s">
        <v>24</v>
      </c>
      <c r="M591" t="s">
        <v>428</v>
      </c>
      <c r="N591" t="s">
        <v>31</v>
      </c>
      <c r="P591" s="3">
        <v>73</v>
      </c>
      <c r="Q591" t="str">
        <f>LEFT(B591, 3)</f>
        <v>MSI</v>
      </c>
      <c r="R591" t="str">
        <f t="shared" si="58"/>
        <v>Intel Core 5 (Series 2)</v>
      </c>
      <c r="S591" t="str">
        <f t="shared" si="57"/>
        <v>16 GB</v>
      </c>
    </row>
    <row r="592" spans="1:19">
      <c r="A592" t="str">
        <f>LEFT(B592, LEN(B592)-15)</f>
        <v>Lenovo Ideapad Gaming 3 15IHU6 (82K101LGIN) Laptop (Core i5 11th Gen/8 GB/512 GB SSD/Windows 11/4 GB)</v>
      </c>
      <c r="B592" t="s">
        <v>991</v>
      </c>
      <c r="C592" s="1">
        <v>48990</v>
      </c>
      <c r="D592" s="1">
        <v>5215</v>
      </c>
      <c r="E592" s="2">
        <v>86</v>
      </c>
      <c r="F592" s="2" t="str" cm="1">
        <f t="array" ref="F592">_xlfn.IFS(AND(101&gt;E592, E592&gt;69), "Top-Tier", AND(70&gt;E592, E592&gt;39), "Mid-Tier", 40&gt;E592, "Low-Tier")</f>
        <v>Top-Tier</v>
      </c>
      <c r="G592" s="4">
        <v>45078</v>
      </c>
      <c r="H592" t="s">
        <v>989</v>
      </c>
      <c r="I592" t="s">
        <v>33</v>
      </c>
      <c r="J592" t="s">
        <v>50</v>
      </c>
      <c r="K592" t="s">
        <v>51</v>
      </c>
      <c r="L592" t="s">
        <v>24</v>
      </c>
      <c r="N592" t="s">
        <v>31</v>
      </c>
      <c r="P592" s="3">
        <v>78</v>
      </c>
      <c r="Q592" t="str">
        <f>LEFT(B592, 6)</f>
        <v>Lenovo</v>
      </c>
      <c r="R592" t="str">
        <f t="shared" si="58"/>
        <v>Intel Core 5 (Series 2)</v>
      </c>
      <c r="S592" t="str">
        <f t="shared" si="57"/>
        <v xml:space="preserve">8 GB </v>
      </c>
    </row>
    <row r="593" spans="1:19">
      <c r="A593" t="str">
        <f>LEFT(B593, LEN(B593)-15)</f>
        <v>MSI GF63 Thin 12VF-268IN Laptop (Core i5 12th Gen/16 GB/1 TB 256 GB SSD/Windows 11/8 GB)</v>
      </c>
      <c r="B593" t="s">
        <v>992</v>
      </c>
      <c r="C593" s="1">
        <v>95990</v>
      </c>
      <c r="D593" s="1">
        <v>124</v>
      </c>
      <c r="E593" s="2">
        <v>86</v>
      </c>
      <c r="F593" s="2" t="str" cm="1">
        <f t="array" ref="F593">_xlfn.IFS(AND(101&gt;E593, E593&gt;69), "Top-Tier", AND(70&gt;E593, E593&gt;39), "Mid-Tier", 40&gt;E593, "Low-Tier")</f>
        <v>Top-Tier</v>
      </c>
      <c r="G593" s="4">
        <v>45078</v>
      </c>
      <c r="H593" t="s">
        <v>989</v>
      </c>
      <c r="I593" t="s">
        <v>33</v>
      </c>
      <c r="J593" t="s">
        <v>315</v>
      </c>
      <c r="K593" t="s">
        <v>51</v>
      </c>
      <c r="L593" t="s">
        <v>24</v>
      </c>
      <c r="N593" t="s">
        <v>31</v>
      </c>
      <c r="P593" s="3">
        <v>81</v>
      </c>
      <c r="Q593" t="str">
        <f>LEFT(B593, 3)</f>
        <v>MSI</v>
      </c>
      <c r="R593" t="str">
        <f t="shared" si="58"/>
        <v>Intel Core 5 (Series 2)</v>
      </c>
      <c r="S593" t="str">
        <f t="shared" si="57"/>
        <v>16 GB</v>
      </c>
    </row>
    <row r="594" spans="1:19">
      <c r="A594" t="str">
        <f>LEFT(B594, LEN(B594)-15)</f>
        <v>Infinix INBook X2 Slim XL23 Laptop (Core i7 11th Gen/16 GB/512 GB SSD/Windows 11)</v>
      </c>
      <c r="B594" t="s">
        <v>993</v>
      </c>
      <c r="C594" s="1">
        <v>47030</v>
      </c>
      <c r="D594" s="1">
        <v>100</v>
      </c>
      <c r="E594" s="2">
        <v>86</v>
      </c>
      <c r="F594" s="2" t="str" cm="1">
        <f t="array" ref="F594">_xlfn.IFS(AND(101&gt;E594, E594&gt;69), "Top-Tier", AND(70&gt;E594, E594&gt;39), "Mid-Tier", 40&gt;E594, "Low-Tier")</f>
        <v>Top-Tier</v>
      </c>
      <c r="G594" s="4">
        <v>45078</v>
      </c>
      <c r="H594" t="s">
        <v>989</v>
      </c>
      <c r="I594" t="s">
        <v>33</v>
      </c>
      <c r="J594" t="s">
        <v>214</v>
      </c>
      <c r="K594" t="s">
        <v>149</v>
      </c>
      <c r="L594" t="s">
        <v>24</v>
      </c>
      <c r="M594" t="s">
        <v>968</v>
      </c>
      <c r="N594" t="s">
        <v>31</v>
      </c>
      <c r="O594" t="s">
        <v>261</v>
      </c>
      <c r="P594" s="3">
        <v>74</v>
      </c>
      <c r="Q594" t="str">
        <f>LEFT(B594, 7)</f>
        <v>Infinix</v>
      </c>
      <c r="R594" t="str">
        <f t="shared" si="58"/>
        <v>Intel Core 5 (Series 2)</v>
      </c>
      <c r="S594" t="str">
        <f t="shared" si="57"/>
        <v>16 GB</v>
      </c>
    </row>
    <row r="595" spans="1:19">
      <c r="A595" t="str">
        <f>LEFT(B595, LEN(B595)-15)</f>
        <v>Asus VivoBook 15 X515EA-EJ542WS Laptop (Core i5 11th Gen/16 GB/512 GB SSD/Windows 11)</v>
      </c>
      <c r="B595" t="s">
        <v>994</v>
      </c>
      <c r="C595" s="1">
        <v>42990</v>
      </c>
      <c r="D595" s="1">
        <v>1505</v>
      </c>
      <c r="E595" s="2">
        <v>86</v>
      </c>
      <c r="F595" s="2" t="str" cm="1">
        <f t="array" ref="F595">_xlfn.IFS(AND(101&gt;E595, E595&gt;69), "Top-Tier", AND(70&gt;E595, E595&gt;39), "Mid-Tier", 40&gt;E595, "Low-Tier")</f>
        <v>Top-Tier</v>
      </c>
      <c r="G595" s="4">
        <v>45078</v>
      </c>
      <c r="H595" t="s">
        <v>995</v>
      </c>
      <c r="I595" t="s">
        <v>33</v>
      </c>
      <c r="J595" t="s">
        <v>34</v>
      </c>
      <c r="K595" t="s">
        <v>51</v>
      </c>
      <c r="L595" t="s">
        <v>24</v>
      </c>
      <c r="M595" t="s">
        <v>52</v>
      </c>
      <c r="N595" t="s">
        <v>31</v>
      </c>
      <c r="P595" s="3">
        <v>72</v>
      </c>
      <c r="Q595" t="str">
        <f>LEFT(B595, 4)</f>
        <v>Asus</v>
      </c>
      <c r="R595" t="str">
        <f t="shared" si="58"/>
        <v>Intel Core 7 (Series 1)</v>
      </c>
      <c r="S595" t="str">
        <f t="shared" si="57"/>
        <v>16 GB</v>
      </c>
    </row>
    <row r="596" spans="1:19">
      <c r="A596" t="str">
        <f>LEFT(B596, LEN(B596)-15)</f>
        <v>Asus VivoBook Pro 15 M6500QF-HN741WS Laptop (AMD Octa Core Ryzen 7/16 GB/512 GB SSD/Windows 11/4 GB)</v>
      </c>
      <c r="B596" t="s">
        <v>996</v>
      </c>
      <c r="C596" s="1">
        <v>55990</v>
      </c>
      <c r="D596" s="1">
        <v>276</v>
      </c>
      <c r="E596" s="2">
        <v>86</v>
      </c>
      <c r="F596" s="2" t="str" cm="1">
        <f t="array" ref="F596">_xlfn.IFS(AND(101&gt;E596, E596&gt;69), "Top-Tier", AND(70&gt;E596, E596&gt;39), "Mid-Tier", 40&gt;E596, "Low-Tier")</f>
        <v>Top-Tier</v>
      </c>
      <c r="G596" s="4">
        <v>45078</v>
      </c>
      <c r="H596" t="s">
        <v>995</v>
      </c>
      <c r="I596" t="s">
        <v>33</v>
      </c>
      <c r="J596" t="s">
        <v>34</v>
      </c>
      <c r="K596" t="s">
        <v>51</v>
      </c>
      <c r="L596" t="s">
        <v>24</v>
      </c>
      <c r="M596" t="s">
        <v>52</v>
      </c>
      <c r="N596" t="s">
        <v>31</v>
      </c>
      <c r="P596" s="3">
        <v>79</v>
      </c>
      <c r="Q596" t="str">
        <f>LEFT(B596, 4)</f>
        <v>Asus</v>
      </c>
      <c r="R596" t="str">
        <f t="shared" si="58"/>
        <v>Intel Core 7 (Series 1)</v>
      </c>
      <c r="S596" t="str">
        <f t="shared" si="57"/>
        <v>16 GB</v>
      </c>
    </row>
    <row r="597" spans="1:19">
      <c r="A597" t="str">
        <f>LEFT(B597, LEN(B597)-15)</f>
        <v>MSI GF63 Thin 11UC-1475IN Laptop (Core i5 11th Gen/8 GB/512 GB SSD/Windows 11/4 GB)</v>
      </c>
      <c r="B597" t="s">
        <v>997</v>
      </c>
      <c r="C597" s="1">
        <v>56130</v>
      </c>
      <c r="D597" s="1">
        <v>569</v>
      </c>
      <c r="E597" s="2">
        <v>86</v>
      </c>
      <c r="F597" s="2" t="str" cm="1">
        <f t="array" ref="F597">_xlfn.IFS(AND(101&gt;E597, E597&gt;69), "Top-Tier", AND(70&gt;E597, E597&gt;39), "Mid-Tier", 40&gt;E597, "Low-Tier")</f>
        <v>Top-Tier</v>
      </c>
      <c r="G597" s="4">
        <v>45047</v>
      </c>
      <c r="H597" t="s">
        <v>995</v>
      </c>
      <c r="I597" t="s">
        <v>33</v>
      </c>
      <c r="J597" t="s">
        <v>50</v>
      </c>
      <c r="K597" t="s">
        <v>51</v>
      </c>
      <c r="L597" t="s">
        <v>24</v>
      </c>
      <c r="N597" t="s">
        <v>31</v>
      </c>
      <c r="P597" s="3">
        <v>78</v>
      </c>
      <c r="Q597" t="str">
        <f>LEFT(B597, 3)</f>
        <v>MSI</v>
      </c>
      <c r="R597" t="str">
        <f t="shared" si="58"/>
        <v>Intel Core 7 (Series 1)</v>
      </c>
      <c r="S597" t="str">
        <f t="shared" si="57"/>
        <v xml:space="preserve">8 GB </v>
      </c>
    </row>
    <row r="598" spans="1:19">
      <c r="A598" t="str">
        <f>LEFT(B598, LEN(B598)-15)</f>
        <v>HP 247 G8 (67U40PA) Laptop (AMD Quad Core Ryzen 5/8 GB/512 GB SSD/Windows 11)</v>
      </c>
      <c r="B598" t="s">
        <v>998</v>
      </c>
      <c r="C598" s="1">
        <v>27990</v>
      </c>
      <c r="D598" s="1">
        <v>64</v>
      </c>
      <c r="E598" s="2">
        <v>86</v>
      </c>
      <c r="F598" s="2" t="str" cm="1">
        <f t="array" ref="F598">_xlfn.IFS(AND(101&gt;E598, E598&gt;69), "Top-Tier", AND(70&gt;E598, E598&gt;39), "Mid-Tier", 40&gt;E598, "Low-Tier")</f>
        <v>Top-Tier</v>
      </c>
      <c r="G598" s="4">
        <v>45047</v>
      </c>
      <c r="H598" t="s">
        <v>995</v>
      </c>
      <c r="I598" t="s">
        <v>33</v>
      </c>
      <c r="J598" t="s">
        <v>50</v>
      </c>
      <c r="K598" t="s">
        <v>224</v>
      </c>
      <c r="L598" t="s">
        <v>24</v>
      </c>
      <c r="M598" t="s">
        <v>95</v>
      </c>
      <c r="N598" t="s">
        <v>31</v>
      </c>
      <c r="P598" s="3">
        <v>71</v>
      </c>
      <c r="Q598" t="str">
        <f>LEFT(B598, 2)</f>
        <v>HP</v>
      </c>
      <c r="R598" t="str">
        <f t="shared" si="58"/>
        <v>Intel Core 7 (Series 1)</v>
      </c>
      <c r="S598" t="str">
        <f t="shared" si="57"/>
        <v xml:space="preserve">8 GB </v>
      </c>
    </row>
    <row r="599" spans="1:19">
      <c r="A599" t="str">
        <f>LEFT(B599, LEN(B599)-15)</f>
        <v>Lenovo V15 ITL G2 (82KB00EWIN) Laptop (Core i3 11th Gen/4 GB/256 GB SSD/Windows 10)</v>
      </c>
      <c r="B599" t="s">
        <v>999</v>
      </c>
      <c r="C599" s="1">
        <v>37880</v>
      </c>
      <c r="D599" s="1">
        <v>177</v>
      </c>
      <c r="E599" s="2">
        <v>86</v>
      </c>
      <c r="F599" s="2" t="str" cm="1">
        <f t="array" ref="F599">_xlfn.IFS(AND(101&gt;E599, E599&gt;69), "Top-Tier", AND(70&gt;E599, E599&gt;39), "Mid-Tier", 40&gt;E599, "Low-Tier")</f>
        <v>Top-Tier</v>
      </c>
      <c r="G599" s="4">
        <v>45047</v>
      </c>
      <c r="H599" t="s">
        <v>1000</v>
      </c>
      <c r="I599" t="s">
        <v>248</v>
      </c>
      <c r="J599" t="s">
        <v>698</v>
      </c>
      <c r="K599" t="s">
        <v>480</v>
      </c>
      <c r="L599" t="s">
        <v>24</v>
      </c>
      <c r="M599" t="s">
        <v>52</v>
      </c>
      <c r="N599" t="s">
        <v>31</v>
      </c>
      <c r="Q599" t="str">
        <f>LEFT(B599, 6)</f>
        <v>Lenovo</v>
      </c>
      <c r="R599" t="str">
        <f t="shared" si="58"/>
        <v>Intel Core 7 (Series 2)</v>
      </c>
      <c r="S599" t="str">
        <f t="shared" si="57"/>
        <v xml:space="preserve">4 GB </v>
      </c>
    </row>
    <row r="600" spans="1:19">
      <c r="A600" t="str">
        <f>LEFT(B600, LEN(B600)-15)</f>
        <v>Asus TUF Gaming F15 FX507ZV-LP094W Laptop (Core i7 12th Gen/16 GB/512 GB SSD/Windows 11/8 GB)</v>
      </c>
      <c r="B600" t="s">
        <v>1001</v>
      </c>
      <c r="C600" s="1">
        <v>99990</v>
      </c>
      <c r="D600" s="1">
        <v>358</v>
      </c>
      <c r="E600" s="2">
        <v>86</v>
      </c>
      <c r="F600" s="2" t="str" cm="1">
        <f t="array" ref="F600">_xlfn.IFS(AND(101&gt;E600, E600&gt;69), "Top-Tier", AND(70&gt;E600, E600&gt;39), "Mid-Tier", 40&gt;E600, "Low-Tier")</f>
        <v>Top-Tier</v>
      </c>
      <c r="G600" s="4">
        <v>45047</v>
      </c>
      <c r="H600" t="s">
        <v>1000</v>
      </c>
      <c r="I600" t="s">
        <v>33</v>
      </c>
      <c r="J600" t="s">
        <v>34</v>
      </c>
      <c r="K600" t="s">
        <v>159</v>
      </c>
      <c r="L600" t="s">
        <v>24</v>
      </c>
      <c r="N600" t="s">
        <v>31</v>
      </c>
      <c r="P600" s="3">
        <v>86</v>
      </c>
      <c r="Q600" t="str">
        <f>LEFT(B600, 4)</f>
        <v>Asus</v>
      </c>
      <c r="R600" t="str">
        <f t="shared" si="58"/>
        <v>Intel Core 7 (Series 2)</v>
      </c>
      <c r="S600" t="str">
        <f t="shared" si="57"/>
        <v>16 GB</v>
      </c>
    </row>
    <row r="601" spans="1:19">
      <c r="A601" t="str">
        <f>LEFT(B601, LEN(B601)-15)</f>
        <v>Asus TUF Gaming F15 FX507VU-LP083WS Laptop (Core i7 13th Gen/16 GB/512 GB SSD/Windows 11/6 GB)</v>
      </c>
      <c r="B601" t="s">
        <v>1002</v>
      </c>
      <c r="C601" s="1">
        <v>104900</v>
      </c>
      <c r="D601" s="1">
        <v>15</v>
      </c>
      <c r="E601" s="2">
        <v>86</v>
      </c>
      <c r="F601" s="2" t="str" cm="1">
        <f t="array" ref="F601">_xlfn.IFS(AND(101&gt;E601, E601&gt;69), "Top-Tier", AND(70&gt;E601, E601&gt;39), "Mid-Tier", 40&gt;E601, "Low-Tier")</f>
        <v>Top-Tier</v>
      </c>
      <c r="G601" s="4">
        <v>45047</v>
      </c>
      <c r="H601" t="s">
        <v>1000</v>
      </c>
      <c r="I601" t="s">
        <v>33</v>
      </c>
      <c r="J601" t="s">
        <v>34</v>
      </c>
      <c r="K601" t="s">
        <v>51</v>
      </c>
      <c r="L601" t="s">
        <v>24</v>
      </c>
      <c r="N601" t="s">
        <v>31</v>
      </c>
      <c r="P601" s="3">
        <v>85</v>
      </c>
      <c r="Q601" t="str">
        <f>LEFT(B601, 4)</f>
        <v>Asus</v>
      </c>
      <c r="R601" t="str">
        <f t="shared" si="58"/>
        <v>Intel Core 7 (Series 2)</v>
      </c>
      <c r="S601" t="str">
        <f t="shared" si="57"/>
        <v>16 GB</v>
      </c>
    </row>
    <row r="602" spans="1:19">
      <c r="A602" t="str">
        <f>LEFT(B602, LEN(B602)-15)</f>
        <v>Lenovo Legion 5 15ACH6 (82JW00PBIN) Laptop (AMD Octa Core Ryzen 7/16 GB/512 GB SSD/Windows 11/4 GB)</v>
      </c>
      <c r="B602" t="s">
        <v>1003</v>
      </c>
      <c r="C602" s="1">
        <v>115990</v>
      </c>
      <c r="D602" s="1">
        <v>160</v>
      </c>
      <c r="E602" s="2">
        <v>86</v>
      </c>
      <c r="F602" s="2" t="str" cm="1">
        <f t="array" ref="F602">_xlfn.IFS(AND(101&gt;E602, E602&gt;69), "Top-Tier", AND(70&gt;E602, E602&gt;39), "Mid-Tier", 40&gt;E602, "Low-Tier")</f>
        <v>Top-Tier</v>
      </c>
      <c r="G602" s="4">
        <v>45047</v>
      </c>
      <c r="H602" t="s">
        <v>1000</v>
      </c>
      <c r="I602" t="s">
        <v>33</v>
      </c>
      <c r="J602" t="s">
        <v>34</v>
      </c>
      <c r="K602" t="s">
        <v>51</v>
      </c>
      <c r="L602" t="s">
        <v>24</v>
      </c>
      <c r="N602" t="s">
        <v>31</v>
      </c>
      <c r="P602" s="3">
        <v>81</v>
      </c>
      <c r="Q602" t="str">
        <f>LEFT(B602, 6)</f>
        <v>Lenovo</v>
      </c>
      <c r="R602" t="str">
        <f t="shared" si="58"/>
        <v>Intel Core 7 (Series 2)</v>
      </c>
      <c r="S602" t="str">
        <f t="shared" si="57"/>
        <v>16 GB</v>
      </c>
    </row>
    <row r="603" spans="1:19">
      <c r="A603" t="str">
        <f>LEFT(B603, LEN(B603)-15)</f>
        <v>MSI GF63 Thin 11SC-1298IN Laptop (Core i7 11th Gen/16 GB/1 TB 256 GB SSD/Windows 11/4 GB)</v>
      </c>
      <c r="B603" t="s">
        <v>1004</v>
      </c>
      <c r="C603" s="1">
        <v>50999</v>
      </c>
      <c r="D603" s="1">
        <v>501</v>
      </c>
      <c r="E603" s="2">
        <v>86</v>
      </c>
      <c r="F603" s="2" t="str" cm="1">
        <f t="array" ref="F603">_xlfn.IFS(AND(101&gt;E603, E603&gt;69), "Top-Tier", AND(70&gt;E603, E603&gt;39), "Mid-Tier", 40&gt;E603, "Low-Tier")</f>
        <v>Top-Tier</v>
      </c>
      <c r="G603" s="4">
        <v>45047</v>
      </c>
      <c r="H603" t="s">
        <v>1000</v>
      </c>
      <c r="I603" t="s">
        <v>33</v>
      </c>
      <c r="J603" t="s">
        <v>315</v>
      </c>
      <c r="K603" t="s">
        <v>51</v>
      </c>
      <c r="L603" t="s">
        <v>24</v>
      </c>
      <c r="N603" t="s">
        <v>31</v>
      </c>
      <c r="P603" s="3">
        <v>75</v>
      </c>
      <c r="Q603" t="str">
        <f>LEFT(B603, 3)</f>
        <v>MSI</v>
      </c>
      <c r="R603" t="str">
        <f t="shared" si="58"/>
        <v>Intel Core 7 (Series 2)</v>
      </c>
      <c r="S603" t="str">
        <f t="shared" si="57"/>
        <v>16 GB</v>
      </c>
    </row>
    <row r="604" spans="1:19">
      <c r="A604" t="str">
        <f>LEFT(B604, LEN(B604)-15)</f>
        <v>MSI GF63 Thin 11UC-1294IN Laptop (Core i7 11th Gen/16 GB/1 TB 256 GB SSD/Windows 11/4 GB)</v>
      </c>
      <c r="B604" t="s">
        <v>1005</v>
      </c>
      <c r="C604" s="1">
        <v>62990</v>
      </c>
      <c r="D604" s="1">
        <v>933</v>
      </c>
      <c r="E604" s="2">
        <v>86</v>
      </c>
      <c r="F604" s="2" t="str" cm="1">
        <f t="array" ref="F604">_xlfn.IFS(AND(101&gt;E604, E604&gt;69), "Top-Tier", AND(70&gt;E604, E604&gt;39), "Mid-Tier", 40&gt;E604, "Low-Tier")</f>
        <v>Top-Tier</v>
      </c>
      <c r="G604" s="4">
        <v>45047</v>
      </c>
      <c r="H604" t="s">
        <v>1006</v>
      </c>
      <c r="I604" t="s">
        <v>33</v>
      </c>
      <c r="J604" t="s">
        <v>315</v>
      </c>
      <c r="K604" t="s">
        <v>51</v>
      </c>
      <c r="L604" t="s">
        <v>24</v>
      </c>
      <c r="N604" t="s">
        <v>31</v>
      </c>
      <c r="P604" s="3">
        <v>77</v>
      </c>
      <c r="Q604" t="str">
        <f>LEFT(B604, 3)</f>
        <v>MSI</v>
      </c>
      <c r="R604" t="str">
        <f>LEFT(H604, 24)</f>
        <v>Intel Core i3 (10th Gen)</v>
      </c>
      <c r="S604" t="str">
        <f t="shared" si="57"/>
        <v>16 GB</v>
      </c>
    </row>
    <row r="605" spans="1:19">
      <c r="A605" t="str">
        <f>LEFT(B605, LEN(B605)-15)</f>
        <v>HP 15-fd0024TU (7Q865PA) Laptop (Core i7 13th Gen/16 GB/512 GB SSD/Windows 11)</v>
      </c>
      <c r="B605" t="s">
        <v>1007</v>
      </c>
      <c r="C605" s="1">
        <v>73990</v>
      </c>
      <c r="D605" s="1">
        <v>200</v>
      </c>
      <c r="E605" s="2">
        <v>86</v>
      </c>
      <c r="F605" s="2" t="str" cm="1">
        <f t="array" ref="F605">_xlfn.IFS(AND(101&gt;E605, E605&gt;69), "Top-Tier", AND(70&gt;E605, E605&gt;39), "Mid-Tier", 40&gt;E605, "Low-Tier")</f>
        <v>Top-Tier</v>
      </c>
      <c r="G605" s="4">
        <v>45047</v>
      </c>
      <c r="H605" t="s">
        <v>1006</v>
      </c>
      <c r="I605" t="s">
        <v>33</v>
      </c>
      <c r="J605" t="s">
        <v>34</v>
      </c>
      <c r="K605" t="s">
        <v>51</v>
      </c>
      <c r="L605" t="s">
        <v>24</v>
      </c>
      <c r="M605" t="s">
        <v>52</v>
      </c>
      <c r="N605" t="s">
        <v>31</v>
      </c>
      <c r="P605" s="3">
        <v>77</v>
      </c>
      <c r="Q605" t="str">
        <f>LEFT(B605, 2)</f>
        <v>HP</v>
      </c>
      <c r="R605" t="str">
        <f t="shared" ref="R605:R668" si="59">LEFT(H605, 24)</f>
        <v>Intel Core i3 (10th Gen)</v>
      </c>
      <c r="S605" t="str">
        <f t="shared" si="57"/>
        <v>16 GB</v>
      </c>
    </row>
    <row r="606" spans="1:19">
      <c r="A606" t="str">
        <f>LEFT(B606, LEN(B606)-15)</f>
        <v>Asus VivoBook S15 OLED S5504VA-MA741WS Laptop (Core i7 13th Gen/16 GB/512 GB SSD/Windows 11)</v>
      </c>
      <c r="B606" t="s">
        <v>1008</v>
      </c>
      <c r="C606" s="1">
        <v>94990</v>
      </c>
      <c r="D606" s="1">
        <v>35</v>
      </c>
      <c r="E606" s="2">
        <v>86</v>
      </c>
      <c r="F606" s="2" t="str" cm="1">
        <f t="array" ref="F606">_xlfn.IFS(AND(101&gt;E606, E606&gt;69), "Top-Tier", AND(70&gt;E606, E606&gt;39), "Mid-Tier", 40&gt;E606, "Low-Tier")</f>
        <v>Top-Tier</v>
      </c>
      <c r="G606" s="4">
        <v>45047</v>
      </c>
      <c r="H606" t="s">
        <v>1006</v>
      </c>
      <c r="I606" t="s">
        <v>33</v>
      </c>
      <c r="J606" t="s">
        <v>121</v>
      </c>
      <c r="K606" t="s">
        <v>43</v>
      </c>
      <c r="L606" t="s">
        <v>24</v>
      </c>
      <c r="M606" t="s">
        <v>95</v>
      </c>
      <c r="P606" s="3">
        <v>79</v>
      </c>
      <c r="Q606" t="str">
        <f>LEFT(B606, 4)</f>
        <v>Asus</v>
      </c>
      <c r="R606" t="str">
        <f t="shared" si="59"/>
        <v>Intel Core i3 (10th Gen)</v>
      </c>
      <c r="S606" t="str">
        <f t="shared" si="57"/>
        <v>16 GB</v>
      </c>
    </row>
    <row r="607" spans="1:19">
      <c r="A607" t="str">
        <f>LEFT(B607, LEN(B607)-15)</f>
        <v>MSI GF63 Thin 12UCX-269IN Laptop (Core i5 12th Gen/16 GB/1 TB 256 GB SSD/Windows 11/4 GB)</v>
      </c>
      <c r="B607" t="s">
        <v>1009</v>
      </c>
      <c r="C607" s="1">
        <v>68222</v>
      </c>
      <c r="D607" s="1">
        <v>172</v>
      </c>
      <c r="E607" s="2">
        <v>86</v>
      </c>
      <c r="F607" s="2" t="str" cm="1">
        <f t="array" ref="F607">_xlfn.IFS(AND(101&gt;E607, E607&gt;69), "Top-Tier", AND(70&gt;E607, E607&gt;39), "Mid-Tier", 40&gt;E607, "Low-Tier")</f>
        <v>Top-Tier</v>
      </c>
      <c r="G607" s="4">
        <v>45047</v>
      </c>
      <c r="H607" t="s">
        <v>1006</v>
      </c>
      <c r="I607" t="s">
        <v>33</v>
      </c>
      <c r="J607" t="s">
        <v>315</v>
      </c>
      <c r="K607" t="s">
        <v>51</v>
      </c>
      <c r="L607" t="s">
        <v>24</v>
      </c>
      <c r="P607" s="3">
        <v>77</v>
      </c>
      <c r="Q607" t="str">
        <f>LEFT(B607, 3)</f>
        <v>MSI</v>
      </c>
      <c r="R607" t="str">
        <f t="shared" si="59"/>
        <v>Intel Core i3 (10th Gen)</v>
      </c>
      <c r="S607" t="str">
        <f t="shared" si="57"/>
        <v>16 GB</v>
      </c>
    </row>
    <row r="608" spans="1:19">
      <c r="A608" t="str">
        <f>LEFT(B608, LEN(B608)-15)</f>
        <v>Acer Predator Helios Neo 16 PHN16-71 (NH.QLUSI.001) Laptop (Core i7 13th Gen/16 GB/1 TB SSD/Windows 11/8 GB)</v>
      </c>
      <c r="B608" t="s">
        <v>1010</v>
      </c>
      <c r="C608" s="1">
        <v>159999</v>
      </c>
      <c r="D608" s="1">
        <v>291</v>
      </c>
      <c r="E608" s="2">
        <v>86</v>
      </c>
      <c r="F608" s="2" t="str" cm="1">
        <f t="array" ref="F608">_xlfn.IFS(AND(101&gt;E608, E608&gt;69), "Top-Tier", AND(70&gt;E608, E608&gt;39), "Mid-Tier", 40&gt;E608, "Low-Tier")</f>
        <v>Top-Tier</v>
      </c>
      <c r="G608" s="4">
        <v>45047</v>
      </c>
      <c r="H608" t="s">
        <v>1006</v>
      </c>
      <c r="I608" t="s">
        <v>33</v>
      </c>
      <c r="J608" t="s">
        <v>72</v>
      </c>
      <c r="K608" t="s">
        <v>117</v>
      </c>
      <c r="L608" t="s">
        <v>24</v>
      </c>
      <c r="N608" t="s">
        <v>31</v>
      </c>
      <c r="Q608" t="str">
        <f>LEFT(B608, 4)</f>
        <v>Acer</v>
      </c>
      <c r="R608" t="str">
        <f t="shared" si="59"/>
        <v>Intel Core i3 (10th Gen)</v>
      </c>
      <c r="S608" t="str">
        <f t="shared" si="57"/>
        <v>16 GB</v>
      </c>
    </row>
    <row r="609" spans="1:19">
      <c r="A609" t="str">
        <f>LEFT(B609, LEN(B609)-15)</f>
        <v>MSI GF63 Thin 12UCX-266IN Laptop (Core i5 12th Gen/8 GB/512 GB SSD/Windows 11/4 GB)</v>
      </c>
      <c r="B609" t="s">
        <v>1011</v>
      </c>
      <c r="C609" s="1">
        <v>65536</v>
      </c>
      <c r="D609" s="1">
        <v>172</v>
      </c>
      <c r="E609" s="2">
        <v>86</v>
      </c>
      <c r="F609" s="2" t="str" cm="1">
        <f t="array" ref="F609">_xlfn.IFS(AND(101&gt;E609, E609&gt;69), "Top-Tier", AND(70&gt;E609, E609&gt;39), "Mid-Tier", 40&gt;E609, "Low-Tier")</f>
        <v>Top-Tier</v>
      </c>
      <c r="G609" s="4">
        <v>45017</v>
      </c>
      <c r="H609" t="s">
        <v>1006</v>
      </c>
      <c r="I609" t="s">
        <v>33</v>
      </c>
      <c r="J609" t="s">
        <v>50</v>
      </c>
      <c r="K609" t="s">
        <v>51</v>
      </c>
      <c r="L609" t="s">
        <v>24</v>
      </c>
      <c r="N609" t="s">
        <v>31</v>
      </c>
      <c r="P609" s="3">
        <v>77</v>
      </c>
      <c r="Q609" t="str">
        <f>LEFT(B609, 3)</f>
        <v>MSI</v>
      </c>
      <c r="R609" t="str">
        <f t="shared" si="59"/>
        <v>Intel Core i3 (10th Gen)</v>
      </c>
      <c r="S609" t="str">
        <f t="shared" si="57"/>
        <v xml:space="preserve">8 GB </v>
      </c>
    </row>
    <row r="610" spans="1:19">
      <c r="A610" t="str">
        <f>LEFT(B610, LEN(B610)-15)</f>
        <v>MSI GF63 Thin 12UCX-265IN Laptop (Core i5 12th Gen/16 GB/512 GB SSD/Windows 11/4 GB)</v>
      </c>
      <c r="B610" t="s">
        <v>1012</v>
      </c>
      <c r="C610" s="1">
        <v>71990</v>
      </c>
      <c r="D610" s="1">
        <v>172</v>
      </c>
      <c r="E610" s="2">
        <v>86</v>
      </c>
      <c r="F610" s="2" t="str" cm="1">
        <f t="array" ref="F610">_xlfn.IFS(AND(101&gt;E610, E610&gt;69), "Top-Tier", AND(70&gt;E610, E610&gt;39), "Mid-Tier", 40&gt;E610, "Low-Tier")</f>
        <v>Top-Tier</v>
      </c>
      <c r="G610" s="4">
        <v>45017</v>
      </c>
      <c r="H610" t="s">
        <v>1006</v>
      </c>
      <c r="I610" t="s">
        <v>33</v>
      </c>
      <c r="J610" t="s">
        <v>34</v>
      </c>
      <c r="K610" t="s">
        <v>51</v>
      </c>
      <c r="L610" t="s">
        <v>24</v>
      </c>
      <c r="N610" t="s">
        <v>31</v>
      </c>
      <c r="P610" s="3">
        <v>78</v>
      </c>
      <c r="Q610" t="str">
        <f>LEFT(B610, 3)</f>
        <v>MSI</v>
      </c>
      <c r="R610" t="str">
        <f t="shared" si="59"/>
        <v>Intel Core i3 (10th Gen)</v>
      </c>
      <c r="S610" t="str">
        <f t="shared" si="57"/>
        <v>16 GB</v>
      </c>
    </row>
    <row r="611" spans="1:19">
      <c r="A611" t="str">
        <f>LEFT(B611, LEN(B611)-15)</f>
        <v>MSI GF63 Thin 11UC-1296IN Laptop (Core i5 11th Gen/16 GB/512 GB SSD/Windows 11/4 GB)</v>
      </c>
      <c r="B611" t="s">
        <v>1013</v>
      </c>
      <c r="C611" s="1">
        <v>64671</v>
      </c>
      <c r="D611" s="1">
        <v>590</v>
      </c>
      <c r="E611" s="2">
        <v>86</v>
      </c>
      <c r="F611" s="2" t="str" cm="1">
        <f t="array" ref="F611">_xlfn.IFS(AND(101&gt;E611, E611&gt;69), "Top-Tier", AND(70&gt;E611, E611&gt;39), "Mid-Tier", 40&gt;E611, "Low-Tier")</f>
        <v>Top-Tier</v>
      </c>
      <c r="G611" s="4">
        <v>45017</v>
      </c>
      <c r="H611" t="s">
        <v>1006</v>
      </c>
      <c r="I611" t="s">
        <v>33</v>
      </c>
      <c r="J611" t="s">
        <v>34</v>
      </c>
      <c r="K611" t="s">
        <v>51</v>
      </c>
      <c r="L611" t="s">
        <v>24</v>
      </c>
      <c r="N611" t="s">
        <v>31</v>
      </c>
      <c r="P611" s="3">
        <v>77</v>
      </c>
      <c r="Q611" t="str">
        <f>LEFT(B611, 3)</f>
        <v>MSI</v>
      </c>
      <c r="R611" t="str">
        <f t="shared" si="59"/>
        <v>Intel Core i3 (10th Gen)</v>
      </c>
      <c r="S611" t="str">
        <f t="shared" si="57"/>
        <v>16 GB</v>
      </c>
    </row>
    <row r="612" spans="1:19">
      <c r="A612" t="str">
        <f>LEFT(B612, LEN(B612)-15)</f>
        <v>MSI Katana GF66 12UC-1005IN Laptop (Core i5 12th Gen/16 GB/512 GB SSD/Windows 11/4 GB)</v>
      </c>
      <c r="B612" t="s">
        <v>1014</v>
      </c>
      <c r="C612" s="1">
        <v>75990</v>
      </c>
      <c r="D612" s="1">
        <v>12</v>
      </c>
      <c r="E612" s="2">
        <v>86</v>
      </c>
      <c r="F612" s="2" t="str" cm="1">
        <f t="array" ref="F612">_xlfn.IFS(AND(101&gt;E612, E612&gt;69), "Top-Tier", AND(70&gt;E612, E612&gt;39), "Mid-Tier", 40&gt;E612, "Low-Tier")</f>
        <v>Top-Tier</v>
      </c>
      <c r="G612" s="4">
        <v>45017</v>
      </c>
      <c r="H612" t="s">
        <v>1006</v>
      </c>
      <c r="I612" t="s">
        <v>33</v>
      </c>
      <c r="J612" t="s">
        <v>34</v>
      </c>
      <c r="K612" t="s">
        <v>51</v>
      </c>
      <c r="L612" t="s">
        <v>24</v>
      </c>
      <c r="N612" t="s">
        <v>31</v>
      </c>
      <c r="P612" s="3">
        <v>78</v>
      </c>
      <c r="Q612" t="str">
        <f>LEFT(B612, 3)</f>
        <v>MSI</v>
      </c>
      <c r="R612" t="str">
        <f t="shared" si="59"/>
        <v>Intel Core i3 (10th Gen)</v>
      </c>
      <c r="S612" t="str">
        <f t="shared" si="57"/>
        <v>16 GB</v>
      </c>
    </row>
    <row r="613" spans="1:19">
      <c r="A613" t="str">
        <f>LEFT(B613, LEN(B613)-15)</f>
        <v>HP 15s-fr4001TU (7J3Z3PA) Laptop (Core i5 11th Gen/16 GB/512 GB SSD/Windows 11)</v>
      </c>
      <c r="B613" t="s">
        <v>1015</v>
      </c>
      <c r="C613" s="1">
        <v>48999</v>
      </c>
      <c r="D613" s="1">
        <v>3925</v>
      </c>
      <c r="E613" s="2">
        <v>86</v>
      </c>
      <c r="F613" s="2" t="str" cm="1">
        <f t="array" ref="F613">_xlfn.IFS(AND(101&gt;E613, E613&gt;69), "Top-Tier", AND(70&gt;E613, E613&gt;39), "Mid-Tier", 40&gt;E613, "Low-Tier")</f>
        <v>Top-Tier</v>
      </c>
      <c r="G613" s="4">
        <v>45017</v>
      </c>
      <c r="H613" t="s">
        <v>1006</v>
      </c>
      <c r="I613" t="s">
        <v>33</v>
      </c>
      <c r="J613" t="s">
        <v>34</v>
      </c>
      <c r="K613" t="s">
        <v>51</v>
      </c>
      <c r="L613" t="s">
        <v>24</v>
      </c>
      <c r="M613" t="s">
        <v>95</v>
      </c>
      <c r="P613" s="3">
        <v>73</v>
      </c>
      <c r="Q613" t="str">
        <f>LEFT(B613, 2)</f>
        <v>HP</v>
      </c>
      <c r="R613" t="str">
        <f t="shared" si="59"/>
        <v>Intel Core i3 (10th Gen)</v>
      </c>
      <c r="S613" t="str">
        <f t="shared" si="57"/>
        <v>16 GB</v>
      </c>
    </row>
    <row r="614" spans="1:19">
      <c r="A614" t="str">
        <f>LEFT(B614, LEN(B614)-15)</f>
        <v>Asus VivoBook 15 X1502ZA-EJ953WS Laptop (Core i3 12th Gen/8 GB/512 GB SSD/Windows 11)</v>
      </c>
      <c r="B614" t="s">
        <v>1016</v>
      </c>
      <c r="C614" s="1">
        <v>33740</v>
      </c>
      <c r="D614" s="1">
        <v>3118</v>
      </c>
      <c r="E614" s="2">
        <v>86</v>
      </c>
      <c r="F614" s="2" t="str" cm="1">
        <f t="array" ref="F614">_xlfn.IFS(AND(101&gt;E614, E614&gt;69), "Top-Tier", AND(70&gt;E614, E614&gt;39), "Mid-Tier", 40&gt;E614, "Low-Tier")</f>
        <v>Top-Tier</v>
      </c>
      <c r="G614" s="4">
        <v>45017</v>
      </c>
      <c r="H614" t="s">
        <v>1006</v>
      </c>
      <c r="I614" t="s">
        <v>33</v>
      </c>
      <c r="J614" t="s">
        <v>50</v>
      </c>
      <c r="K614" t="s">
        <v>51</v>
      </c>
      <c r="L614" t="s">
        <v>24</v>
      </c>
      <c r="M614" t="s">
        <v>52</v>
      </c>
      <c r="N614" t="s">
        <v>31</v>
      </c>
      <c r="P614" s="3">
        <v>76</v>
      </c>
      <c r="Q614" t="str">
        <f>LEFT(B614, 4)</f>
        <v>Asus</v>
      </c>
      <c r="R614" t="str">
        <f t="shared" si="59"/>
        <v>Intel Core i3 (10th Gen)</v>
      </c>
      <c r="S614" t="str">
        <f t="shared" si="57"/>
        <v xml:space="preserve">8 GB </v>
      </c>
    </row>
    <row r="615" spans="1:19">
      <c r="A615" t="str">
        <f>LEFT(B615, LEN(B615)-15)</f>
        <v>HP Pavilion 15-eg2017TU (6J8N3PA) Laptop (Core i3 12th Gen/8 GB/512 GB SSD/Windows 11)</v>
      </c>
      <c r="B615" t="s">
        <v>1017</v>
      </c>
      <c r="C615" s="1">
        <v>51990</v>
      </c>
      <c r="D615" s="1">
        <v>216</v>
      </c>
      <c r="E615" s="2">
        <v>86</v>
      </c>
      <c r="F615" s="2" t="str" cm="1">
        <f t="array" ref="F615">_xlfn.IFS(AND(101&gt;E615, E615&gt;69), "Top-Tier", AND(70&gt;E615, E615&gt;39), "Mid-Tier", 40&gt;E615, "Low-Tier")</f>
        <v>Top-Tier</v>
      </c>
      <c r="G615" s="4">
        <v>45017</v>
      </c>
      <c r="H615" t="s">
        <v>1006</v>
      </c>
      <c r="I615" t="s">
        <v>33</v>
      </c>
      <c r="J615" t="s">
        <v>50</v>
      </c>
      <c r="K615" t="s">
        <v>51</v>
      </c>
      <c r="L615" t="s">
        <v>24</v>
      </c>
      <c r="N615" t="s">
        <v>31</v>
      </c>
      <c r="P615" s="3">
        <v>75</v>
      </c>
      <c r="Q615" t="str">
        <f>LEFT(B615, 2)</f>
        <v>HP</v>
      </c>
      <c r="R615" t="str">
        <f t="shared" si="59"/>
        <v>Intel Core i3 (10th Gen)</v>
      </c>
      <c r="S615" t="str">
        <f t="shared" si="57"/>
        <v xml:space="preserve">8 GB </v>
      </c>
    </row>
    <row r="616" spans="1:19">
      <c r="A616" t="str">
        <f>LEFT(B616, LEN(B616)-15)</f>
        <v>HP 255 G9 (7B1L8PA) Laptop (AMD Hexa Core Ryzen 5/8 GB/512 GB SSD/Windows 11)</v>
      </c>
      <c r="B616" t="s">
        <v>1018</v>
      </c>
      <c r="C616" s="1">
        <v>31790</v>
      </c>
      <c r="D616" s="1">
        <v>20</v>
      </c>
      <c r="E616" s="2">
        <v>86</v>
      </c>
      <c r="F616" s="2" t="str" cm="1">
        <f t="array" ref="F616">_xlfn.IFS(AND(101&gt;E616, E616&gt;69), "Top-Tier", AND(70&gt;E616, E616&gt;39), "Mid-Tier", 40&gt;E616, "Low-Tier")</f>
        <v>Top-Tier</v>
      </c>
      <c r="G616" s="4">
        <v>45017</v>
      </c>
      <c r="H616" t="s">
        <v>1006</v>
      </c>
      <c r="I616" t="s">
        <v>33</v>
      </c>
      <c r="J616" t="s">
        <v>50</v>
      </c>
      <c r="K616" t="s">
        <v>560</v>
      </c>
      <c r="L616" t="s">
        <v>24</v>
      </c>
      <c r="M616" t="s">
        <v>95</v>
      </c>
      <c r="N616" t="s">
        <v>31</v>
      </c>
      <c r="P616" s="3">
        <v>74</v>
      </c>
      <c r="Q616" t="str">
        <f>LEFT(B616, 2)</f>
        <v>HP</v>
      </c>
      <c r="R616" t="str">
        <f t="shared" si="59"/>
        <v>Intel Core i3 (10th Gen)</v>
      </c>
      <c r="S616" t="str">
        <f t="shared" si="57"/>
        <v xml:space="preserve">8 GB </v>
      </c>
    </row>
    <row r="617" spans="1:19">
      <c r="A617" t="str">
        <f>LEFT(B617, LEN(B617)-15)</f>
        <v>HP Pavilion 15-eg3079TU (86T11PA) Laptop (Core i5 13th Gen/16 GB/512 GB SSD/Windows 11)</v>
      </c>
      <c r="B617" t="s">
        <v>1019</v>
      </c>
      <c r="C617" s="1">
        <v>62990</v>
      </c>
      <c r="D617" s="1">
        <v>412</v>
      </c>
      <c r="E617" s="2">
        <v>86</v>
      </c>
      <c r="F617" s="2" t="str" cm="1">
        <f t="array" ref="F617">_xlfn.IFS(AND(101&gt;E617, E617&gt;69), "Top-Tier", AND(70&gt;E617, E617&gt;39), "Mid-Tier", 40&gt;E617, "Low-Tier")</f>
        <v>Top-Tier</v>
      </c>
      <c r="G617" s="4">
        <v>45017</v>
      </c>
      <c r="H617" t="s">
        <v>1006</v>
      </c>
      <c r="I617" t="s">
        <v>33</v>
      </c>
      <c r="J617" t="s">
        <v>34</v>
      </c>
      <c r="K617" t="s">
        <v>51</v>
      </c>
      <c r="L617" t="s">
        <v>24</v>
      </c>
      <c r="M617" t="s">
        <v>95</v>
      </c>
      <c r="N617" t="s">
        <v>31</v>
      </c>
      <c r="P617" s="3">
        <v>81</v>
      </c>
      <c r="Q617" t="str">
        <f>LEFT(B617, 2)</f>
        <v>HP</v>
      </c>
      <c r="R617" t="str">
        <f t="shared" si="59"/>
        <v>Intel Core i3 (10th Gen)</v>
      </c>
      <c r="S617" t="str">
        <f t="shared" si="57"/>
        <v>16 GB</v>
      </c>
    </row>
    <row r="618" spans="1:19">
      <c r="A618" t="str">
        <f>LEFT(B618, LEN(B618)-15)</f>
        <v>HP Pavilion 15-eh2050AU (7Z1H8PA) Laptop (AMD Hexa Core Ryzen 5/8 GB/512 GB SSD/Windows 11)</v>
      </c>
      <c r="B618" t="s">
        <v>1020</v>
      </c>
      <c r="C618" s="1">
        <v>41999</v>
      </c>
      <c r="D618" s="1">
        <v>246</v>
      </c>
      <c r="E618" s="2">
        <v>86</v>
      </c>
      <c r="F618" s="2" t="str" cm="1">
        <f t="array" ref="F618">_xlfn.IFS(AND(101&gt;E618, E618&gt;69), "Top-Tier", AND(70&gt;E618, E618&gt;39), "Mid-Tier", 40&gt;E618, "Low-Tier")</f>
        <v>Top-Tier</v>
      </c>
      <c r="G618" s="4">
        <v>45017</v>
      </c>
      <c r="H618" t="s">
        <v>1021</v>
      </c>
      <c r="I618" t="s">
        <v>33</v>
      </c>
      <c r="J618" t="s">
        <v>50</v>
      </c>
      <c r="K618" t="s">
        <v>159</v>
      </c>
      <c r="L618" t="s">
        <v>24</v>
      </c>
      <c r="M618" t="s">
        <v>95</v>
      </c>
      <c r="N618" t="s">
        <v>31</v>
      </c>
      <c r="Q618" t="str">
        <f>LEFT(B618, 2)</f>
        <v>HP</v>
      </c>
      <c r="R618" t="str">
        <f t="shared" si="59"/>
        <v>Intel Core i3 (10th Gen)</v>
      </c>
      <c r="S618" t="str">
        <f t="shared" si="57"/>
        <v xml:space="preserve">8 GB </v>
      </c>
    </row>
    <row r="619" spans="1:19">
      <c r="A619" t="str">
        <f>LEFT(B619, LEN(B619)-15)</f>
        <v>Acer Swift Go OLED SFG14-71 (NX.KF1SI.002) Laptop (Core i5 13th Gen/16 GB/512 GB SSD/Windows 11)</v>
      </c>
      <c r="B619" t="s">
        <v>1022</v>
      </c>
      <c r="C619" s="1">
        <v>93999</v>
      </c>
      <c r="D619" s="1">
        <v>490</v>
      </c>
      <c r="E619" s="2">
        <v>86</v>
      </c>
      <c r="F619" s="2" t="str" cm="1">
        <f t="array" ref="F619">_xlfn.IFS(AND(101&gt;E619, E619&gt;69), "Top-Tier", AND(70&gt;E619, E619&gt;39), "Mid-Tier", 40&gt;E619, "Low-Tier")</f>
        <v>Top-Tier</v>
      </c>
      <c r="G619" s="4">
        <v>45017</v>
      </c>
      <c r="H619" t="s">
        <v>1023</v>
      </c>
      <c r="I619" t="s">
        <v>33</v>
      </c>
      <c r="J619" t="s">
        <v>121</v>
      </c>
      <c r="K619" t="s">
        <v>81</v>
      </c>
      <c r="L619" t="s">
        <v>24</v>
      </c>
      <c r="M619" t="s">
        <v>108</v>
      </c>
      <c r="N619" t="s">
        <v>31</v>
      </c>
      <c r="P619" s="3">
        <v>78</v>
      </c>
      <c r="Q619" t="str">
        <f>LEFT(B619, 4)</f>
        <v>Acer</v>
      </c>
      <c r="R619" t="str">
        <f t="shared" si="59"/>
        <v>Intel Core i3 (10th Gen)</v>
      </c>
      <c r="S619" t="str">
        <f t="shared" si="57"/>
        <v>16 GB</v>
      </c>
    </row>
    <row r="620" spans="1:19">
      <c r="A620" t="str">
        <f>LEFT(B620, LEN(B620)-15)</f>
        <v>Asus ROG Zephyrus M16 GU604VZ-NM050WS Laptop (Core i9 13th Gen/32 GB/1 TB SSD/Windows 11/12 GB)</v>
      </c>
      <c r="B620" t="s">
        <v>1024</v>
      </c>
      <c r="C620" s="1">
        <v>270000</v>
      </c>
      <c r="D620" s="1">
        <v>3</v>
      </c>
      <c r="E620" s="2">
        <v>86</v>
      </c>
      <c r="F620" s="2" t="str" cm="1">
        <f t="array" ref="F620">_xlfn.IFS(AND(101&gt;E620, E620&gt;69), "Top-Tier", AND(70&gt;E620, E620&gt;39), "Mid-Tier", 40&gt;E620, "Low-Tier")</f>
        <v>Top-Tier</v>
      </c>
      <c r="G620" s="4">
        <v>44986</v>
      </c>
      <c r="H620" t="s">
        <v>1023</v>
      </c>
      <c r="I620" t="s">
        <v>33</v>
      </c>
      <c r="J620" t="s">
        <v>144</v>
      </c>
      <c r="K620" t="s">
        <v>117</v>
      </c>
      <c r="L620" t="s">
        <v>24</v>
      </c>
      <c r="N620" t="s">
        <v>31</v>
      </c>
      <c r="Q620" t="str">
        <f>LEFT(B620, 4)</f>
        <v>Asus</v>
      </c>
      <c r="R620" t="str">
        <f t="shared" si="59"/>
        <v>Intel Core i3 (10th Gen)</v>
      </c>
      <c r="S620" t="str">
        <f t="shared" si="57"/>
        <v>32 GB</v>
      </c>
    </row>
    <row r="621" spans="1:19">
      <c r="A621" t="str">
        <f>LEFT(B621, LEN(B621)-15)</f>
        <v>Acer Aspire 5 A515-58M (NX.KHGSI.002) Laptop (Core i5 13th Gen/16 GB/512 GB SSD/Windows 11)</v>
      </c>
      <c r="B621" t="s">
        <v>1025</v>
      </c>
      <c r="C621" s="1">
        <v>59990</v>
      </c>
      <c r="D621" s="1">
        <v>32</v>
      </c>
      <c r="E621" s="2">
        <v>86</v>
      </c>
      <c r="F621" s="2" t="str" cm="1">
        <f t="array" ref="F621">_xlfn.IFS(AND(101&gt;E621, E621&gt;69), "Top-Tier", AND(70&gt;E621, E621&gt;39), "Mid-Tier", 40&gt;E621, "Low-Tier")</f>
        <v>Top-Tier</v>
      </c>
      <c r="G621" s="4">
        <v>44986</v>
      </c>
      <c r="H621" t="s">
        <v>1026</v>
      </c>
      <c r="I621" t="s">
        <v>33</v>
      </c>
      <c r="J621" t="s">
        <v>121</v>
      </c>
      <c r="K621" t="s">
        <v>51</v>
      </c>
      <c r="L621" t="s">
        <v>24</v>
      </c>
      <c r="M621" t="s">
        <v>95</v>
      </c>
      <c r="N621" t="s">
        <v>31</v>
      </c>
      <c r="P621" s="3">
        <v>75</v>
      </c>
      <c r="Q621" t="str">
        <f>LEFT(B621, 4)</f>
        <v>Acer</v>
      </c>
      <c r="R621" t="str">
        <f t="shared" si="59"/>
        <v>Intel Core i3 (10th Gen)</v>
      </c>
      <c r="S621" t="str">
        <f t="shared" si="57"/>
        <v>16 GB</v>
      </c>
    </row>
    <row r="622" spans="1:19">
      <c r="A622" t="str">
        <f>LEFT(B622, LEN(B622)-15)</f>
        <v>MSI Modern 14 C7M-062IN Laptop (AMD Hexa Core Ryzen 5/16 GB/512 GB SSD/Windows 11)</v>
      </c>
      <c r="B622" t="s">
        <v>1027</v>
      </c>
      <c r="C622" s="1">
        <v>39990</v>
      </c>
      <c r="D622" s="1">
        <v>1644</v>
      </c>
      <c r="E622" s="2">
        <v>86</v>
      </c>
      <c r="F622" s="2" t="str" cm="1">
        <f t="array" ref="F622">_xlfn.IFS(AND(101&gt;E622, E622&gt;69), "Top-Tier", AND(70&gt;E622, E622&gt;39), "Mid-Tier", 40&gt;E622, "Low-Tier")</f>
        <v>Top-Tier</v>
      </c>
      <c r="G622" s="4">
        <v>44986</v>
      </c>
      <c r="H622" t="s">
        <v>1028</v>
      </c>
      <c r="I622" t="s">
        <v>33</v>
      </c>
      <c r="J622" t="s">
        <v>34</v>
      </c>
      <c r="K622" t="s">
        <v>149</v>
      </c>
      <c r="L622" t="s">
        <v>24</v>
      </c>
      <c r="M622" t="s">
        <v>428</v>
      </c>
      <c r="N622" t="s">
        <v>31</v>
      </c>
      <c r="P622" s="3">
        <v>75</v>
      </c>
      <c r="Q622" t="str">
        <f>LEFT(B622, 3)</f>
        <v>MSI</v>
      </c>
      <c r="R622" t="str">
        <f t="shared" si="59"/>
        <v>Intel Core i3 (10th Gen)</v>
      </c>
      <c r="S622" t="str">
        <f t="shared" si="57"/>
        <v>16 GB</v>
      </c>
    </row>
    <row r="623" spans="1:19">
      <c r="A623" t="str">
        <f>LEFT(B623, LEN(B623)-15)</f>
        <v>MSI Modern 14 C7M-063IN Laptop (AMD Hexa Core Ryzen 5/8 GB/512 GB SSD/Windows 11)</v>
      </c>
      <c r="B623" t="s">
        <v>1029</v>
      </c>
      <c r="C623" s="1">
        <v>36990</v>
      </c>
      <c r="D623" s="1">
        <v>1644</v>
      </c>
      <c r="E623" s="2">
        <v>86</v>
      </c>
      <c r="F623" s="2" t="str" cm="1">
        <f t="array" ref="F623">_xlfn.IFS(AND(101&gt;E623, E623&gt;69), "Top-Tier", AND(70&gt;E623, E623&gt;39), "Mid-Tier", 40&gt;E623, "Low-Tier")</f>
        <v>Top-Tier</v>
      </c>
      <c r="G623" s="4">
        <v>44986</v>
      </c>
      <c r="H623" t="s">
        <v>1028</v>
      </c>
      <c r="I623" t="s">
        <v>33</v>
      </c>
      <c r="J623" t="s">
        <v>50</v>
      </c>
      <c r="K623" t="s">
        <v>149</v>
      </c>
      <c r="L623" t="s">
        <v>24</v>
      </c>
      <c r="M623" t="s">
        <v>428</v>
      </c>
      <c r="N623" t="s">
        <v>31</v>
      </c>
      <c r="Q623" t="str">
        <f>LEFT(B623, 3)</f>
        <v>MSI</v>
      </c>
      <c r="R623" t="str">
        <f t="shared" si="59"/>
        <v>Intel Core i3 (10th Gen)</v>
      </c>
      <c r="S623" t="str">
        <f t="shared" si="57"/>
        <v xml:space="preserve">8 GB </v>
      </c>
    </row>
    <row r="624" spans="1:19">
      <c r="A624" t="str">
        <f>LEFT(B624, LEN(B624)-15)</f>
        <v>MSI Modern 14 C11M-031IN Laptop (Core i3 11th Gen/8 GB/512 GB SSD/Windows 11)</v>
      </c>
      <c r="B624" t="s">
        <v>1030</v>
      </c>
      <c r="C624" s="1">
        <v>47999</v>
      </c>
      <c r="D624" s="1">
        <v>2716</v>
      </c>
      <c r="E624" s="2">
        <v>86</v>
      </c>
      <c r="F624" s="2" t="str" cm="1">
        <f t="array" ref="F624">_xlfn.IFS(AND(101&gt;E624, E624&gt;69), "Top-Tier", AND(70&gt;E624, E624&gt;39), "Mid-Tier", 40&gt;E624, "Low-Tier")</f>
        <v>Top-Tier</v>
      </c>
      <c r="G624" s="4">
        <v>44986</v>
      </c>
      <c r="H624" t="s">
        <v>1028</v>
      </c>
      <c r="I624" t="s">
        <v>33</v>
      </c>
      <c r="J624" t="s">
        <v>50</v>
      </c>
      <c r="K624" t="s">
        <v>149</v>
      </c>
      <c r="L624" t="s">
        <v>24</v>
      </c>
      <c r="M624" t="s">
        <v>428</v>
      </c>
      <c r="N624" t="s">
        <v>31</v>
      </c>
      <c r="P624" s="3">
        <v>74</v>
      </c>
      <c r="Q624" t="str">
        <f>LEFT(B624, 3)</f>
        <v>MSI</v>
      </c>
      <c r="R624" t="str">
        <f t="shared" si="59"/>
        <v>Intel Core i3 (10th Gen)</v>
      </c>
      <c r="S624" t="str">
        <f t="shared" si="57"/>
        <v xml:space="preserve">8 GB </v>
      </c>
    </row>
    <row r="625" spans="1:19">
      <c r="A625" t="str">
        <f>LEFT(B625, LEN(B625)-15)</f>
        <v>Asus VivoBook Go E1404FA-NK322WS Laptop (AMD Quad Core Ryzen 3/8 GB/512 GB SSD/Windows 11)</v>
      </c>
      <c r="B625" t="s">
        <v>1031</v>
      </c>
      <c r="C625" s="1">
        <v>31990</v>
      </c>
      <c r="D625" s="1">
        <v>151</v>
      </c>
      <c r="E625" s="2">
        <v>86</v>
      </c>
      <c r="F625" s="2" t="str" cm="1">
        <f t="array" ref="F625">_xlfn.IFS(AND(101&gt;E625, E625&gt;69), "Top-Tier", AND(70&gt;E625, E625&gt;39), "Mid-Tier", 40&gt;E625, "Low-Tier")</f>
        <v>Top-Tier</v>
      </c>
      <c r="G625" s="4">
        <v>44986</v>
      </c>
      <c r="H625" t="s">
        <v>1028</v>
      </c>
      <c r="I625" t="s">
        <v>33</v>
      </c>
      <c r="J625" t="s">
        <v>162</v>
      </c>
      <c r="K625" t="s">
        <v>149</v>
      </c>
      <c r="L625" t="s">
        <v>24</v>
      </c>
      <c r="M625" t="s">
        <v>95</v>
      </c>
      <c r="N625" t="s">
        <v>31</v>
      </c>
      <c r="Q625" t="str">
        <f>LEFT(B625, 4)</f>
        <v>Asus</v>
      </c>
      <c r="R625" t="str">
        <f t="shared" si="59"/>
        <v>Intel Core i3 (10th Gen)</v>
      </c>
      <c r="S625" t="str">
        <f t="shared" si="57"/>
        <v xml:space="preserve">8 GB </v>
      </c>
    </row>
    <row r="626" spans="1:19">
      <c r="A626" t="str">
        <f>LEFT(B626, LEN(B626)-15)</f>
        <v>Asus VivoBook Go 15 E1504FA-NJ523WS Laptop (AMD Quad Core Ryzen 5/8 GB/512 GB SSD/Windows 11)</v>
      </c>
      <c r="B626" t="s">
        <v>1032</v>
      </c>
      <c r="C626" s="1">
        <v>37990</v>
      </c>
      <c r="D626" s="1">
        <v>1218</v>
      </c>
      <c r="E626" s="2">
        <v>86</v>
      </c>
      <c r="F626" s="2" t="str" cm="1">
        <f t="array" ref="F626">_xlfn.IFS(AND(101&gt;E626, E626&gt;69), "Top-Tier", AND(70&gt;E626, E626&gt;39), "Mid-Tier", 40&gt;E626, "Low-Tier")</f>
        <v>Top-Tier</v>
      </c>
      <c r="G626" s="4">
        <v>44986</v>
      </c>
      <c r="H626" t="s">
        <v>1033</v>
      </c>
      <c r="I626" t="s">
        <v>33</v>
      </c>
      <c r="J626" t="s">
        <v>162</v>
      </c>
      <c r="K626" t="s">
        <v>51</v>
      </c>
      <c r="L626" t="s">
        <v>24</v>
      </c>
      <c r="M626" t="s">
        <v>95</v>
      </c>
      <c r="Q626" t="str">
        <f>LEFT(B626, 4)</f>
        <v>Asus</v>
      </c>
      <c r="R626" t="str">
        <f t="shared" si="59"/>
        <v>Intel Core i3 (10th Gen)</v>
      </c>
      <c r="S626" t="str">
        <f t="shared" si="57"/>
        <v xml:space="preserve">8 GB </v>
      </c>
    </row>
    <row r="627" spans="1:19">
      <c r="A627" t="str">
        <f>LEFT(B627, LEN(B627)-15)</f>
        <v>HP 15s-eq2223AU (7W474PA) Laptop (AMD Hexa Core Ryzen 5/8 GB/512 GB SSD/Windows 11)</v>
      </c>
      <c r="B627" t="s">
        <v>1034</v>
      </c>
      <c r="C627" s="1">
        <v>39890</v>
      </c>
      <c r="D627" s="1">
        <v>3100</v>
      </c>
      <c r="E627" s="2">
        <v>86</v>
      </c>
      <c r="F627" s="2" t="str" cm="1">
        <f t="array" ref="F627">_xlfn.IFS(AND(101&gt;E627, E627&gt;69), "Top-Tier", AND(70&gt;E627, E627&gt;39), "Mid-Tier", 40&gt;E627, "Low-Tier")</f>
        <v>Top-Tier</v>
      </c>
      <c r="G627" s="4">
        <v>44986</v>
      </c>
      <c r="H627" t="s">
        <v>1035</v>
      </c>
      <c r="I627" t="s">
        <v>33</v>
      </c>
      <c r="J627" t="s">
        <v>50</v>
      </c>
      <c r="K627" t="s">
        <v>51</v>
      </c>
      <c r="L627" t="s">
        <v>24</v>
      </c>
      <c r="M627" t="s">
        <v>95</v>
      </c>
      <c r="N627" t="s">
        <v>31</v>
      </c>
      <c r="Q627" t="str">
        <f>LEFT(B627, 2)</f>
        <v>HP</v>
      </c>
      <c r="R627" t="str">
        <f t="shared" si="59"/>
        <v>Intel Core i3 (11th Gen)</v>
      </c>
      <c r="S627" t="str">
        <f t="shared" si="57"/>
        <v xml:space="preserve">8 GB </v>
      </c>
    </row>
    <row r="628" spans="1:19">
      <c r="A628" t="str">
        <f>LEFT(B628, LEN(B628)-15)</f>
        <v>MSI Modern 15 B7M-072IN Laptop (AMD Hexa Core Ryzen 5/16 GB/512 GB SSD/Windows 11)</v>
      </c>
      <c r="B628" t="s">
        <v>1036</v>
      </c>
      <c r="C628" s="1">
        <v>36990</v>
      </c>
      <c r="D628" s="1">
        <v>1650</v>
      </c>
      <c r="E628" s="2">
        <v>86</v>
      </c>
      <c r="F628" s="2" t="str" cm="1">
        <f t="array" ref="F628">_xlfn.IFS(AND(101&gt;E628, E628&gt;69), "Top-Tier", AND(70&gt;E628, E628&gt;39), "Mid-Tier", 40&gt;E628, "Low-Tier")</f>
        <v>Top-Tier</v>
      </c>
      <c r="G628" s="4">
        <v>44986</v>
      </c>
      <c r="H628" t="s">
        <v>1037</v>
      </c>
      <c r="I628" t="s">
        <v>33</v>
      </c>
      <c r="J628" t="s">
        <v>34</v>
      </c>
      <c r="K628" t="s">
        <v>51</v>
      </c>
      <c r="L628" t="s">
        <v>24</v>
      </c>
      <c r="M628" t="s">
        <v>135</v>
      </c>
      <c r="N628" t="s">
        <v>31</v>
      </c>
      <c r="Q628" t="str">
        <f>LEFT(B628, 3)</f>
        <v>MSI</v>
      </c>
      <c r="R628" t="str">
        <f t="shared" si="59"/>
        <v>Intel Core i3 (11th Gen)</v>
      </c>
      <c r="S628" t="str">
        <f t="shared" si="57"/>
        <v>16 GB</v>
      </c>
    </row>
    <row r="629" spans="1:19">
      <c r="A629" t="str">
        <f>LEFT(B629, LEN(B629)-15)</f>
        <v>Samsung Galaxy Book 3 NP750XFG-KB1IN Laptop (Core i5 13th Gen/8 GB/512 GB SSD/Windows 11)</v>
      </c>
      <c r="B629" t="s">
        <v>1038</v>
      </c>
      <c r="C629" s="1">
        <v>55194</v>
      </c>
      <c r="D629" s="1">
        <v>980</v>
      </c>
      <c r="E629" s="2">
        <v>86</v>
      </c>
      <c r="F629" s="2" t="str" cm="1">
        <f t="array" ref="F629">_xlfn.IFS(AND(101&gt;E629, E629&gt;69), "Top-Tier", AND(70&gt;E629, E629&gt;39), "Mid-Tier", 40&gt;E629, "Low-Tier")</f>
        <v>Top-Tier</v>
      </c>
      <c r="G629" s="4">
        <v>44986</v>
      </c>
      <c r="H629" t="s">
        <v>1039</v>
      </c>
      <c r="I629" t="s">
        <v>33</v>
      </c>
      <c r="J629" t="s">
        <v>494</v>
      </c>
      <c r="K629" t="s">
        <v>51</v>
      </c>
      <c r="L629" t="s">
        <v>24</v>
      </c>
      <c r="M629" t="s">
        <v>357</v>
      </c>
      <c r="N629" t="s">
        <v>31</v>
      </c>
      <c r="P629" s="3">
        <v>79</v>
      </c>
      <c r="Q629" t="str">
        <f>LEFT(B629, 7)</f>
        <v>Samsung</v>
      </c>
      <c r="R629" t="str">
        <f t="shared" si="59"/>
        <v>Intel Core i3 (11th Gen)</v>
      </c>
      <c r="S629" t="str">
        <f t="shared" si="57"/>
        <v xml:space="preserve">8 GB </v>
      </c>
    </row>
    <row r="630" spans="1:19">
      <c r="A630" t="str">
        <f>LEFT(B630, LEN(B630)-15)</f>
        <v>Asus VivoBook Pro 15 M6500QC-HN742WS Laptop (AMD Octa Core Ryzen 7/16 GB/512 GB SSD/Windows 11/4 GB)</v>
      </c>
      <c r="B630" t="s">
        <v>1040</v>
      </c>
      <c r="C630" s="1">
        <v>64800</v>
      </c>
      <c r="D630" s="1">
        <v>44</v>
      </c>
      <c r="E630" s="2">
        <v>86</v>
      </c>
      <c r="F630" s="2" t="str" cm="1">
        <f t="array" ref="F630">_xlfn.IFS(AND(101&gt;E630, E630&gt;69), "Top-Tier", AND(70&gt;E630, E630&gt;39), "Mid-Tier", 40&gt;E630, "Low-Tier")</f>
        <v>Top-Tier</v>
      </c>
      <c r="G630" s="4">
        <v>44958</v>
      </c>
      <c r="H630" t="s">
        <v>1039</v>
      </c>
      <c r="I630" t="s">
        <v>33</v>
      </c>
      <c r="J630" t="s">
        <v>34</v>
      </c>
      <c r="K630" t="s">
        <v>51</v>
      </c>
      <c r="L630" t="s">
        <v>24</v>
      </c>
      <c r="M630" t="s">
        <v>135</v>
      </c>
      <c r="N630" t="s">
        <v>31</v>
      </c>
      <c r="O630" t="s">
        <v>254</v>
      </c>
      <c r="P630" s="3">
        <v>80</v>
      </c>
      <c r="Q630" t="str">
        <f>LEFT(B630, 4)</f>
        <v>Asus</v>
      </c>
      <c r="R630" t="str">
        <f t="shared" si="59"/>
        <v>Intel Core i3 (11th Gen)</v>
      </c>
      <c r="S630" t="str">
        <f t="shared" si="57"/>
        <v>16 GB</v>
      </c>
    </row>
    <row r="631" spans="1:19">
      <c r="A631" t="str">
        <f>LEFT(B631, LEN(B631)-15)</f>
        <v>HP Victus 15-fb0106AX (7K4W8PA) Laptop (AMD Hexa Core Ryzen 5/16 GB/512 GB SSD/Windows 11/4 GB)</v>
      </c>
      <c r="B631" t="s">
        <v>1041</v>
      </c>
      <c r="C631" s="1">
        <v>60990</v>
      </c>
      <c r="D631" s="1">
        <v>460</v>
      </c>
      <c r="E631" s="2">
        <v>86</v>
      </c>
      <c r="F631" s="2" t="str" cm="1">
        <f t="array" ref="F631">_xlfn.IFS(AND(101&gt;E631, E631&gt;69), "Top-Tier", AND(70&gt;E631, E631&gt;39), "Mid-Tier", 40&gt;E631, "Low-Tier")</f>
        <v>Top-Tier</v>
      </c>
      <c r="G631" s="4">
        <v>44958</v>
      </c>
      <c r="H631" t="s">
        <v>1039</v>
      </c>
      <c r="I631" t="s">
        <v>33</v>
      </c>
      <c r="J631" t="s">
        <v>34</v>
      </c>
      <c r="K631" t="s">
        <v>51</v>
      </c>
      <c r="L631" t="s">
        <v>24</v>
      </c>
      <c r="N631" t="s">
        <v>31</v>
      </c>
      <c r="P631" s="3">
        <v>84</v>
      </c>
      <c r="Q631" t="str">
        <f>LEFT(B631, 2)</f>
        <v>HP</v>
      </c>
      <c r="R631" t="str">
        <f t="shared" si="59"/>
        <v>Intel Core i3 (11th Gen)</v>
      </c>
      <c r="S631" t="str">
        <f t="shared" si="57"/>
        <v>16 GB</v>
      </c>
    </row>
    <row r="632" spans="1:19">
      <c r="A632" t="str">
        <f>LEFT(B632, LEN(B632)-15)</f>
        <v>HP Victus 15-fb0107AX (7K4W9PA) Laptop (AMD Octa Core Ryzen 7/16 GB/512 GB SSD/Windows 11/4 GB)</v>
      </c>
      <c r="B632" t="s">
        <v>1042</v>
      </c>
      <c r="C632" s="1">
        <v>72990</v>
      </c>
      <c r="D632" s="1">
        <v>462</v>
      </c>
      <c r="E632" s="2">
        <v>86</v>
      </c>
      <c r="F632" s="2" t="str" cm="1">
        <f t="array" ref="F632">_xlfn.IFS(AND(101&gt;E632, E632&gt;69), "Top-Tier", AND(70&gt;E632, E632&gt;39), "Mid-Tier", 40&gt;E632, "Low-Tier")</f>
        <v>Top-Tier</v>
      </c>
      <c r="G632" s="4">
        <v>44958</v>
      </c>
      <c r="H632" t="s">
        <v>1039</v>
      </c>
      <c r="I632" t="s">
        <v>33</v>
      </c>
      <c r="J632" t="s">
        <v>34</v>
      </c>
      <c r="K632" t="s">
        <v>51</v>
      </c>
      <c r="L632" t="s">
        <v>24</v>
      </c>
      <c r="P632" s="3">
        <v>80</v>
      </c>
      <c r="Q632" t="str">
        <f>LEFT(B632, 2)</f>
        <v>HP</v>
      </c>
      <c r="R632" t="str">
        <f t="shared" si="59"/>
        <v>Intel Core i3 (11th Gen)</v>
      </c>
      <c r="S632" t="str">
        <f t="shared" si="57"/>
        <v>16 GB</v>
      </c>
    </row>
    <row r="633" spans="1:19">
      <c r="A633" t="str">
        <f>LEFT(B633, LEN(B633)-15)</f>
        <v>Lenovo ThinkBook 15 Gen 3 (21A4A08WIH) Laptop (AMD Quad Core Ryzen 3/8 GB/512 GB SSD/Windows 11)</v>
      </c>
      <c r="B633" t="s">
        <v>1043</v>
      </c>
      <c r="C633" s="1">
        <v>58500</v>
      </c>
      <c r="D633" s="1">
        <v>1072</v>
      </c>
      <c r="E633" s="2">
        <v>86</v>
      </c>
      <c r="F633" s="2" t="str" cm="1">
        <f t="array" ref="F633">_xlfn.IFS(AND(101&gt;E633, E633&gt;69), "Top-Tier", AND(70&gt;E633, E633&gt;39), "Mid-Tier", 40&gt;E633, "Low-Tier")</f>
        <v>Top-Tier</v>
      </c>
      <c r="G633" s="4">
        <v>44958</v>
      </c>
      <c r="H633" t="s">
        <v>1039</v>
      </c>
      <c r="I633" t="s">
        <v>33</v>
      </c>
      <c r="J633" t="s">
        <v>50</v>
      </c>
      <c r="K633" t="s">
        <v>51</v>
      </c>
      <c r="L633" t="s">
        <v>24</v>
      </c>
      <c r="M633" t="s">
        <v>135</v>
      </c>
      <c r="N633" t="s">
        <v>31</v>
      </c>
      <c r="Q633" t="str">
        <f>LEFT(B633, 6)</f>
        <v>Lenovo</v>
      </c>
      <c r="R633" t="str">
        <f t="shared" si="59"/>
        <v>Intel Core i3 (11th Gen)</v>
      </c>
      <c r="S633" t="str">
        <f t="shared" si="57"/>
        <v xml:space="preserve">8 GB </v>
      </c>
    </row>
    <row r="634" spans="1:19">
      <c r="A634" t="str">
        <f>LEFT(B634, LEN(B634)-15)</f>
        <v>Acer Nitro 5 AN515-45 (UN.QCLSI.009) Laptop (AMD Hexa Core Ryzen 5/16 GB/1 TB 512 GB SSD/Windows 11/4 GB)</v>
      </c>
      <c r="B634" t="s">
        <v>1044</v>
      </c>
      <c r="C634" s="1">
        <v>78286</v>
      </c>
      <c r="D634" s="1">
        <v>330</v>
      </c>
      <c r="E634" s="2">
        <v>86</v>
      </c>
      <c r="F634" s="2" t="str" cm="1">
        <f t="array" ref="F634">_xlfn.IFS(AND(101&gt;E634, E634&gt;69), "Top-Tier", AND(70&gt;E634, E634&gt;39), "Mid-Tier", 40&gt;E634, "Low-Tier")</f>
        <v>Top-Tier</v>
      </c>
      <c r="G634" s="4">
        <v>44958</v>
      </c>
      <c r="H634" t="s">
        <v>1039</v>
      </c>
      <c r="I634" t="s">
        <v>33</v>
      </c>
      <c r="J634" t="s">
        <v>315</v>
      </c>
      <c r="K634" t="s">
        <v>51</v>
      </c>
      <c r="L634" t="s">
        <v>24</v>
      </c>
      <c r="N634" t="s">
        <v>31</v>
      </c>
      <c r="P634" s="3">
        <v>79</v>
      </c>
      <c r="Q634" t="str">
        <f>LEFT(B634, 4)</f>
        <v>Acer</v>
      </c>
      <c r="R634" t="str">
        <f t="shared" si="59"/>
        <v>Intel Core i3 (11th Gen)</v>
      </c>
      <c r="S634" t="str">
        <f t="shared" si="57"/>
        <v>16 GB</v>
      </c>
    </row>
    <row r="635" spans="1:19">
      <c r="A635" t="str">
        <f>LEFT(B635, LEN(B635)-15)</f>
        <v>Asus VivoBook Go 15 OLED E1504FA-LK542WS Laptop (AMD Quad Core Ryzen 5/16 GB/512 GB SSD/Windows 11)</v>
      </c>
      <c r="B635" t="s">
        <v>1045</v>
      </c>
      <c r="C635" s="1">
        <v>46950</v>
      </c>
      <c r="D635" s="1">
        <v>136</v>
      </c>
      <c r="E635" s="2">
        <v>86</v>
      </c>
      <c r="F635" s="2" t="str" cm="1">
        <f t="array" ref="F635">_xlfn.IFS(AND(101&gt;E635, E635&gt;69), "Top-Tier", AND(70&gt;E635, E635&gt;39), "Mid-Tier", 40&gt;E635, "Low-Tier")</f>
        <v>Top-Tier</v>
      </c>
      <c r="G635" s="4">
        <v>44958</v>
      </c>
      <c r="H635" t="s">
        <v>1039</v>
      </c>
      <c r="I635" t="s">
        <v>33</v>
      </c>
      <c r="J635" t="s">
        <v>121</v>
      </c>
      <c r="K635" t="s">
        <v>215</v>
      </c>
      <c r="L635" t="s">
        <v>24</v>
      </c>
      <c r="M635" t="s">
        <v>95</v>
      </c>
      <c r="N635" t="s">
        <v>31</v>
      </c>
      <c r="P635" s="3">
        <v>73</v>
      </c>
      <c r="Q635" t="str">
        <f>LEFT(B635, 4)</f>
        <v>Asus</v>
      </c>
      <c r="R635" t="str">
        <f t="shared" si="59"/>
        <v>Intel Core i3 (11th Gen)</v>
      </c>
      <c r="S635" t="str">
        <f t="shared" ref="S635:S698" si="60">LEFT(J635, 5)</f>
        <v>16 GB</v>
      </c>
    </row>
    <row r="636" spans="1:19">
      <c r="A636" t="str">
        <f>LEFT(B636, LEN(B636)-15)</f>
        <v>MSI Raider GE78 HX 13VI-087IN Laptop (Core i9 13th Gen/64 GB/2 TB SSD/Windows 11/16 GB)</v>
      </c>
      <c r="B636" t="s">
        <v>1046</v>
      </c>
      <c r="C636" s="1">
        <v>364990</v>
      </c>
      <c r="D636" s="1">
        <v>6</v>
      </c>
      <c r="E636" s="2">
        <v>86</v>
      </c>
      <c r="F636" s="2" t="str" cm="1">
        <f t="array" ref="F636">_xlfn.IFS(AND(101&gt;E636, E636&gt;69), "Top-Tier", AND(70&gt;E636, E636&gt;39), "Mid-Tier", 40&gt;E636, "Low-Tier")</f>
        <v>Top-Tier</v>
      </c>
      <c r="G636" s="4">
        <v>44958</v>
      </c>
      <c r="H636" t="s">
        <v>1039</v>
      </c>
      <c r="I636" t="s">
        <v>33</v>
      </c>
      <c r="J636" t="s">
        <v>1047</v>
      </c>
      <c r="K636" t="s">
        <v>1048</v>
      </c>
      <c r="L636" t="s">
        <v>24</v>
      </c>
      <c r="N636" t="s">
        <v>31</v>
      </c>
      <c r="Q636" t="str">
        <f>LEFT(B636, 3)</f>
        <v>MSI</v>
      </c>
      <c r="R636" t="str">
        <f t="shared" si="59"/>
        <v>Intel Core i3 (11th Gen)</v>
      </c>
      <c r="S636" t="str">
        <f t="shared" si="60"/>
        <v>64 GB</v>
      </c>
    </row>
    <row r="637" spans="1:19">
      <c r="A637" t="str">
        <f>LEFT(B637, LEN(B637)-15)</f>
        <v>HP 14s-dq2649TU (7G6H0PA) Laptop (Core i3 11th Gen/8 GB/512 GB SSD/Windows 11)</v>
      </c>
      <c r="B637" t="s">
        <v>1049</v>
      </c>
      <c r="C637" s="1">
        <v>37999</v>
      </c>
      <c r="D637" s="1">
        <v>288</v>
      </c>
      <c r="E637" s="2">
        <v>86</v>
      </c>
      <c r="F637" s="2" t="str" cm="1">
        <f t="array" ref="F637">_xlfn.IFS(AND(101&gt;E637, E637&gt;69), "Top-Tier", AND(70&gt;E637, E637&gt;39), "Mid-Tier", 40&gt;E637, "Low-Tier")</f>
        <v>Top-Tier</v>
      </c>
      <c r="G637" s="4">
        <v>44927</v>
      </c>
      <c r="H637" t="s">
        <v>1039</v>
      </c>
      <c r="I637" t="s">
        <v>33</v>
      </c>
      <c r="J637" t="s">
        <v>50</v>
      </c>
      <c r="K637" t="s">
        <v>149</v>
      </c>
      <c r="L637" t="s">
        <v>24</v>
      </c>
      <c r="M637" t="s">
        <v>95</v>
      </c>
      <c r="N637" t="s">
        <v>31</v>
      </c>
      <c r="Q637" t="str">
        <f>LEFT(B637, 2)</f>
        <v>HP</v>
      </c>
      <c r="R637" t="str">
        <f t="shared" si="59"/>
        <v>Intel Core i3 (11th Gen)</v>
      </c>
      <c r="S637" t="str">
        <f t="shared" si="60"/>
        <v xml:space="preserve">8 GB </v>
      </c>
    </row>
    <row r="638" spans="1:19">
      <c r="A638" t="str">
        <f>LEFT(B638, LEN(B638)-15)</f>
        <v>Infinix INBook X2 Plus XL25 Laptop (Core i5 11th Gen/16 GB/512 GB SSD/Windows 11)</v>
      </c>
      <c r="B638" t="s">
        <v>1050</v>
      </c>
      <c r="C638" s="1">
        <v>59990</v>
      </c>
      <c r="D638" s="1">
        <v>399</v>
      </c>
      <c r="E638" s="2">
        <v>86</v>
      </c>
      <c r="F638" s="2" t="str" cm="1">
        <f t="array" ref="F638">_xlfn.IFS(AND(101&gt;E638, E638&gt;69), "Top-Tier", AND(70&gt;E638, E638&gt;39), "Mid-Tier", 40&gt;E638, "Low-Tier")</f>
        <v>Top-Tier</v>
      </c>
      <c r="G638" s="4">
        <v>44927</v>
      </c>
      <c r="H638" t="s">
        <v>1039</v>
      </c>
      <c r="I638" t="s">
        <v>33</v>
      </c>
      <c r="J638" t="s">
        <v>214</v>
      </c>
      <c r="K638" t="s">
        <v>51</v>
      </c>
      <c r="L638" t="s">
        <v>24</v>
      </c>
      <c r="N638" t="s">
        <v>31</v>
      </c>
      <c r="O638" t="s">
        <v>261</v>
      </c>
      <c r="Q638" t="str">
        <f>LEFT(B638, 7)</f>
        <v>Infinix</v>
      </c>
      <c r="R638" t="str">
        <f t="shared" si="59"/>
        <v>Intel Core i3 (11th Gen)</v>
      </c>
      <c r="S638" t="str">
        <f t="shared" si="60"/>
        <v>16 GB</v>
      </c>
    </row>
    <row r="639" spans="1:19">
      <c r="A639" t="str">
        <f>LEFT(B639, LEN(B639)-15)</f>
        <v>HP Envy x360 Intel Evo 13-bf0121TU (7H5D3PA) Laptop (Core i5 12th Gen/16 GB/512 GB SSD/Windows 11)</v>
      </c>
      <c r="B639" t="s">
        <v>1051</v>
      </c>
      <c r="C639" s="1">
        <v>87100</v>
      </c>
      <c r="D639" s="1">
        <v>194</v>
      </c>
      <c r="E639" s="2">
        <v>86</v>
      </c>
      <c r="F639" s="2" t="str" cm="1">
        <f t="array" ref="F639">_xlfn.IFS(AND(101&gt;E639, E639&gt;69), "Top-Tier", AND(70&gt;E639, E639&gt;39), "Mid-Tier", 40&gt;E639, "Low-Tier")</f>
        <v>Top-Tier</v>
      </c>
      <c r="G639" s="4">
        <v>44927</v>
      </c>
      <c r="H639" t="s">
        <v>1039</v>
      </c>
      <c r="I639" t="s">
        <v>33</v>
      </c>
      <c r="J639" t="s">
        <v>214</v>
      </c>
      <c r="K639" t="s">
        <v>296</v>
      </c>
      <c r="L639" t="s">
        <v>24</v>
      </c>
      <c r="P639" s="3">
        <v>73</v>
      </c>
      <c r="Q639" t="str">
        <f>LEFT(B639, 2)</f>
        <v>HP</v>
      </c>
      <c r="R639" t="str">
        <f t="shared" si="59"/>
        <v>Intel Core i3 (11th Gen)</v>
      </c>
      <c r="S639" t="str">
        <f t="shared" si="60"/>
        <v>16 GB</v>
      </c>
    </row>
    <row r="640" spans="1:19">
      <c r="A640" t="str">
        <f>LEFT(B640, LEN(B640)-15)</f>
        <v>HP Pavilion 14-ec1005AU (67U19PA) Laptop (AMD Hexa Core Ryzen 5/16 GB/512 GB SSD/Windows 11)</v>
      </c>
      <c r="B640" t="s">
        <v>1052</v>
      </c>
      <c r="C640" s="1">
        <v>52750</v>
      </c>
      <c r="D640" s="1">
        <v>1554</v>
      </c>
      <c r="E640" s="2">
        <v>86</v>
      </c>
      <c r="F640" s="2" t="str" cm="1">
        <f t="array" ref="F640">_xlfn.IFS(AND(101&gt;E640, E640&gt;69), "Top-Tier", AND(70&gt;E640, E640&gt;39), "Mid-Tier", 40&gt;E640, "Low-Tier")</f>
        <v>Top-Tier</v>
      </c>
      <c r="G640" s="4">
        <v>44927</v>
      </c>
      <c r="H640" t="s">
        <v>1039</v>
      </c>
      <c r="I640" t="s">
        <v>33</v>
      </c>
      <c r="J640" t="s">
        <v>34</v>
      </c>
      <c r="K640" t="s">
        <v>149</v>
      </c>
      <c r="L640" t="s">
        <v>24</v>
      </c>
      <c r="M640" t="s">
        <v>203</v>
      </c>
      <c r="N640" t="s">
        <v>31</v>
      </c>
      <c r="P640" s="3">
        <v>71</v>
      </c>
      <c r="Q640" t="str">
        <f>LEFT(B640, 2)</f>
        <v>HP</v>
      </c>
      <c r="R640" t="str">
        <f t="shared" si="59"/>
        <v>Intel Core i3 (11th Gen)</v>
      </c>
      <c r="S640" t="str">
        <f t="shared" si="60"/>
        <v>16 GB</v>
      </c>
    </row>
    <row r="641" spans="1:19">
      <c r="A641" t="str">
        <f>LEFT(B641, LEN(B641)-15)</f>
        <v>HP 15s-fr4000TU (7J3Z2PA) Laptop (Core i5 11th Gen/8 GB/512 GB SSD/Windows 11)</v>
      </c>
      <c r="B641" t="s">
        <v>1053</v>
      </c>
      <c r="C641" s="1">
        <v>46900</v>
      </c>
      <c r="D641" s="1">
        <v>3938</v>
      </c>
      <c r="E641" s="2">
        <v>86</v>
      </c>
      <c r="F641" s="2" t="str" cm="1">
        <f t="array" ref="F641">_xlfn.IFS(AND(101&gt;E641, E641&gt;69), "Top-Tier", AND(70&gt;E641, E641&gt;39), "Mid-Tier", 40&gt;E641, "Low-Tier")</f>
        <v>Top-Tier</v>
      </c>
      <c r="G641" s="4">
        <v>44927</v>
      </c>
      <c r="H641" t="s">
        <v>1054</v>
      </c>
      <c r="I641" t="s">
        <v>33</v>
      </c>
      <c r="J641" t="s">
        <v>50</v>
      </c>
      <c r="K641" t="s">
        <v>51</v>
      </c>
      <c r="L641" t="s">
        <v>24</v>
      </c>
      <c r="M641" t="s">
        <v>95</v>
      </c>
      <c r="N641" t="s">
        <v>31</v>
      </c>
      <c r="P641" s="3">
        <v>73</v>
      </c>
      <c r="Q641" t="str">
        <f>LEFT(B641, 2)</f>
        <v>HP</v>
      </c>
      <c r="R641" t="str">
        <f t="shared" si="59"/>
        <v>Intel Core i3 (11th Gen)</v>
      </c>
      <c r="S641" t="str">
        <f t="shared" si="60"/>
        <v xml:space="preserve">8 GB </v>
      </c>
    </row>
    <row r="642" spans="1:19">
      <c r="A642" t="str">
        <f>LEFT(B642, LEN(B642)-15)</f>
        <v>Gigabyte G5 GE-51IN213SH (RC55GE) Laptop (Core i5 12th Gen/8 GB/512 GB SSD/Windows 11/4 GB)</v>
      </c>
      <c r="B642" t="s">
        <v>1055</v>
      </c>
      <c r="C642" s="1">
        <v>66068</v>
      </c>
      <c r="D642" s="1">
        <v>39</v>
      </c>
      <c r="E642" s="2">
        <v>86</v>
      </c>
      <c r="F642" s="2" t="str" cm="1">
        <f t="array" ref="F642">_xlfn.IFS(AND(101&gt;E642, E642&gt;69), "Top-Tier", AND(70&gt;E642, E642&gt;39), "Mid-Tier", 40&gt;E642, "Low-Tier")</f>
        <v>Top-Tier</v>
      </c>
      <c r="G642" s="4">
        <v>44896</v>
      </c>
      <c r="H642" t="s">
        <v>1054</v>
      </c>
      <c r="I642" t="s">
        <v>33</v>
      </c>
      <c r="J642" t="s">
        <v>50</v>
      </c>
      <c r="K642" t="s">
        <v>159</v>
      </c>
      <c r="L642" t="s">
        <v>24</v>
      </c>
      <c r="N642" t="s">
        <v>31</v>
      </c>
      <c r="P642" s="3">
        <v>80</v>
      </c>
      <c r="Q642" t="str">
        <f>LEFT(B642, 8)</f>
        <v>Gigabyte</v>
      </c>
      <c r="R642" t="str">
        <f t="shared" si="59"/>
        <v>Intel Core i3 (11th Gen)</v>
      </c>
      <c r="S642" t="str">
        <f t="shared" si="60"/>
        <v xml:space="preserve">8 GB </v>
      </c>
    </row>
    <row r="643" spans="1:19">
      <c r="A643" t="str">
        <f>LEFT(B643, LEN(B643)-15)</f>
        <v>HP Victus 15-fb0121AX (81H55PA) Laptop (AMD Hexa Core Ryzen 5/8 GB/512 GB SSD/Windows 11/4 GB)</v>
      </c>
      <c r="B643" t="s">
        <v>1056</v>
      </c>
      <c r="C643" s="1">
        <v>61012</v>
      </c>
      <c r="D643" s="1">
        <v>154</v>
      </c>
      <c r="E643" s="2">
        <v>86</v>
      </c>
      <c r="F643" s="2" t="str" cm="1">
        <f t="array" ref="F643">_xlfn.IFS(AND(101&gt;E643, E643&gt;69), "Top-Tier", AND(70&gt;E643, E643&gt;39), "Mid-Tier", 40&gt;E643, "Low-Tier")</f>
        <v>Top-Tier</v>
      </c>
      <c r="G643" s="4">
        <v>44896</v>
      </c>
      <c r="H643" t="s">
        <v>1057</v>
      </c>
      <c r="I643" t="s">
        <v>33</v>
      </c>
      <c r="J643" t="s">
        <v>50</v>
      </c>
      <c r="K643" t="s">
        <v>51</v>
      </c>
      <c r="L643" t="s">
        <v>24</v>
      </c>
      <c r="N643" t="s">
        <v>31</v>
      </c>
      <c r="P643" s="3">
        <v>77</v>
      </c>
      <c r="Q643" t="str">
        <f>LEFT(B643, 2)</f>
        <v>HP</v>
      </c>
      <c r="R643" t="str">
        <f t="shared" si="59"/>
        <v>Intel Core i3 (11th Gen)</v>
      </c>
      <c r="S643" t="str">
        <f t="shared" si="60"/>
        <v xml:space="preserve">8 GB </v>
      </c>
    </row>
    <row r="644" spans="1:19">
      <c r="A644" t="str">
        <f>LEFT(B644, LEN(B644)-15)</f>
        <v>Lenovo Ideapad Slim 3 (82H802XVIN) Laptop (Core i3 11th Gen/8 GB/256 GB SSD/Windows 11)</v>
      </c>
      <c r="B644" t="s">
        <v>1058</v>
      </c>
      <c r="C644" s="1">
        <v>38999</v>
      </c>
      <c r="D644" s="1">
        <v>19</v>
      </c>
      <c r="E644" s="2">
        <v>86</v>
      </c>
      <c r="F644" s="2" t="str" cm="1">
        <f t="array" ref="F644">_xlfn.IFS(AND(101&gt;E644, E644&gt;69), "Top-Tier", AND(70&gt;E644, E644&gt;39), "Mid-Tier", 40&gt;E644, "Low-Tier")</f>
        <v>Top-Tier</v>
      </c>
      <c r="G644" s="4">
        <v>44866</v>
      </c>
      <c r="H644" t="s">
        <v>1059</v>
      </c>
      <c r="I644" t="s">
        <v>33</v>
      </c>
      <c r="J644" t="s">
        <v>338</v>
      </c>
      <c r="K644" t="s">
        <v>51</v>
      </c>
      <c r="L644" t="s">
        <v>24</v>
      </c>
      <c r="M644" t="s">
        <v>253</v>
      </c>
      <c r="N644" t="s">
        <v>31</v>
      </c>
      <c r="Q644" t="str">
        <f>LEFT(B644, 6)</f>
        <v>Lenovo</v>
      </c>
      <c r="R644" t="str">
        <f t="shared" si="59"/>
        <v>Intel Core i3 (11th Gen)</v>
      </c>
      <c r="S644" t="str">
        <f t="shared" si="60"/>
        <v xml:space="preserve">8 GB </v>
      </c>
    </row>
    <row r="645" spans="1:19">
      <c r="A645" t="str">
        <f>LEFT(B645, LEN(B645)-15)</f>
        <v>HP 15s-eq2212AU (7G6H1PA) Laptop (AMD Quad Core Ryzen 3/8 GB/512 GB SSD/Windows 11)</v>
      </c>
      <c r="B645" t="s">
        <v>1060</v>
      </c>
      <c r="C645" s="1">
        <v>31499</v>
      </c>
      <c r="D645" s="1">
        <v>3987</v>
      </c>
      <c r="E645" s="2">
        <v>86</v>
      </c>
      <c r="F645" s="2" t="str" cm="1">
        <f t="array" ref="F645">_xlfn.IFS(AND(101&gt;E645, E645&gt;69), "Top-Tier", AND(70&gt;E645, E645&gt;39), "Mid-Tier", 40&gt;E645, "Low-Tier")</f>
        <v>Top-Tier</v>
      </c>
      <c r="G645" s="4">
        <v>44866</v>
      </c>
      <c r="H645" t="s">
        <v>1059</v>
      </c>
      <c r="I645" t="s">
        <v>33</v>
      </c>
      <c r="J645" t="s">
        <v>50</v>
      </c>
      <c r="K645" t="s">
        <v>51</v>
      </c>
      <c r="L645" t="s">
        <v>24</v>
      </c>
      <c r="M645" t="s">
        <v>95</v>
      </c>
      <c r="N645" t="s">
        <v>31</v>
      </c>
      <c r="P645" s="3">
        <v>72</v>
      </c>
      <c r="Q645" t="str">
        <f>LEFT(B645, 2)</f>
        <v>HP</v>
      </c>
      <c r="R645" t="str">
        <f t="shared" si="59"/>
        <v>Intel Core i3 (11th Gen)</v>
      </c>
      <c r="S645" t="str">
        <f t="shared" si="60"/>
        <v xml:space="preserve">8 GB </v>
      </c>
    </row>
    <row r="646" spans="1:19">
      <c r="A646" t="str">
        <f>LEFT(B646, LEN(B646)-15)</f>
        <v>Lenovo Ideapad 5 Pro 14ITL6 (82L3009LIN) Laptop (Core i5 11th Gen/16 GB/512 GB SSD/Windows 10)</v>
      </c>
      <c r="B646" t="s">
        <v>1061</v>
      </c>
      <c r="C646" s="1">
        <v>104890</v>
      </c>
      <c r="D646" s="1">
        <v>158</v>
      </c>
      <c r="E646" s="2">
        <v>86</v>
      </c>
      <c r="F646" s="2" t="str" cm="1">
        <f t="array" ref="F646">_xlfn.IFS(AND(101&gt;E646, E646&gt;69), "Top-Tier", AND(70&gt;E646, E646&gt;39), "Mid-Tier", 40&gt;E646, "Low-Tier")</f>
        <v>Top-Tier</v>
      </c>
      <c r="G646" s="4">
        <v>44866</v>
      </c>
      <c r="H646" t="s">
        <v>1059</v>
      </c>
      <c r="I646" t="s">
        <v>248</v>
      </c>
      <c r="J646" t="s">
        <v>34</v>
      </c>
      <c r="K646" t="s">
        <v>1062</v>
      </c>
      <c r="L646" t="s">
        <v>24</v>
      </c>
      <c r="M646" t="s">
        <v>44</v>
      </c>
      <c r="N646" t="s">
        <v>31</v>
      </c>
      <c r="O646" t="s">
        <v>261</v>
      </c>
      <c r="P646" s="3">
        <v>72</v>
      </c>
      <c r="Q646" t="str">
        <f>LEFT(B646, 6)</f>
        <v>Lenovo</v>
      </c>
      <c r="R646" t="str">
        <f t="shared" si="59"/>
        <v>Intel Core i3 (11th Gen)</v>
      </c>
      <c r="S646" t="str">
        <f t="shared" si="60"/>
        <v>16 GB</v>
      </c>
    </row>
    <row r="647" spans="1:19">
      <c r="A647" t="str">
        <f>LEFT(B647, LEN(B647)-15)</f>
        <v>Dell Inspiron 15 3501 (D560437WIN9SE) Laptop (Core i5 11th Gen/4 GB/1 TB 256 GB SSD/Windows 10)</v>
      </c>
      <c r="B647" t="s">
        <v>1063</v>
      </c>
      <c r="C647" s="1">
        <v>56490</v>
      </c>
      <c r="D647" s="1">
        <v>201</v>
      </c>
      <c r="E647" s="2">
        <v>86</v>
      </c>
      <c r="F647" s="2" t="str" cm="1">
        <f t="array" ref="F647">_xlfn.IFS(AND(101&gt;E647, E647&gt;69), "Top-Tier", AND(70&gt;E647, E647&gt;39), "Mid-Tier", 40&gt;E647, "Low-Tier")</f>
        <v>Top-Tier</v>
      </c>
      <c r="G647" s="4">
        <v>44866</v>
      </c>
      <c r="H647" t="s">
        <v>1059</v>
      </c>
      <c r="I647" t="s">
        <v>248</v>
      </c>
      <c r="J647" t="s">
        <v>542</v>
      </c>
      <c r="K647" t="s">
        <v>249</v>
      </c>
      <c r="L647" t="s">
        <v>24</v>
      </c>
      <c r="M647" t="s">
        <v>253</v>
      </c>
      <c r="N647" t="s">
        <v>31</v>
      </c>
      <c r="Q647" t="str">
        <f>LEFT(B647, 4)</f>
        <v>Dell</v>
      </c>
      <c r="R647" t="str">
        <f t="shared" si="59"/>
        <v>Intel Core i3 (11th Gen)</v>
      </c>
      <c r="S647" t="str">
        <f t="shared" si="60"/>
        <v xml:space="preserve">4 GB </v>
      </c>
    </row>
    <row r="648" spans="1:19">
      <c r="A648" t="str">
        <f>LEFT(B648, LEN(B648)-15)</f>
        <v>HP Pavilion 14-ec0035AU (4X7E1PA) Laptop (AMD Hexa Core Ryzen 5/8 GB/512 GB SSD/Windows 10)</v>
      </c>
      <c r="B648" t="s">
        <v>1064</v>
      </c>
      <c r="C648" s="1">
        <v>49990</v>
      </c>
      <c r="D648" s="1">
        <v>1129</v>
      </c>
      <c r="E648" s="2">
        <v>86</v>
      </c>
      <c r="F648" s="2" t="str" cm="1">
        <f t="array" ref="F648">_xlfn.IFS(AND(101&gt;E648, E648&gt;69), "Top-Tier", AND(70&gt;E648, E648&gt;39), "Mid-Tier", 40&gt;E648, "Low-Tier")</f>
        <v>Top-Tier</v>
      </c>
      <c r="G648" s="4">
        <v>44866</v>
      </c>
      <c r="H648" t="s">
        <v>1059</v>
      </c>
      <c r="I648" t="s">
        <v>248</v>
      </c>
      <c r="J648" t="s">
        <v>50</v>
      </c>
      <c r="K648" t="s">
        <v>149</v>
      </c>
      <c r="L648" t="s">
        <v>24</v>
      </c>
      <c r="M648" t="s">
        <v>203</v>
      </c>
      <c r="N648" t="s">
        <v>31</v>
      </c>
      <c r="Q648" t="str">
        <f>LEFT(B648, 2)</f>
        <v>HP</v>
      </c>
      <c r="R648" t="str">
        <f t="shared" si="59"/>
        <v>Intel Core i3 (11th Gen)</v>
      </c>
      <c r="S648" t="str">
        <f t="shared" si="60"/>
        <v xml:space="preserve">8 GB </v>
      </c>
    </row>
    <row r="649" spans="1:19">
      <c r="A649" t="str">
        <f>LEFT(B649, LEN(B649)-15)</f>
        <v>Dell Inspiron 14 5410 (D560594WIN9S) Laptop (Core i5 11th Gen/8 GB/512 GB SSD/Windows 10)</v>
      </c>
      <c r="B649" t="s">
        <v>1065</v>
      </c>
      <c r="C649" s="1">
        <v>71590</v>
      </c>
      <c r="D649" s="1">
        <v>256</v>
      </c>
      <c r="E649" s="2">
        <v>86</v>
      </c>
      <c r="F649" s="2" t="str" cm="1">
        <f t="array" ref="F649">_xlfn.IFS(AND(101&gt;E649, E649&gt;69), "Top-Tier", AND(70&gt;E649, E649&gt;39), "Mid-Tier", 40&gt;E649, "Low-Tier")</f>
        <v>Top-Tier</v>
      </c>
      <c r="G649" s="4">
        <v>44866</v>
      </c>
      <c r="H649" t="s">
        <v>1059</v>
      </c>
      <c r="I649" t="s">
        <v>248</v>
      </c>
      <c r="J649" t="s">
        <v>50</v>
      </c>
      <c r="K649" t="s">
        <v>439</v>
      </c>
      <c r="L649" t="s">
        <v>24</v>
      </c>
      <c r="M649" t="s">
        <v>36</v>
      </c>
      <c r="N649" t="s">
        <v>31</v>
      </c>
      <c r="P649" s="3">
        <v>73</v>
      </c>
      <c r="Q649" t="str">
        <f>LEFT(B649, 4)</f>
        <v>Dell</v>
      </c>
      <c r="R649" t="str">
        <f t="shared" si="59"/>
        <v>Intel Core i3 (11th Gen)</v>
      </c>
      <c r="S649" t="str">
        <f t="shared" si="60"/>
        <v xml:space="preserve">8 GB </v>
      </c>
    </row>
    <row r="650" spans="1:19">
      <c r="A650" t="str">
        <f>LEFT(B650, LEN(B650)-15)</f>
        <v>Asus Vivobook K15 OLED KM513UA-L713WS Laptop (AMD Octa Core Ryzen 7/16 GB/512 GB SSD/Windows 11)</v>
      </c>
      <c r="B650" t="s">
        <v>1066</v>
      </c>
      <c r="C650" s="1">
        <v>52990</v>
      </c>
      <c r="D650" s="1">
        <v>1682</v>
      </c>
      <c r="E650" s="2">
        <v>86</v>
      </c>
      <c r="F650" s="2" t="str" cm="1">
        <f t="array" ref="F650">_xlfn.IFS(AND(101&gt;E650, E650&gt;69), "Top-Tier", AND(70&gt;E650, E650&gt;39), "Mid-Tier", 40&gt;E650, "Low-Tier")</f>
        <v>Top-Tier</v>
      </c>
      <c r="G650" s="4">
        <v>44866</v>
      </c>
      <c r="H650" t="s">
        <v>1059</v>
      </c>
      <c r="I650" t="s">
        <v>33</v>
      </c>
      <c r="J650" t="s">
        <v>34</v>
      </c>
      <c r="K650" t="s">
        <v>159</v>
      </c>
      <c r="L650" t="s">
        <v>24</v>
      </c>
      <c r="M650" t="s">
        <v>99</v>
      </c>
      <c r="N650" t="s">
        <v>31</v>
      </c>
      <c r="Q650" t="str">
        <f>LEFT(B650, 4)</f>
        <v>Asus</v>
      </c>
      <c r="R650" t="str">
        <f t="shared" si="59"/>
        <v>Intel Core i3 (11th Gen)</v>
      </c>
      <c r="S650" t="str">
        <f t="shared" si="60"/>
        <v>16 GB</v>
      </c>
    </row>
    <row r="651" spans="1:19">
      <c r="A651" t="str">
        <f>LEFT(B651, LEN(B651)-15)</f>
        <v>Gigabyte G5 KD-52IN123SE (RC45KD) Laptop (Core i5 11th Gen/16 GB/512 GB SSD/Windows 11/6 GB)</v>
      </c>
      <c r="B651" t="s">
        <v>1067</v>
      </c>
      <c r="C651" s="1">
        <v>89990</v>
      </c>
      <c r="D651" s="1">
        <v>18</v>
      </c>
      <c r="E651" s="2">
        <v>86</v>
      </c>
      <c r="F651" s="2" t="str" cm="1">
        <f t="array" ref="F651">_xlfn.IFS(AND(101&gt;E651, E651&gt;69), "Top-Tier", AND(70&gt;E651, E651&gt;39), "Mid-Tier", 40&gt;E651, "Low-Tier")</f>
        <v>Top-Tier</v>
      </c>
      <c r="G651" s="4">
        <v>44835</v>
      </c>
      <c r="H651" t="s">
        <v>1059</v>
      </c>
      <c r="I651" t="s">
        <v>33</v>
      </c>
      <c r="J651" t="s">
        <v>34</v>
      </c>
      <c r="K651" t="s">
        <v>51</v>
      </c>
      <c r="L651" t="s">
        <v>24</v>
      </c>
      <c r="N651" t="s">
        <v>31</v>
      </c>
      <c r="P651" s="3">
        <v>80</v>
      </c>
      <c r="Q651" t="str">
        <f>LEFT(B651, 8)</f>
        <v>Gigabyte</v>
      </c>
      <c r="R651" t="str">
        <f t="shared" si="59"/>
        <v>Intel Core i3 (11th Gen)</v>
      </c>
      <c r="S651" t="str">
        <f t="shared" si="60"/>
        <v>16 GB</v>
      </c>
    </row>
    <row r="652" spans="1:19">
      <c r="A652" t="str">
        <f>LEFT(B652, LEN(B652)-15)</f>
        <v>Asus VivoBook 14 X1402ZA-MW511WS Laptop (Core i5 12th Gen/16 GB/512 GB SSD/Windows 11)</v>
      </c>
      <c r="B652" t="s">
        <v>1068</v>
      </c>
      <c r="C652" s="1">
        <v>61999</v>
      </c>
      <c r="D652" s="1">
        <v>83</v>
      </c>
      <c r="E652" s="2">
        <v>86</v>
      </c>
      <c r="F652" s="2" t="str" cm="1">
        <f t="array" ref="F652">_xlfn.IFS(AND(101&gt;E652, E652&gt;69), "Top-Tier", AND(70&gt;E652, E652&gt;39), "Mid-Tier", 40&gt;E652, "Low-Tier")</f>
        <v>Top-Tier</v>
      </c>
      <c r="G652" s="4">
        <v>44805</v>
      </c>
      <c r="H652" t="s">
        <v>1059</v>
      </c>
      <c r="I652" t="s">
        <v>33</v>
      </c>
      <c r="J652" t="s">
        <v>34</v>
      </c>
      <c r="K652" t="s">
        <v>149</v>
      </c>
      <c r="L652" t="s">
        <v>24</v>
      </c>
      <c r="M652" t="s">
        <v>52</v>
      </c>
      <c r="N652" t="s">
        <v>31</v>
      </c>
      <c r="P652" s="3">
        <v>76</v>
      </c>
      <c r="Q652" t="str">
        <f>LEFT(B652, 4)</f>
        <v>Asus</v>
      </c>
      <c r="R652" t="str">
        <f t="shared" si="59"/>
        <v>Intel Core i3 (11th Gen)</v>
      </c>
      <c r="S652" t="str">
        <f t="shared" si="60"/>
        <v>16 GB</v>
      </c>
    </row>
    <row r="653" spans="1:19">
      <c r="A653" t="str">
        <f>LEFT(B653, LEN(B653)-15)</f>
        <v>Asus VivoBook 14 X1402ZA-EK521WS Laptop (Core i5 12th Gen/8 GB/512 GB SSD/Windows 11)</v>
      </c>
      <c r="B653" t="s">
        <v>1069</v>
      </c>
      <c r="C653" s="1">
        <v>70990</v>
      </c>
      <c r="D653" s="1">
        <v>278</v>
      </c>
      <c r="E653" s="2">
        <v>86</v>
      </c>
      <c r="F653" s="2" t="str" cm="1">
        <f t="array" ref="F653">_xlfn.IFS(AND(101&gt;E653, E653&gt;69), "Top-Tier", AND(70&gt;E653, E653&gt;39), "Mid-Tier", 40&gt;E653, "Low-Tier")</f>
        <v>Top-Tier</v>
      </c>
      <c r="G653" s="4">
        <v>44805</v>
      </c>
      <c r="H653" t="s">
        <v>1059</v>
      </c>
      <c r="I653" t="s">
        <v>33</v>
      </c>
      <c r="J653" t="s">
        <v>50</v>
      </c>
      <c r="K653" t="s">
        <v>149</v>
      </c>
      <c r="L653" t="s">
        <v>24</v>
      </c>
      <c r="M653" t="s">
        <v>52</v>
      </c>
      <c r="N653" t="s">
        <v>31</v>
      </c>
      <c r="P653" s="3">
        <v>74</v>
      </c>
      <c r="Q653" t="str">
        <f>LEFT(B653, 4)</f>
        <v>Asus</v>
      </c>
      <c r="R653" t="str">
        <f t="shared" si="59"/>
        <v>Intel Core i3 (11th Gen)</v>
      </c>
      <c r="S653" t="str">
        <f t="shared" si="60"/>
        <v xml:space="preserve">8 GB </v>
      </c>
    </row>
    <row r="654" spans="1:19">
      <c r="A654" t="str">
        <f>LEFT(B654, LEN(B654)-15)</f>
        <v>Asus VivoBook 14 X1402ZA-MW512WS Laptop (Core i5 12th Gen/16 GB/512 GB SSD/Windows 11)</v>
      </c>
      <c r="B654" t="s">
        <v>1070</v>
      </c>
      <c r="C654" s="1">
        <v>61999</v>
      </c>
      <c r="D654" s="1">
        <v>83</v>
      </c>
      <c r="E654" s="2">
        <v>86</v>
      </c>
      <c r="F654" s="2" t="str" cm="1">
        <f t="array" ref="F654">_xlfn.IFS(AND(101&gt;E654, E654&gt;69), "Top-Tier", AND(70&gt;E654, E654&gt;39), "Mid-Tier", 40&gt;E654, "Low-Tier")</f>
        <v>Top-Tier</v>
      </c>
      <c r="G654" s="4">
        <v>44805</v>
      </c>
      <c r="H654" t="s">
        <v>1059</v>
      </c>
      <c r="I654" t="s">
        <v>33</v>
      </c>
      <c r="J654" t="s">
        <v>34</v>
      </c>
      <c r="K654" t="s">
        <v>149</v>
      </c>
      <c r="L654" t="s">
        <v>24</v>
      </c>
      <c r="M654" t="s">
        <v>52</v>
      </c>
      <c r="N654" t="s">
        <v>31</v>
      </c>
      <c r="P654" s="3">
        <v>76</v>
      </c>
      <c r="Q654" t="str">
        <f>LEFT(B654, 4)</f>
        <v>Asus</v>
      </c>
      <c r="R654" t="str">
        <f t="shared" si="59"/>
        <v>Intel Core i3 (11th Gen)</v>
      </c>
      <c r="S654" t="str">
        <f t="shared" si="60"/>
        <v>16 GB</v>
      </c>
    </row>
    <row r="655" spans="1:19">
      <c r="A655" t="str">
        <f>LEFT(B655, LEN(B655)-15)</f>
        <v>Acer Nitro 5 AN515-45 (NH.QCLSI.004) Laptop (AMD Hexa Core Ryzen 5/8 GB/512 GB SSD/Windows 11/4 GB)</v>
      </c>
      <c r="B655" t="s">
        <v>1071</v>
      </c>
      <c r="C655" s="1">
        <v>54500</v>
      </c>
      <c r="D655" s="1">
        <v>330</v>
      </c>
      <c r="E655" s="2">
        <v>86</v>
      </c>
      <c r="F655" s="2" t="str" cm="1">
        <f t="array" ref="F655">_xlfn.IFS(AND(101&gt;E655, E655&gt;69), "Top-Tier", AND(70&gt;E655, E655&gt;39), "Mid-Tier", 40&gt;E655, "Low-Tier")</f>
        <v>Top-Tier</v>
      </c>
      <c r="G655" s="4">
        <v>44805</v>
      </c>
      <c r="H655" t="s">
        <v>1059</v>
      </c>
      <c r="I655" t="s">
        <v>33</v>
      </c>
      <c r="J655" t="s">
        <v>50</v>
      </c>
      <c r="K655" t="s">
        <v>51</v>
      </c>
      <c r="L655" t="s">
        <v>24</v>
      </c>
      <c r="N655" t="s">
        <v>31</v>
      </c>
      <c r="P655" s="3">
        <v>78</v>
      </c>
      <c r="Q655" t="str">
        <f>LEFT(B655, 4)</f>
        <v>Acer</v>
      </c>
      <c r="R655" t="str">
        <f t="shared" si="59"/>
        <v>Intel Core i3 (11th Gen)</v>
      </c>
      <c r="S655" t="str">
        <f t="shared" si="60"/>
        <v xml:space="preserve">8 GB </v>
      </c>
    </row>
    <row r="656" spans="1:19">
      <c r="A656" t="str">
        <f>LEFT(B656, LEN(B656)-15)</f>
        <v>Lenovo Thinkpad E14 (21E3S04X00) Laptop (Core i5 12th Gen/8 GB/512 GB SSD/Windows 11)</v>
      </c>
      <c r="B656" t="s">
        <v>1072</v>
      </c>
      <c r="C656" s="1">
        <v>69099</v>
      </c>
      <c r="D656" s="1">
        <v>150</v>
      </c>
      <c r="E656" s="2">
        <v>86</v>
      </c>
      <c r="F656" s="2" t="str" cm="1">
        <f t="array" ref="F656">_xlfn.IFS(AND(101&gt;E656, E656&gt;69), "Top-Tier", AND(70&gt;E656, E656&gt;39), "Mid-Tier", 40&gt;E656, "Low-Tier")</f>
        <v>Top-Tier</v>
      </c>
      <c r="G656" s="4">
        <v>44805</v>
      </c>
      <c r="H656" t="s">
        <v>1059</v>
      </c>
      <c r="I656" t="s">
        <v>33</v>
      </c>
      <c r="J656" t="s">
        <v>50</v>
      </c>
      <c r="K656" t="s">
        <v>149</v>
      </c>
      <c r="L656" t="s">
        <v>24</v>
      </c>
      <c r="M656" t="s">
        <v>135</v>
      </c>
      <c r="N656" t="s">
        <v>31</v>
      </c>
      <c r="Q656" t="str">
        <f>LEFT(B656, 6)</f>
        <v>Lenovo</v>
      </c>
      <c r="R656" t="str">
        <f t="shared" si="59"/>
        <v>Intel Core i3 (11th Gen)</v>
      </c>
      <c r="S656" t="str">
        <f t="shared" si="60"/>
        <v xml:space="preserve">8 GB </v>
      </c>
    </row>
    <row r="657" spans="1:19">
      <c r="A657" t="str">
        <f>LEFT(B657, LEN(B657)-15)</f>
        <v>Asus VivoBook 14 X1402ZA-EK522WS Laptop (Core i5 12th Gen/8 GB/512 GB SSD/Windows 11)</v>
      </c>
      <c r="B657" t="s">
        <v>1073</v>
      </c>
      <c r="C657" s="1">
        <v>48990</v>
      </c>
      <c r="D657" s="1">
        <v>263</v>
      </c>
      <c r="E657" s="2">
        <v>86</v>
      </c>
      <c r="F657" s="2" t="str" cm="1">
        <f t="array" ref="F657">_xlfn.IFS(AND(101&gt;E657, E657&gt;69), "Top-Tier", AND(70&gt;E657, E657&gt;39), "Mid-Tier", 40&gt;E657, "Low-Tier")</f>
        <v>Top-Tier</v>
      </c>
      <c r="G657" s="4">
        <v>44805</v>
      </c>
      <c r="H657" t="s">
        <v>1059</v>
      </c>
      <c r="I657" t="s">
        <v>33</v>
      </c>
      <c r="J657" t="s">
        <v>50</v>
      </c>
      <c r="K657" t="s">
        <v>149</v>
      </c>
      <c r="L657" t="s">
        <v>24</v>
      </c>
      <c r="M657" t="s">
        <v>52</v>
      </c>
      <c r="N657" t="s">
        <v>31</v>
      </c>
      <c r="P657" s="3">
        <v>74</v>
      </c>
      <c r="Q657" t="str">
        <f>LEFT(B657, 4)</f>
        <v>Asus</v>
      </c>
      <c r="R657" t="str">
        <f t="shared" si="59"/>
        <v>Intel Core i3 (11th Gen)</v>
      </c>
      <c r="S657" t="str">
        <f t="shared" si="60"/>
        <v xml:space="preserve">8 GB </v>
      </c>
    </row>
    <row r="658" spans="1:19">
      <c r="A658" t="str">
        <f>LEFT(B658, LEN(B658)-15)</f>
        <v>Asus VivoBook 15 X515JA-BQ521WS Laptop (Core i5 10th Gen/8 GB/512 GB SSD/Windows 11)</v>
      </c>
      <c r="B658" t="s">
        <v>1074</v>
      </c>
      <c r="C658" s="1">
        <v>41990</v>
      </c>
      <c r="D658" s="1">
        <v>639</v>
      </c>
      <c r="E658" s="2">
        <v>86</v>
      </c>
      <c r="F658" s="2" t="str" cm="1">
        <f t="array" ref="F658">_xlfn.IFS(AND(101&gt;E658, E658&gt;69), "Top-Tier", AND(70&gt;E658, E658&gt;39), "Mid-Tier", 40&gt;E658, "Low-Tier")</f>
        <v>Top-Tier</v>
      </c>
      <c r="G658" s="4">
        <v>44805</v>
      </c>
      <c r="H658" t="s">
        <v>1059</v>
      </c>
      <c r="I658" t="s">
        <v>33</v>
      </c>
      <c r="J658" t="s">
        <v>50</v>
      </c>
      <c r="K658" t="s">
        <v>51</v>
      </c>
      <c r="L658" t="s">
        <v>24</v>
      </c>
      <c r="M658" t="s">
        <v>52</v>
      </c>
      <c r="N658" t="s">
        <v>31</v>
      </c>
      <c r="Q658" t="str">
        <f>LEFT(B658, 4)</f>
        <v>Asus</v>
      </c>
      <c r="R658" t="str">
        <f t="shared" si="59"/>
        <v>Intel Core i3 (11th Gen)</v>
      </c>
      <c r="S658" t="str">
        <f t="shared" si="60"/>
        <v xml:space="preserve">8 GB </v>
      </c>
    </row>
    <row r="659" spans="1:19">
      <c r="A659" t="str">
        <f>LEFT(B659, LEN(B659)-15)</f>
        <v>Asus ROG Flow X13 GV301RC-LJ073WS Laptop (AMD Octa Core Ryzen 9/16 GB/1 TB SSD/Windows 11/4 GB)</v>
      </c>
      <c r="B659" t="s">
        <v>1075</v>
      </c>
      <c r="C659" s="1">
        <v>89990</v>
      </c>
      <c r="D659" s="1">
        <v>133</v>
      </c>
      <c r="E659" s="2">
        <v>86</v>
      </c>
      <c r="F659" s="2" t="str" cm="1">
        <f t="array" ref="F659">_xlfn.IFS(AND(101&gt;E659, E659&gt;69), "Top-Tier", AND(70&gt;E659, E659&gt;39), "Mid-Tier", 40&gt;E659, "Low-Tier")</f>
        <v>Top-Tier</v>
      </c>
      <c r="G659" s="4">
        <v>44774</v>
      </c>
      <c r="H659" t="s">
        <v>1059</v>
      </c>
      <c r="I659" t="s">
        <v>33</v>
      </c>
      <c r="J659" t="s">
        <v>167</v>
      </c>
      <c r="K659" t="s">
        <v>1076</v>
      </c>
      <c r="L659" t="s">
        <v>24</v>
      </c>
      <c r="M659" t="s">
        <v>1077</v>
      </c>
      <c r="N659" t="s">
        <v>31</v>
      </c>
      <c r="O659" t="s">
        <v>152</v>
      </c>
      <c r="P659" s="3">
        <v>82</v>
      </c>
      <c r="Q659" t="str">
        <f>LEFT(B659, 4)</f>
        <v>Asus</v>
      </c>
      <c r="R659" t="str">
        <f t="shared" si="59"/>
        <v>Intel Core i3 (11th Gen)</v>
      </c>
      <c r="S659" t="str">
        <f t="shared" si="60"/>
        <v>16 GB</v>
      </c>
    </row>
    <row r="660" spans="1:19">
      <c r="A660" t="str">
        <f>LEFT(B660, LEN(B660)-15)</f>
        <v>Asus VivoBook 15 X515JA-EJ312WS Laptop (Core i3 10th Gen/8 GB/256 GB SSD/Windows 11)</v>
      </c>
      <c r="B660" t="s">
        <v>1078</v>
      </c>
      <c r="C660" s="1">
        <v>24990</v>
      </c>
      <c r="D660" s="1">
        <v>827</v>
      </c>
      <c r="E660" s="2">
        <v>86</v>
      </c>
      <c r="F660" s="2" t="str" cm="1">
        <f t="array" ref="F660">_xlfn.IFS(AND(101&gt;E660, E660&gt;69), "Top-Tier", AND(70&gt;E660, E660&gt;39), "Mid-Tier", 40&gt;E660, "Low-Tier")</f>
        <v>Top-Tier</v>
      </c>
      <c r="G660" s="4">
        <v>44774</v>
      </c>
      <c r="H660" t="s">
        <v>1059</v>
      </c>
      <c r="I660" t="s">
        <v>33</v>
      </c>
      <c r="J660" t="s">
        <v>338</v>
      </c>
      <c r="K660" t="s">
        <v>51</v>
      </c>
      <c r="L660" t="s">
        <v>24</v>
      </c>
      <c r="M660" t="s">
        <v>52</v>
      </c>
      <c r="N660" t="s">
        <v>31</v>
      </c>
      <c r="Q660" t="str">
        <f>LEFT(B660, 4)</f>
        <v>Asus</v>
      </c>
      <c r="R660" t="str">
        <f t="shared" si="59"/>
        <v>Intel Core i3 (11th Gen)</v>
      </c>
      <c r="S660" t="str">
        <f t="shared" si="60"/>
        <v xml:space="preserve">8 GB </v>
      </c>
    </row>
    <row r="661" spans="1:19">
      <c r="A661" t="str">
        <f>LEFT(B661, LEN(B661)-15)</f>
        <v>HP 14s-dy2508TU (6X360PA) Laptop (Core i3 11th Gen/8 GB/512 GB SSD/Windows 11)</v>
      </c>
      <c r="B661" t="s">
        <v>1079</v>
      </c>
      <c r="C661" s="1">
        <v>37990</v>
      </c>
      <c r="D661" s="1">
        <v>12837</v>
      </c>
      <c r="E661" s="2">
        <v>86</v>
      </c>
      <c r="F661" s="2" t="str" cm="1">
        <f t="array" ref="F661">_xlfn.IFS(AND(101&gt;E661, E661&gt;69), "Top-Tier", AND(70&gt;E661, E661&gt;39), "Mid-Tier", 40&gt;E661, "Low-Tier")</f>
        <v>Top-Tier</v>
      </c>
      <c r="G661" s="4">
        <v>44774</v>
      </c>
      <c r="H661" t="s">
        <v>1059</v>
      </c>
      <c r="I661" t="s">
        <v>33</v>
      </c>
      <c r="J661" t="s">
        <v>50</v>
      </c>
      <c r="K661" t="s">
        <v>149</v>
      </c>
      <c r="L661" t="s">
        <v>24</v>
      </c>
      <c r="M661" t="s">
        <v>203</v>
      </c>
      <c r="N661" t="s">
        <v>31</v>
      </c>
      <c r="P661" s="3">
        <v>74</v>
      </c>
      <c r="Q661" t="str">
        <f>LEFT(B661, 2)</f>
        <v>HP</v>
      </c>
      <c r="R661" t="str">
        <f t="shared" si="59"/>
        <v>Intel Core i3 (11th Gen)</v>
      </c>
      <c r="S661" t="str">
        <f t="shared" si="60"/>
        <v xml:space="preserve">8 GB </v>
      </c>
    </row>
    <row r="662" spans="1:19">
      <c r="A662" t="str">
        <f>LEFT(B662, LEN(B662)-15)</f>
        <v>Asus VivoBook 14 X415EA-EK322WS Laptop (Core i3 11th Gen/8 GB/512 GB SSD/Windows 11)</v>
      </c>
      <c r="B662" t="s">
        <v>1080</v>
      </c>
      <c r="C662" s="1">
        <v>33990</v>
      </c>
      <c r="D662" s="1">
        <v>3479</v>
      </c>
      <c r="E662" s="2">
        <v>86</v>
      </c>
      <c r="F662" s="2" t="str" cm="1">
        <f t="array" ref="F662">_xlfn.IFS(AND(101&gt;E662, E662&gt;69), "Top-Tier", AND(70&gt;E662, E662&gt;39), "Mid-Tier", 40&gt;E662, "Low-Tier")</f>
        <v>Top-Tier</v>
      </c>
      <c r="G662" s="4">
        <v>44774</v>
      </c>
      <c r="H662" t="s">
        <v>1059</v>
      </c>
      <c r="I662" t="s">
        <v>33</v>
      </c>
      <c r="J662" t="s">
        <v>50</v>
      </c>
      <c r="K662" t="s">
        <v>427</v>
      </c>
      <c r="L662" t="s">
        <v>24</v>
      </c>
      <c r="M662" t="s">
        <v>52</v>
      </c>
      <c r="N662" t="s">
        <v>31</v>
      </c>
      <c r="Q662" t="str">
        <f>LEFT(B662, 4)</f>
        <v>Asus</v>
      </c>
      <c r="R662" t="str">
        <f t="shared" si="59"/>
        <v>Intel Core i3 (11th Gen)</v>
      </c>
      <c r="S662" t="str">
        <f t="shared" si="60"/>
        <v xml:space="preserve">8 GB </v>
      </c>
    </row>
    <row r="663" spans="1:19">
      <c r="A663" t="str">
        <f>LEFT(B663, LEN(B663)-15)</f>
        <v>Lenovo Ideapad Gaming 3 (82K2012LIN) Laptop (AMD Hexa Core Ryzen 5/8 GB/512 GB SSD/Windows 11/4 GB)</v>
      </c>
      <c r="B663" t="s">
        <v>1081</v>
      </c>
      <c r="C663" s="1">
        <v>69990</v>
      </c>
      <c r="D663" s="1">
        <v>274</v>
      </c>
      <c r="E663" s="2">
        <v>86</v>
      </c>
      <c r="F663" s="2" t="str" cm="1">
        <f t="array" ref="F663">_xlfn.IFS(AND(101&gt;E663, E663&gt;69), "Top-Tier", AND(70&gt;E663, E663&gt;39), "Mid-Tier", 40&gt;E663, "Low-Tier")</f>
        <v>Top-Tier</v>
      </c>
      <c r="G663" s="4">
        <v>44774</v>
      </c>
      <c r="H663" t="s">
        <v>1059</v>
      </c>
      <c r="I663" t="s">
        <v>33</v>
      </c>
      <c r="J663" t="s">
        <v>50</v>
      </c>
      <c r="K663" t="s">
        <v>51</v>
      </c>
      <c r="L663" t="s">
        <v>24</v>
      </c>
      <c r="N663" t="s">
        <v>31</v>
      </c>
      <c r="P663" s="3">
        <v>78</v>
      </c>
      <c r="Q663" t="str">
        <f>LEFT(B663, 6)</f>
        <v>Lenovo</v>
      </c>
      <c r="R663" t="str">
        <f t="shared" si="59"/>
        <v>Intel Core i3 (11th Gen)</v>
      </c>
      <c r="S663" t="str">
        <f t="shared" si="60"/>
        <v xml:space="preserve">8 GB </v>
      </c>
    </row>
    <row r="664" spans="1:19">
      <c r="A664" t="str">
        <f>LEFT(B664, LEN(B664)-15)</f>
        <v>Asus VivoBook Ultra 14 K413EA-EB303WS Laptop (Core i3 11th Gen/8 GB/512 GB SSD/Windows 11)</v>
      </c>
      <c r="B664" t="s">
        <v>1082</v>
      </c>
      <c r="C664" s="1">
        <v>32356</v>
      </c>
      <c r="D664" s="1">
        <v>585</v>
      </c>
      <c r="E664" s="2">
        <v>86</v>
      </c>
      <c r="F664" s="2" t="str" cm="1">
        <f t="array" ref="F664">_xlfn.IFS(AND(101&gt;E664, E664&gt;69), "Top-Tier", AND(70&gt;E664, E664&gt;39), "Mid-Tier", 40&gt;E664, "Low-Tier")</f>
        <v>Top-Tier</v>
      </c>
      <c r="G664" s="4">
        <v>44774</v>
      </c>
      <c r="H664" t="s">
        <v>1059</v>
      </c>
      <c r="I664" t="s">
        <v>33</v>
      </c>
      <c r="J664" t="s">
        <v>50</v>
      </c>
      <c r="K664" t="s">
        <v>149</v>
      </c>
      <c r="L664" t="s">
        <v>24</v>
      </c>
      <c r="M664" t="s">
        <v>95</v>
      </c>
      <c r="N664" t="s">
        <v>31</v>
      </c>
      <c r="Q664" t="str">
        <f>LEFT(B664, 4)</f>
        <v>Asus</v>
      </c>
      <c r="R664" t="str">
        <f t="shared" si="59"/>
        <v>Intel Core i3 (11th Gen)</v>
      </c>
      <c r="S664" t="str">
        <f t="shared" si="60"/>
        <v xml:space="preserve">8 GB </v>
      </c>
    </row>
    <row r="665" spans="1:19">
      <c r="A665" t="str">
        <f>LEFT(B665, LEN(B665)-15)</f>
        <v>Asus VivoBook Ultra 14 K413EA-EB302WS Laptop (Core i3 11th Gen/8 GB/512 GB SSD/Windows 11)</v>
      </c>
      <c r="B665" t="s">
        <v>1083</v>
      </c>
      <c r="C665" s="1">
        <v>31990</v>
      </c>
      <c r="D665" s="1">
        <v>585</v>
      </c>
      <c r="E665" s="2">
        <v>86</v>
      </c>
      <c r="F665" s="2" t="str" cm="1">
        <f t="array" ref="F665">_xlfn.IFS(AND(101&gt;E665, E665&gt;69), "Top-Tier", AND(70&gt;E665, E665&gt;39), "Mid-Tier", 40&gt;E665, "Low-Tier")</f>
        <v>Top-Tier</v>
      </c>
      <c r="G665" s="4">
        <v>44774</v>
      </c>
      <c r="H665" t="s">
        <v>1059</v>
      </c>
      <c r="I665" t="s">
        <v>33</v>
      </c>
      <c r="J665" t="s">
        <v>50</v>
      </c>
      <c r="K665" t="s">
        <v>149</v>
      </c>
      <c r="L665" t="s">
        <v>24</v>
      </c>
      <c r="M665" t="s">
        <v>95</v>
      </c>
      <c r="N665" t="s">
        <v>31</v>
      </c>
      <c r="Q665" t="str">
        <f>LEFT(B665, 4)</f>
        <v>Asus</v>
      </c>
      <c r="R665" t="str">
        <f t="shared" si="59"/>
        <v>Intel Core i3 (11th Gen)</v>
      </c>
      <c r="S665" t="str">
        <f t="shared" si="60"/>
        <v xml:space="preserve">8 GB </v>
      </c>
    </row>
    <row r="666" spans="1:19">
      <c r="A666" t="str">
        <f>LEFT(B666, LEN(B666)-15)</f>
        <v>Asus VivoBook Ultra 14 K413EA-EB301WS Laptop (Core i3 11th Gen/8 GB/512 GB SSD/Windows 11)</v>
      </c>
      <c r="B666" t="s">
        <v>1084</v>
      </c>
      <c r="C666" s="1">
        <v>40990</v>
      </c>
      <c r="D666" s="1">
        <v>585</v>
      </c>
      <c r="E666" s="2">
        <v>86</v>
      </c>
      <c r="F666" s="2" t="str" cm="1">
        <f t="array" ref="F666">_xlfn.IFS(AND(101&gt;E666, E666&gt;69), "Top-Tier", AND(70&gt;E666, E666&gt;39), "Mid-Tier", 40&gt;E666, "Low-Tier")</f>
        <v>Top-Tier</v>
      </c>
      <c r="G666" s="4">
        <v>44774</v>
      </c>
      <c r="H666" t="s">
        <v>1059</v>
      </c>
      <c r="I666" t="s">
        <v>33</v>
      </c>
      <c r="J666" t="s">
        <v>50</v>
      </c>
      <c r="K666" t="s">
        <v>149</v>
      </c>
      <c r="L666" t="s">
        <v>24</v>
      </c>
      <c r="M666" t="s">
        <v>95</v>
      </c>
      <c r="N666" t="s">
        <v>31</v>
      </c>
      <c r="Q666" t="str">
        <f>LEFT(B666, 4)</f>
        <v>Asus</v>
      </c>
      <c r="R666" t="str">
        <f t="shared" si="59"/>
        <v>Intel Core i3 (11th Gen)</v>
      </c>
      <c r="S666" t="str">
        <f t="shared" si="60"/>
        <v xml:space="preserve">8 GB </v>
      </c>
    </row>
    <row r="667" spans="1:19">
      <c r="A667" t="str">
        <f>LEFT(B667, LEN(B667)-15)</f>
        <v>Asus VivoBook 15 X515EA-EJ522WS Laptop (Core i5 11th Gen/8 GB/512 GB SSD/Windows 11)</v>
      </c>
      <c r="B667" t="s">
        <v>1085</v>
      </c>
      <c r="C667" s="1">
        <v>39800</v>
      </c>
      <c r="D667" s="1">
        <v>8235</v>
      </c>
      <c r="E667" s="2">
        <v>86</v>
      </c>
      <c r="F667" s="2" t="str" cm="1">
        <f t="array" ref="F667">_xlfn.IFS(AND(101&gt;E667, E667&gt;69), "Top-Tier", AND(70&gt;E667, E667&gt;39), "Mid-Tier", 40&gt;E667, "Low-Tier")</f>
        <v>Top-Tier</v>
      </c>
      <c r="G667" s="4">
        <v>44774</v>
      </c>
      <c r="H667" t="s">
        <v>1059</v>
      </c>
      <c r="I667" t="s">
        <v>33</v>
      </c>
      <c r="J667" t="s">
        <v>50</v>
      </c>
      <c r="K667" t="s">
        <v>51</v>
      </c>
      <c r="L667" t="s">
        <v>24</v>
      </c>
      <c r="M667" t="s">
        <v>52</v>
      </c>
      <c r="N667" t="s">
        <v>31</v>
      </c>
      <c r="P667" s="3">
        <v>72</v>
      </c>
      <c r="Q667" t="str">
        <f>LEFT(B667, 4)</f>
        <v>Asus</v>
      </c>
      <c r="R667" t="str">
        <f t="shared" si="59"/>
        <v>Intel Core i3 (11th Gen)</v>
      </c>
      <c r="S667" t="str">
        <f t="shared" si="60"/>
        <v xml:space="preserve">8 GB </v>
      </c>
    </row>
    <row r="668" spans="1:19">
      <c r="A668" t="str">
        <f>LEFT(B668, LEN(B668)-15)</f>
        <v>Asus TUF Gaming F15 FX506HC-HN119W Laptop (Core i5 11th Gen/8 GB/1 TB SSD/Windows 11/4 GB)</v>
      </c>
      <c r="B668" t="s">
        <v>1086</v>
      </c>
      <c r="C668" s="1">
        <v>66990</v>
      </c>
      <c r="D668" s="1">
        <v>7</v>
      </c>
      <c r="E668" s="2">
        <v>86</v>
      </c>
      <c r="F668" s="2" t="str" cm="1">
        <f t="array" ref="F668">_xlfn.IFS(AND(101&gt;E668, E668&gt;69), "Top-Tier", AND(70&gt;E668, E668&gt;39), "Mid-Tier", 40&gt;E668, "Low-Tier")</f>
        <v>Top-Tier</v>
      </c>
      <c r="G668" s="4">
        <v>44774</v>
      </c>
      <c r="H668" t="s">
        <v>1059</v>
      </c>
      <c r="I668" t="s">
        <v>33</v>
      </c>
      <c r="J668" t="s">
        <v>98</v>
      </c>
      <c r="K668" t="s">
        <v>159</v>
      </c>
      <c r="Q668" t="str">
        <f>LEFT(B668, 4)</f>
        <v>Asus</v>
      </c>
      <c r="R668" t="str">
        <f t="shared" si="59"/>
        <v>Intel Core i3 (11th Gen)</v>
      </c>
      <c r="S668" t="str">
        <f t="shared" si="60"/>
        <v xml:space="preserve">8 GB </v>
      </c>
    </row>
    <row r="669" spans="1:19">
      <c r="A669" t="str">
        <f>LEFT(B669, LEN(B669)-15)</f>
        <v>Asus VivoBook 14 X1402ZA-EB312WS Laptop (Core i3 12th Gen/8 GB/512 GB SSD/Windows 11)</v>
      </c>
      <c r="B669" t="s">
        <v>1087</v>
      </c>
      <c r="C669" s="1">
        <v>47990</v>
      </c>
      <c r="D669" s="1">
        <v>113</v>
      </c>
      <c r="E669" s="2">
        <v>86</v>
      </c>
      <c r="F669" s="2" t="str" cm="1">
        <f t="array" ref="F669">_xlfn.IFS(AND(101&gt;E669, E669&gt;69), "Top-Tier", AND(70&gt;E669, E669&gt;39), "Mid-Tier", 40&gt;E669, "Low-Tier")</f>
        <v>Top-Tier</v>
      </c>
      <c r="G669" s="4">
        <v>44774</v>
      </c>
      <c r="H669" t="s">
        <v>1059</v>
      </c>
      <c r="I669" t="s">
        <v>33</v>
      </c>
      <c r="J669" t="s">
        <v>50</v>
      </c>
      <c r="K669" t="s">
        <v>149</v>
      </c>
      <c r="L669" t="s">
        <v>24</v>
      </c>
      <c r="M669" t="s">
        <v>52</v>
      </c>
      <c r="N669" t="s">
        <v>31</v>
      </c>
      <c r="P669" s="3">
        <v>72</v>
      </c>
      <c r="Q669" t="str">
        <f>LEFT(B669, 4)</f>
        <v>Asus</v>
      </c>
      <c r="R669" t="str">
        <f t="shared" ref="R669:R732" si="61">LEFT(H669, 24)</f>
        <v>Intel Core i3 (11th Gen)</v>
      </c>
      <c r="S669" t="str">
        <f t="shared" si="60"/>
        <v xml:space="preserve">8 GB </v>
      </c>
    </row>
    <row r="670" spans="1:19">
      <c r="A670" t="str">
        <f>LEFT(B670, LEN(B670)-15)</f>
        <v>HP 14s-dy2507TU (6N024PA) Laptop (Core i3 11th Gen/8 GB/256 GB SSD/Windows 11)</v>
      </c>
      <c r="B670" t="s">
        <v>1088</v>
      </c>
      <c r="C670" s="1">
        <v>35990</v>
      </c>
      <c r="D670" s="1">
        <v>13896</v>
      </c>
      <c r="E670" s="2">
        <v>86</v>
      </c>
      <c r="F670" s="2" t="str" cm="1">
        <f t="array" ref="F670">_xlfn.IFS(AND(101&gt;E670, E670&gt;69), "Top-Tier", AND(70&gt;E670, E670&gt;39), "Mid-Tier", 40&gt;E670, "Low-Tier")</f>
        <v>Top-Tier</v>
      </c>
      <c r="G670" s="4">
        <v>44774</v>
      </c>
      <c r="H670" t="s">
        <v>1059</v>
      </c>
      <c r="I670" t="s">
        <v>33</v>
      </c>
      <c r="J670" t="s">
        <v>338</v>
      </c>
      <c r="K670" t="s">
        <v>149</v>
      </c>
      <c r="L670" t="s">
        <v>24</v>
      </c>
      <c r="M670" t="s">
        <v>203</v>
      </c>
      <c r="N670" t="s">
        <v>31</v>
      </c>
      <c r="P670" s="3">
        <v>74</v>
      </c>
      <c r="Q670" t="str">
        <f>LEFT(B670, 2)</f>
        <v>HP</v>
      </c>
      <c r="R670" t="str">
        <f t="shared" si="61"/>
        <v>Intel Core i3 (11th Gen)</v>
      </c>
      <c r="S670" t="str">
        <f t="shared" si="60"/>
        <v xml:space="preserve">8 GB </v>
      </c>
    </row>
    <row r="671" spans="1:19">
      <c r="A671" t="str">
        <f>LEFT(B671, LEN(B671)-15)</f>
        <v>Lenovo Ideapad Gaming 3 15IHU6 (82K1019AIN) Laptop (Core i5 11th Gen/8 GB/1 TB 256 GB SSD/Windows 11/4 GB)</v>
      </c>
      <c r="B671" t="s">
        <v>1089</v>
      </c>
      <c r="C671" s="1">
        <v>71990</v>
      </c>
      <c r="D671" s="1">
        <v>279</v>
      </c>
      <c r="E671" s="2">
        <v>86</v>
      </c>
      <c r="F671" s="2" t="str" cm="1">
        <f t="array" ref="F671">_xlfn.IFS(AND(101&gt;E671, E671&gt;69), "Top-Tier", AND(70&gt;E671, E671&gt;39), "Mid-Tier", 40&gt;E671, "Low-Tier")</f>
        <v>Top-Tier</v>
      </c>
      <c r="G671" s="4">
        <v>44774</v>
      </c>
      <c r="H671" t="s">
        <v>1059</v>
      </c>
      <c r="I671" t="s">
        <v>33</v>
      </c>
      <c r="J671" t="s">
        <v>332</v>
      </c>
      <c r="K671" t="s">
        <v>51</v>
      </c>
      <c r="L671" t="s">
        <v>24</v>
      </c>
      <c r="N671" t="s">
        <v>31</v>
      </c>
      <c r="P671" s="3">
        <v>77</v>
      </c>
      <c r="Q671" t="str">
        <f>LEFT(B671, 6)</f>
        <v>Lenovo</v>
      </c>
      <c r="R671" t="str">
        <f t="shared" si="61"/>
        <v>Intel Core i3 (11th Gen)</v>
      </c>
      <c r="S671" t="str">
        <f t="shared" si="60"/>
        <v xml:space="preserve">8 GB </v>
      </c>
    </row>
    <row r="672" spans="1:19">
      <c r="A672" t="str">
        <f>LEFT(B672, LEN(B672)-15)</f>
        <v>Lenovo Yoga Slim 7i Pro 14IHU5 (82NC00FSIN) Laptop (Core i5 11th Gen/16 GB/512 GB SSD/Windows 11)</v>
      </c>
      <c r="B672" t="s">
        <v>1090</v>
      </c>
      <c r="C672" s="1">
        <v>59900</v>
      </c>
      <c r="D672" s="1">
        <v>156</v>
      </c>
      <c r="E672" s="2">
        <v>86</v>
      </c>
      <c r="F672" s="2" t="str" cm="1">
        <f t="array" ref="F672">_xlfn.IFS(AND(101&gt;E672, E672&gt;69), "Top-Tier", AND(70&gt;E672, E672&gt;39), "Mid-Tier", 40&gt;E672, "Low-Tier")</f>
        <v>Top-Tier</v>
      </c>
      <c r="G672" s="4">
        <v>44743</v>
      </c>
      <c r="H672" t="s">
        <v>1059</v>
      </c>
      <c r="I672" t="s">
        <v>33</v>
      </c>
      <c r="J672" t="s">
        <v>214</v>
      </c>
      <c r="K672" t="s">
        <v>1091</v>
      </c>
      <c r="L672" t="s">
        <v>24</v>
      </c>
      <c r="M672" t="s">
        <v>232</v>
      </c>
      <c r="P672" s="3">
        <v>75</v>
      </c>
      <c r="Q672" t="str">
        <f>LEFT(B672, 6)</f>
        <v>Lenovo</v>
      </c>
      <c r="R672" t="str">
        <f t="shared" si="61"/>
        <v>Intel Core i3 (11th Gen)</v>
      </c>
      <c r="S672" t="str">
        <f t="shared" si="60"/>
        <v>16 GB</v>
      </c>
    </row>
    <row r="673" spans="1:19">
      <c r="A673" t="str">
        <f>LEFT(B673, LEN(B673)-15)</f>
        <v>Asus VivoBook Flip 14 TP3402ZA-LZ511WS Laptop (Core i5 12th Gen/16 GB/512 GB SSD/Windows 11)</v>
      </c>
      <c r="B673" t="s">
        <v>1092</v>
      </c>
      <c r="C673" s="1">
        <v>79990</v>
      </c>
      <c r="D673" s="1">
        <v>55</v>
      </c>
      <c r="E673" s="2">
        <v>86</v>
      </c>
      <c r="F673" s="2" t="str" cm="1">
        <f t="array" ref="F673">_xlfn.IFS(AND(101&gt;E673, E673&gt;69), "Top-Tier", AND(70&gt;E673, E673&gt;39), "Mid-Tier", 40&gt;E673, "Low-Tier")</f>
        <v>Top-Tier</v>
      </c>
      <c r="G673" s="4">
        <v>44743</v>
      </c>
      <c r="H673" t="s">
        <v>1059</v>
      </c>
      <c r="I673" t="s">
        <v>33</v>
      </c>
      <c r="J673" t="s">
        <v>34</v>
      </c>
      <c r="K673" t="s">
        <v>94</v>
      </c>
      <c r="L673" t="s">
        <v>24</v>
      </c>
      <c r="M673" t="s">
        <v>122</v>
      </c>
      <c r="N673" t="s">
        <v>31</v>
      </c>
      <c r="P673" s="3">
        <v>76</v>
      </c>
      <c r="Q673" t="str">
        <f>LEFT(B673, 4)</f>
        <v>Asus</v>
      </c>
      <c r="R673" t="str">
        <f t="shared" si="61"/>
        <v>Intel Core i3 (11th Gen)</v>
      </c>
      <c r="S673" t="str">
        <f t="shared" si="60"/>
        <v>16 GB</v>
      </c>
    </row>
    <row r="674" spans="1:19">
      <c r="A674" t="str">
        <f>LEFT(B674, LEN(B674)-15)</f>
        <v>HP Pavilion x360 14-ek0078TU (6Q0Z1PA Laptop (Core i5 12th Gen/16 GB/512 GB SSD/Windows 11)</v>
      </c>
      <c r="B674" t="s">
        <v>1093</v>
      </c>
      <c r="C674" s="1">
        <v>81990</v>
      </c>
      <c r="D674" s="1">
        <v>314</v>
      </c>
      <c r="E674" s="2">
        <v>86</v>
      </c>
      <c r="F674" s="2" t="str" cm="1">
        <f t="array" ref="F674">_xlfn.IFS(AND(101&gt;E674, E674&gt;69), "Top-Tier", AND(70&gt;E674, E674&gt;39), "Mid-Tier", 40&gt;E674, "Low-Tier")</f>
        <v>Top-Tier</v>
      </c>
      <c r="G674" s="4">
        <v>44743</v>
      </c>
      <c r="H674" t="s">
        <v>1059</v>
      </c>
      <c r="I674" t="s">
        <v>33</v>
      </c>
      <c r="J674" t="s">
        <v>34</v>
      </c>
      <c r="K674" t="s">
        <v>427</v>
      </c>
      <c r="L674" t="s">
        <v>24</v>
      </c>
      <c r="M674" t="s">
        <v>52</v>
      </c>
      <c r="N674" t="s">
        <v>31</v>
      </c>
      <c r="P674" s="3">
        <v>76</v>
      </c>
      <c r="Q674" t="str">
        <f>LEFT(B674, 2)</f>
        <v>HP</v>
      </c>
      <c r="R674" t="str">
        <f t="shared" si="61"/>
        <v>Intel Core i3 (11th Gen)</v>
      </c>
      <c r="S674" t="str">
        <f t="shared" si="60"/>
        <v>16 GB</v>
      </c>
    </row>
    <row r="675" spans="1:19">
      <c r="A675" t="str">
        <f>LEFT(B675, LEN(B675)-15)</f>
        <v>MSI GF63 Thin 11UC-867IN Laptop (Core i5 11th Gen/8 GB/512 GB SSD/Windows 10/4 GB)</v>
      </c>
      <c r="B675" t="s">
        <v>1094</v>
      </c>
      <c r="C675" s="1">
        <v>59789</v>
      </c>
      <c r="D675" s="1">
        <v>661</v>
      </c>
      <c r="E675" s="2">
        <v>86</v>
      </c>
      <c r="F675" s="2" t="str" cm="1">
        <f t="array" ref="F675">_xlfn.IFS(AND(101&gt;E675, E675&gt;69), "Top-Tier", AND(70&gt;E675, E675&gt;39), "Mid-Tier", 40&gt;E675, "Low-Tier")</f>
        <v>Top-Tier</v>
      </c>
      <c r="G675" s="4">
        <v>44743</v>
      </c>
      <c r="H675" t="s">
        <v>1059</v>
      </c>
      <c r="I675" t="s">
        <v>248</v>
      </c>
      <c r="J675" t="s">
        <v>50</v>
      </c>
      <c r="K675" t="s">
        <v>51</v>
      </c>
      <c r="L675" t="s">
        <v>24</v>
      </c>
      <c r="M675" t="s">
        <v>113</v>
      </c>
      <c r="N675" t="s">
        <v>31</v>
      </c>
      <c r="P675" s="3">
        <v>78</v>
      </c>
      <c r="Q675" t="str">
        <f>LEFT(B675, 3)</f>
        <v>MSI</v>
      </c>
      <c r="R675" t="str">
        <f t="shared" si="61"/>
        <v>Intel Core i3 (11th Gen)</v>
      </c>
      <c r="S675" t="str">
        <f t="shared" si="60"/>
        <v xml:space="preserve">8 GB </v>
      </c>
    </row>
    <row r="676" spans="1:19">
      <c r="A676" t="str">
        <f>LEFT(B676, LEN(B676)-15)</f>
        <v>HP Victus 15-fa0073TX (6Z2P3PA) Laptop (Core i7 12th Gen/8 GB/512 GB SSD/Windows 11/4 GB)</v>
      </c>
      <c r="B676" t="s">
        <v>1095</v>
      </c>
      <c r="C676" s="1">
        <v>81999</v>
      </c>
      <c r="D676" s="1">
        <v>260</v>
      </c>
      <c r="E676" s="2">
        <v>86</v>
      </c>
      <c r="F676" s="2" t="str" cm="1">
        <f t="array" ref="F676">_xlfn.IFS(AND(101&gt;E676, E676&gt;69), "Top-Tier", AND(70&gt;E676, E676&gt;39), "Mid-Tier", 40&gt;E676, "Low-Tier")</f>
        <v>Top-Tier</v>
      </c>
      <c r="G676" s="4">
        <v>44743</v>
      </c>
      <c r="H676" t="s">
        <v>1059</v>
      </c>
      <c r="I676" t="s">
        <v>33</v>
      </c>
      <c r="J676" t="s">
        <v>50</v>
      </c>
      <c r="K676" t="s">
        <v>159</v>
      </c>
      <c r="L676" t="s">
        <v>24</v>
      </c>
      <c r="N676" t="s">
        <v>31</v>
      </c>
      <c r="P676" s="3">
        <v>81</v>
      </c>
      <c r="Q676" t="str">
        <f>LEFT(B676, 2)</f>
        <v>HP</v>
      </c>
      <c r="R676" t="str">
        <f t="shared" si="61"/>
        <v>Intel Core i3 (11th Gen)</v>
      </c>
      <c r="S676" t="str">
        <f t="shared" si="60"/>
        <v xml:space="preserve">8 GB </v>
      </c>
    </row>
    <row r="677" spans="1:19">
      <c r="A677" t="str">
        <f>LEFT(B677, LEN(B677)-15)</f>
        <v>HP 15s-FR2511TU (6N049PA) Laptop (Core i3 11th Gen/8 GB/512 GB SSD/Windows 11)</v>
      </c>
      <c r="B677" t="s">
        <v>1096</v>
      </c>
      <c r="C677" s="1">
        <v>34400</v>
      </c>
      <c r="D677" s="1">
        <v>12785</v>
      </c>
      <c r="E677" s="2">
        <v>86</v>
      </c>
      <c r="F677" s="2" t="str" cm="1">
        <f t="array" ref="F677">_xlfn.IFS(AND(101&gt;E677, E677&gt;69), "Top-Tier", AND(70&gt;E677, E677&gt;39), "Mid-Tier", 40&gt;E677, "Low-Tier")</f>
        <v>Top-Tier</v>
      </c>
      <c r="G677" s="4">
        <v>44743</v>
      </c>
      <c r="H677" t="s">
        <v>1097</v>
      </c>
      <c r="I677" t="s">
        <v>33</v>
      </c>
      <c r="J677" t="s">
        <v>50</v>
      </c>
      <c r="K677" t="s">
        <v>51</v>
      </c>
      <c r="L677" t="s">
        <v>24</v>
      </c>
      <c r="M677" t="s">
        <v>95</v>
      </c>
      <c r="N677" t="s">
        <v>31</v>
      </c>
      <c r="P677" s="3">
        <v>74</v>
      </c>
      <c r="Q677" t="str">
        <f>LEFT(B677, 2)</f>
        <v>HP</v>
      </c>
      <c r="R677" t="str">
        <f t="shared" si="61"/>
        <v>Intel Core i3 (11th Gen)</v>
      </c>
      <c r="S677" t="str">
        <f t="shared" si="60"/>
        <v xml:space="preserve">8 GB </v>
      </c>
    </row>
    <row r="678" spans="1:19">
      <c r="A678" t="str">
        <f>LEFT(B678, LEN(B678)-15)</f>
        <v>Lenovo Ideapad Gaming 3 15IHU6 (82K101EEIN) Laptop (Core i5 11th Gen/8 GB/512 GB SSD/Windows 11/4 GB)</v>
      </c>
      <c r="B678" t="s">
        <v>1098</v>
      </c>
      <c r="C678" s="1">
        <v>68990</v>
      </c>
      <c r="D678" s="1">
        <v>58</v>
      </c>
      <c r="E678" s="2">
        <v>86</v>
      </c>
      <c r="F678" s="2" t="str" cm="1">
        <f t="array" ref="F678">_xlfn.IFS(AND(101&gt;E678, E678&gt;69), "Top-Tier", AND(70&gt;E678, E678&gt;39), "Mid-Tier", 40&gt;E678, "Low-Tier")</f>
        <v>Top-Tier</v>
      </c>
      <c r="G678" s="4">
        <v>44743</v>
      </c>
      <c r="H678" t="s">
        <v>1099</v>
      </c>
      <c r="I678" t="s">
        <v>33</v>
      </c>
      <c r="J678" t="s">
        <v>50</v>
      </c>
      <c r="K678" t="s">
        <v>159</v>
      </c>
      <c r="L678" t="s">
        <v>24</v>
      </c>
      <c r="N678" t="s">
        <v>31</v>
      </c>
      <c r="P678" s="3">
        <v>76</v>
      </c>
      <c r="Q678" t="str">
        <f>LEFT(B678, 6)</f>
        <v>Lenovo</v>
      </c>
      <c r="R678" t="str">
        <f t="shared" si="61"/>
        <v>Intel Core i3 (11th Gen)</v>
      </c>
      <c r="S678" t="str">
        <f t="shared" si="60"/>
        <v xml:space="preserve">8 GB </v>
      </c>
    </row>
    <row r="679" spans="1:19">
      <c r="A679" t="str">
        <f>LEFT(B679, LEN(B679)-15)</f>
        <v>MSI Katana GF66 11UE-861IN Laptop (Core i7 11th Gen/16 GB/512 GB SSD/Windows 10/6 GB)</v>
      </c>
      <c r="B679" t="s">
        <v>1100</v>
      </c>
      <c r="C679" s="1">
        <v>79990</v>
      </c>
      <c r="D679" s="1">
        <v>353</v>
      </c>
      <c r="E679" s="2">
        <v>86</v>
      </c>
      <c r="F679" s="2" t="str" cm="1">
        <f t="array" ref="F679">_xlfn.IFS(AND(101&gt;E679, E679&gt;69), "Top-Tier", AND(70&gt;E679, E679&gt;39), "Mid-Tier", 40&gt;E679, "Low-Tier")</f>
        <v>Top-Tier</v>
      </c>
      <c r="G679" s="4">
        <v>44743</v>
      </c>
      <c r="H679" t="s">
        <v>1099</v>
      </c>
      <c r="I679" t="s">
        <v>248</v>
      </c>
      <c r="J679" t="s">
        <v>34</v>
      </c>
      <c r="K679" t="s">
        <v>51</v>
      </c>
      <c r="L679" t="s">
        <v>24</v>
      </c>
      <c r="N679" t="s">
        <v>31</v>
      </c>
      <c r="P679" s="3">
        <v>81</v>
      </c>
      <c r="Q679" t="str">
        <f>LEFT(B679, 3)</f>
        <v>MSI</v>
      </c>
      <c r="R679" t="str">
        <f t="shared" si="61"/>
        <v>Intel Core i3 (11th Gen)</v>
      </c>
      <c r="S679" t="str">
        <f t="shared" si="60"/>
        <v>16 GB</v>
      </c>
    </row>
    <row r="680" spans="1:19">
      <c r="A680" t="str">
        <f>LEFT(B680, LEN(B680)-15)</f>
        <v>MSI Katana GF66 12UD-472IN Laptop (Core i5 12th Gen/16 GB/512 GB SSD/Windows 11/4 GB)</v>
      </c>
      <c r="B680" t="s">
        <v>1101</v>
      </c>
      <c r="C680" s="1">
        <v>85990</v>
      </c>
      <c r="D680" s="1">
        <v>70</v>
      </c>
      <c r="E680" s="2">
        <v>86</v>
      </c>
      <c r="F680" s="2" t="str" cm="1">
        <f t="array" ref="F680">_xlfn.IFS(AND(101&gt;E680, E680&gt;69), "Top-Tier", AND(70&gt;E680, E680&gt;39), "Mid-Tier", 40&gt;E680, "Low-Tier")</f>
        <v>Top-Tier</v>
      </c>
      <c r="G680" s="4">
        <v>44743</v>
      </c>
      <c r="H680" t="s">
        <v>1099</v>
      </c>
      <c r="I680" t="s">
        <v>33</v>
      </c>
      <c r="J680" t="s">
        <v>34</v>
      </c>
      <c r="K680" t="s">
        <v>51</v>
      </c>
      <c r="L680" t="s">
        <v>24</v>
      </c>
      <c r="N680" t="s">
        <v>31</v>
      </c>
      <c r="P680" s="3">
        <v>82</v>
      </c>
      <c r="Q680" t="str">
        <f>LEFT(B680, 3)</f>
        <v>MSI</v>
      </c>
      <c r="R680" t="str">
        <f t="shared" si="61"/>
        <v>Intel Core i3 (11th Gen)</v>
      </c>
      <c r="S680" t="str">
        <f t="shared" si="60"/>
        <v>16 GB</v>
      </c>
    </row>
    <row r="681" spans="1:19">
      <c r="A681" t="str">
        <f>LEFT(B681, LEN(B681)-15)</f>
        <v>Lenovo Ideapad Slim 3i 15ITL6 (82H802L3IN) Laptop (Core i3 11th Gen/8 GB/512 GB SSD/Windows 11)</v>
      </c>
      <c r="B681" t="s">
        <v>1102</v>
      </c>
      <c r="C681" s="1">
        <v>35900</v>
      </c>
      <c r="D681" s="1">
        <v>6846</v>
      </c>
      <c r="E681" s="2">
        <v>86</v>
      </c>
      <c r="F681" s="2" t="str" cm="1">
        <f t="array" ref="F681">_xlfn.IFS(AND(101&gt;E681, E681&gt;69), "Top-Tier", AND(70&gt;E681, E681&gt;39), "Mid-Tier", 40&gt;E681, "Low-Tier")</f>
        <v>Top-Tier</v>
      </c>
      <c r="G681" s="4">
        <v>44743</v>
      </c>
      <c r="H681" t="s">
        <v>1099</v>
      </c>
      <c r="I681" t="s">
        <v>33</v>
      </c>
      <c r="J681" t="s">
        <v>50</v>
      </c>
      <c r="K681" t="s">
        <v>217</v>
      </c>
      <c r="L681" t="s">
        <v>24</v>
      </c>
      <c r="M681" t="s">
        <v>52</v>
      </c>
      <c r="N681" t="s">
        <v>31</v>
      </c>
      <c r="Q681" t="str">
        <f>LEFT(B681, 6)</f>
        <v>Lenovo</v>
      </c>
      <c r="R681" t="str">
        <f t="shared" si="61"/>
        <v>Intel Core i3 (11th Gen)</v>
      </c>
      <c r="S681" t="str">
        <f t="shared" si="60"/>
        <v xml:space="preserve">8 GB </v>
      </c>
    </row>
    <row r="682" spans="1:19">
      <c r="A682" t="str">
        <f>LEFT(B682, LEN(B682)-15)</f>
        <v>Lenovo Ideapad Gaming 3i (82K1019BIN) Laptop (Core i5 11th Gen/16 GB/512 GB SSD/Windows 11/4 GB)</v>
      </c>
      <c r="B682" t="s">
        <v>1103</v>
      </c>
      <c r="C682" s="1">
        <v>65990</v>
      </c>
      <c r="D682" s="1">
        <v>513</v>
      </c>
      <c r="E682" s="2">
        <v>86</v>
      </c>
      <c r="F682" s="2" t="str" cm="1">
        <f t="array" ref="F682">_xlfn.IFS(AND(101&gt;E682, E682&gt;69), "Top-Tier", AND(70&gt;E682, E682&gt;39), "Mid-Tier", 40&gt;E682, "Low-Tier")</f>
        <v>Top-Tier</v>
      </c>
      <c r="G682" s="4">
        <v>44743</v>
      </c>
      <c r="H682" t="s">
        <v>1099</v>
      </c>
      <c r="I682" t="s">
        <v>33</v>
      </c>
      <c r="J682" t="s">
        <v>34</v>
      </c>
      <c r="K682" t="s">
        <v>51</v>
      </c>
      <c r="L682" t="s">
        <v>24</v>
      </c>
      <c r="N682" t="s">
        <v>31</v>
      </c>
      <c r="P682" s="3">
        <v>78</v>
      </c>
      <c r="Q682" t="str">
        <f>LEFT(B682, 6)</f>
        <v>Lenovo</v>
      </c>
      <c r="R682" t="str">
        <f t="shared" si="61"/>
        <v>Intel Core i3 (11th Gen)</v>
      </c>
      <c r="S682" t="str">
        <f t="shared" si="60"/>
        <v>16 GB</v>
      </c>
    </row>
    <row r="683" spans="1:19">
      <c r="A683" t="str">
        <f>LEFT(B683, LEN(B683)-15)</f>
        <v>HP Victus 16-e1060AX (6H5W0PA) Laptop (AMD Octa Core Ryzen 7/16 GB/512 GB SSD/Windows 11/4 GB)</v>
      </c>
      <c r="B683" t="s">
        <v>1104</v>
      </c>
      <c r="C683" s="1">
        <v>82990</v>
      </c>
      <c r="D683" s="1">
        <v>31</v>
      </c>
      <c r="E683" s="2">
        <v>86</v>
      </c>
      <c r="F683" s="2" t="str" cm="1">
        <f t="array" ref="F683">_xlfn.IFS(AND(101&gt;E683, E683&gt;69), "Top-Tier", AND(70&gt;E683, E683&gt;39), "Mid-Tier", 40&gt;E683, "Low-Tier")</f>
        <v>Top-Tier</v>
      </c>
      <c r="G683" s="4">
        <v>44743</v>
      </c>
      <c r="H683" t="s">
        <v>1099</v>
      </c>
      <c r="I683" t="s">
        <v>33</v>
      </c>
      <c r="J683" t="s">
        <v>54</v>
      </c>
      <c r="K683" t="s">
        <v>271</v>
      </c>
      <c r="L683" t="s">
        <v>24</v>
      </c>
      <c r="N683" t="s">
        <v>31</v>
      </c>
      <c r="P683" s="3">
        <v>80</v>
      </c>
      <c r="Q683" t="str">
        <f>LEFT(B683, 2)</f>
        <v>HP</v>
      </c>
      <c r="R683" t="str">
        <f t="shared" si="61"/>
        <v>Intel Core i3 (11th Gen)</v>
      </c>
      <c r="S683" t="str">
        <f t="shared" si="60"/>
        <v>16 GB</v>
      </c>
    </row>
    <row r="684" spans="1:19">
      <c r="A684" t="str">
        <f>LEFT(B684, LEN(B684)-15)</f>
        <v>Lenovo Ideapad Gaming 3 (82K101B7IN) Laptop (Core i5 11th Gen/16 GB/1 TB 256 GB SSD/Windows 11/4 GB)</v>
      </c>
      <c r="B684" t="s">
        <v>1105</v>
      </c>
      <c r="C684" s="1">
        <v>70490</v>
      </c>
      <c r="D684" s="1">
        <v>362</v>
      </c>
      <c r="E684" s="2">
        <v>86</v>
      </c>
      <c r="F684" s="2" t="str" cm="1">
        <f t="array" ref="F684">_xlfn.IFS(AND(101&gt;E684, E684&gt;69), "Top-Tier", AND(70&gt;E684, E684&gt;39), "Mid-Tier", 40&gt;E684, "Low-Tier")</f>
        <v>Top-Tier</v>
      </c>
      <c r="G684" s="4">
        <v>44743</v>
      </c>
      <c r="H684" t="s">
        <v>1099</v>
      </c>
      <c r="I684" t="s">
        <v>33</v>
      </c>
      <c r="J684" t="s">
        <v>315</v>
      </c>
      <c r="K684" t="s">
        <v>51</v>
      </c>
      <c r="L684" t="s">
        <v>24</v>
      </c>
      <c r="N684" t="s">
        <v>31</v>
      </c>
      <c r="P684" s="3">
        <v>77</v>
      </c>
      <c r="Q684" t="str">
        <f>LEFT(B684, 6)</f>
        <v>Lenovo</v>
      </c>
      <c r="R684" t="str">
        <f t="shared" si="61"/>
        <v>Intel Core i3 (11th Gen)</v>
      </c>
      <c r="S684" t="str">
        <f t="shared" si="60"/>
        <v>16 GB</v>
      </c>
    </row>
    <row r="685" spans="1:19">
      <c r="A685" t="str">
        <f>LEFT(B685, LEN(B685)-15)</f>
        <v>Asus VivoBook 15 X515EA-EJ332WS Laptop (Core i3 11th Gen/8 GB/1 TB 256 GB SSD/Windows 11)</v>
      </c>
      <c r="B685" t="s">
        <v>1106</v>
      </c>
      <c r="C685" s="1">
        <v>33999</v>
      </c>
      <c r="D685" s="1">
        <v>977</v>
      </c>
      <c r="E685" s="2">
        <v>86</v>
      </c>
      <c r="F685" s="2" t="str" cm="1">
        <f t="array" ref="F685">_xlfn.IFS(AND(101&gt;E685, E685&gt;69), "Top-Tier", AND(70&gt;E685, E685&gt;39), "Mid-Tier", 40&gt;E685, "Low-Tier")</f>
        <v>Top-Tier</v>
      </c>
      <c r="G685" s="4">
        <v>44743</v>
      </c>
      <c r="H685" t="s">
        <v>1099</v>
      </c>
      <c r="I685" t="s">
        <v>33</v>
      </c>
      <c r="J685" t="s">
        <v>332</v>
      </c>
      <c r="K685" t="s">
        <v>51</v>
      </c>
      <c r="L685" t="s">
        <v>24</v>
      </c>
      <c r="M685" t="s">
        <v>52</v>
      </c>
      <c r="N685" t="s">
        <v>31</v>
      </c>
      <c r="Q685" t="str">
        <f>LEFT(B685, 4)</f>
        <v>Asus</v>
      </c>
      <c r="R685" t="str">
        <f t="shared" si="61"/>
        <v>Intel Core i3 (11th Gen)</v>
      </c>
      <c r="S685" t="str">
        <f t="shared" si="60"/>
        <v xml:space="preserve">8 GB </v>
      </c>
    </row>
    <row r="686" spans="1:19">
      <c r="A686" t="str">
        <f>LEFT(B686, LEN(B686)-15)</f>
        <v>HP 15s-eq1560AU (6Q0M8PA) Laptop (AMD Dual Core Ryzen 3/8 GB/512 GB SSD/Windows 11)</v>
      </c>
      <c r="B686" t="s">
        <v>1107</v>
      </c>
      <c r="C686" s="1">
        <v>35999</v>
      </c>
      <c r="D686" s="1">
        <v>4246</v>
      </c>
      <c r="E686" s="2">
        <v>86</v>
      </c>
      <c r="F686" s="2" t="str" cm="1">
        <f t="array" ref="F686">_xlfn.IFS(AND(101&gt;E686, E686&gt;69), "Top-Tier", AND(70&gt;E686, E686&gt;39), "Mid-Tier", 40&gt;E686, "Low-Tier")</f>
        <v>Top-Tier</v>
      </c>
      <c r="G686" s="4">
        <v>44713</v>
      </c>
      <c r="H686" t="s">
        <v>1099</v>
      </c>
      <c r="I686" t="s">
        <v>33</v>
      </c>
      <c r="J686" t="s">
        <v>50</v>
      </c>
      <c r="K686" t="s">
        <v>51</v>
      </c>
      <c r="L686" t="s">
        <v>24</v>
      </c>
      <c r="M686" t="s">
        <v>95</v>
      </c>
      <c r="N686" t="s">
        <v>31</v>
      </c>
      <c r="Q686" t="str">
        <f>LEFT(B686, 2)</f>
        <v>HP</v>
      </c>
      <c r="R686" t="str">
        <f t="shared" si="61"/>
        <v>Intel Core i3 (11th Gen)</v>
      </c>
      <c r="S686" t="str">
        <f t="shared" si="60"/>
        <v xml:space="preserve">8 GB </v>
      </c>
    </row>
    <row r="687" spans="1:19">
      <c r="A687" t="str">
        <f>LEFT(B687, LEN(B687)-15)</f>
        <v>Asus VivoBook 14 X1402ZA-EB311WS Laptop (Core i3 12th Gen/8 GB/512 GB SSD/Windows 11)</v>
      </c>
      <c r="B687" t="s">
        <v>1108</v>
      </c>
      <c r="C687" s="1">
        <v>62990</v>
      </c>
      <c r="D687" s="1">
        <v>113</v>
      </c>
      <c r="E687" s="2">
        <v>86</v>
      </c>
      <c r="F687" s="2" t="str" cm="1">
        <f t="array" ref="F687">_xlfn.IFS(AND(101&gt;E687, E687&gt;69), "Top-Tier", AND(70&gt;E687, E687&gt;39), "Mid-Tier", 40&gt;E687, "Low-Tier")</f>
        <v>Top-Tier</v>
      </c>
      <c r="G687" s="4">
        <v>44713</v>
      </c>
      <c r="H687" t="s">
        <v>1099</v>
      </c>
      <c r="I687" t="s">
        <v>33</v>
      </c>
      <c r="J687" t="s">
        <v>50</v>
      </c>
      <c r="K687" t="s">
        <v>149</v>
      </c>
      <c r="L687" t="s">
        <v>24</v>
      </c>
      <c r="M687" t="s">
        <v>52</v>
      </c>
      <c r="N687" t="s">
        <v>31</v>
      </c>
      <c r="P687" s="3">
        <v>72</v>
      </c>
      <c r="Q687" t="str">
        <f>LEFT(B687, 4)</f>
        <v>Asus</v>
      </c>
      <c r="R687" t="str">
        <f t="shared" si="61"/>
        <v>Intel Core i3 (11th Gen)</v>
      </c>
      <c r="S687" t="str">
        <f t="shared" si="60"/>
        <v xml:space="preserve">8 GB </v>
      </c>
    </row>
    <row r="688" spans="1:19">
      <c r="A688" t="str">
        <f>LEFT(B688, LEN(B688)-15)</f>
        <v>Asus Vivobook 16X M1603QA-MB711WS Laptop (AMD Octa Core Ryzen 7/16 GB/512 GB SSD/Windows 11)</v>
      </c>
      <c r="B688" t="s">
        <v>1109</v>
      </c>
      <c r="C688" s="1">
        <v>54490</v>
      </c>
      <c r="D688" s="1">
        <v>183</v>
      </c>
      <c r="E688" s="2">
        <v>86</v>
      </c>
      <c r="F688" s="2" t="str" cm="1">
        <f t="array" ref="F688">_xlfn.IFS(AND(101&gt;E688, E688&gt;69), "Top-Tier", AND(70&gt;E688, E688&gt;39), "Mid-Tier", 40&gt;E688, "Low-Tier")</f>
        <v>Top-Tier</v>
      </c>
      <c r="G688" s="4">
        <v>44713</v>
      </c>
      <c r="H688" t="s">
        <v>1099</v>
      </c>
      <c r="I688" t="s">
        <v>33</v>
      </c>
      <c r="J688" t="s">
        <v>34</v>
      </c>
      <c r="K688" t="s">
        <v>1110</v>
      </c>
      <c r="L688" t="s">
        <v>24</v>
      </c>
      <c r="M688" t="s">
        <v>253</v>
      </c>
      <c r="N688" t="s">
        <v>31</v>
      </c>
      <c r="P688" s="3">
        <v>71</v>
      </c>
      <c r="Q688" t="str">
        <f>LEFT(B688, 4)</f>
        <v>Asus</v>
      </c>
      <c r="R688" t="str">
        <f t="shared" si="61"/>
        <v>Intel Core i3 (11th Gen)</v>
      </c>
      <c r="S688" t="str">
        <f t="shared" si="60"/>
        <v>16 GB</v>
      </c>
    </row>
    <row r="689" spans="1:19">
      <c r="A689" t="str">
        <f>LEFT(B689, LEN(B689)-15)</f>
        <v>Asus VivoBook Go 14 E1404FA-NK3325WS Laptop (AMD Quad Core Ryzen 3/8 GB/512 GB SSD/Windows 11)</v>
      </c>
      <c r="B689" t="s">
        <v>1111</v>
      </c>
      <c r="C689" s="1">
        <v>31990</v>
      </c>
      <c r="D689" s="1">
        <v>2430</v>
      </c>
      <c r="E689" s="2">
        <v>84</v>
      </c>
      <c r="F689" s="2" t="str" cm="1">
        <f t="array" ref="F689">_xlfn.IFS(AND(101&gt;E689, E689&gt;69), "Top-Tier", AND(70&gt;E689, E689&gt;39), "Mid-Tier", 40&gt;E689, "Low-Tier")</f>
        <v>Top-Tier</v>
      </c>
      <c r="G689" s="4">
        <v>45658</v>
      </c>
      <c r="H689" t="s">
        <v>1099</v>
      </c>
      <c r="I689" t="s">
        <v>33</v>
      </c>
      <c r="J689" t="s">
        <v>162</v>
      </c>
      <c r="K689" t="s">
        <v>427</v>
      </c>
      <c r="L689" t="s">
        <v>24</v>
      </c>
      <c r="M689" t="s">
        <v>95</v>
      </c>
      <c r="N689" t="s">
        <v>31</v>
      </c>
      <c r="P689" s="3">
        <v>74</v>
      </c>
      <c r="Q689" t="str">
        <f>LEFT(B689, 4)</f>
        <v>Asus</v>
      </c>
      <c r="R689" t="str">
        <f t="shared" si="61"/>
        <v>Intel Core i3 (11th Gen)</v>
      </c>
      <c r="S689" t="str">
        <f t="shared" si="60"/>
        <v xml:space="preserve">8 GB </v>
      </c>
    </row>
    <row r="690" spans="1:19">
      <c r="A690" t="str">
        <f>LEFT(B690, LEN(B690)-15)</f>
        <v>Asus Vivobook Go 15 E1504FA-NJ5542WS Laptop (AMD Quad Core Ryzen 5/16 GB/512 GB SSD/Windows 11)</v>
      </c>
      <c r="B690" t="s">
        <v>1112</v>
      </c>
      <c r="C690" s="1">
        <v>41500</v>
      </c>
      <c r="D690" s="1">
        <v>1065</v>
      </c>
      <c r="E690" s="2">
        <v>84</v>
      </c>
      <c r="F690" s="2" t="str" cm="1">
        <f t="array" ref="F690">_xlfn.IFS(AND(101&gt;E690, E690&gt;69), "Top-Tier", AND(70&gt;E690, E690&gt;39), "Mid-Tier", 40&gt;E690, "Low-Tier")</f>
        <v>Top-Tier</v>
      </c>
      <c r="G690" s="4">
        <v>45778</v>
      </c>
      <c r="H690" t="s">
        <v>1099</v>
      </c>
      <c r="I690" t="s">
        <v>33</v>
      </c>
      <c r="J690" t="s">
        <v>121</v>
      </c>
      <c r="K690" t="s">
        <v>159</v>
      </c>
      <c r="L690" t="s">
        <v>24</v>
      </c>
      <c r="M690" t="s">
        <v>95</v>
      </c>
      <c r="N690" t="s">
        <v>31</v>
      </c>
      <c r="P690" s="3">
        <v>74</v>
      </c>
      <c r="Q690" t="str">
        <f>LEFT(B690, 4)</f>
        <v>Asus</v>
      </c>
      <c r="R690" t="str">
        <f t="shared" si="61"/>
        <v>Intel Core i3 (11th Gen)</v>
      </c>
      <c r="S690" t="str">
        <f t="shared" si="60"/>
        <v>16 GB</v>
      </c>
    </row>
    <row r="691" spans="1:19">
      <c r="A691" t="str">
        <f>LEFT(B691, LEN(B691)-15)</f>
        <v>Asus VivoBook 15 X1504ZA-NJ549WS Laptop (Core i5 12th Gen/16 GB/512 GB SSD/Windows 11)</v>
      </c>
      <c r="B691" t="s">
        <v>1113</v>
      </c>
      <c r="C691" s="1">
        <v>46990</v>
      </c>
      <c r="D691" s="1">
        <v>7791</v>
      </c>
      <c r="E691" s="2">
        <v>84</v>
      </c>
      <c r="F691" s="2" t="str" cm="1">
        <f t="array" ref="F691">_xlfn.IFS(AND(101&gt;E691, E691&gt;69), "Top-Tier", AND(70&gt;E691, E691&gt;39), "Mid-Tier", 40&gt;E691, "Low-Tier")</f>
        <v>Top-Tier</v>
      </c>
      <c r="G691" s="4">
        <v>45536</v>
      </c>
      <c r="H691" t="s">
        <v>1099</v>
      </c>
      <c r="I691" t="s">
        <v>33</v>
      </c>
      <c r="J691" t="s">
        <v>34</v>
      </c>
      <c r="K691" t="s">
        <v>51</v>
      </c>
      <c r="L691" t="s">
        <v>24</v>
      </c>
      <c r="M691" t="s">
        <v>95</v>
      </c>
      <c r="N691" t="s">
        <v>31</v>
      </c>
      <c r="P691" s="3">
        <v>75</v>
      </c>
      <c r="Q691" t="str">
        <f>LEFT(B691, 4)</f>
        <v>Asus</v>
      </c>
      <c r="R691" t="str">
        <f t="shared" si="61"/>
        <v>Intel Core i3 (11th Gen)</v>
      </c>
      <c r="S691" t="str">
        <f t="shared" si="60"/>
        <v>16 GB</v>
      </c>
    </row>
    <row r="692" spans="1:19">
      <c r="A692" t="str">
        <f>LEFT(B692, LEN(B692)-15)</f>
        <v>Asus VivoBook 15 X1504ZA-NJ527WS Laptop (Core i5 12th Gen/8 GB/512 GB SSD/Windows 11)</v>
      </c>
      <c r="B692" t="s">
        <v>1114</v>
      </c>
      <c r="C692" s="1">
        <v>42990</v>
      </c>
      <c r="D692" s="1">
        <v>7783</v>
      </c>
      <c r="E692" s="2">
        <v>84</v>
      </c>
      <c r="F692" s="2" t="str" cm="1">
        <f t="array" ref="F692">_xlfn.IFS(AND(101&gt;E692, E692&gt;69), "Top-Tier", AND(70&gt;E692, E692&gt;39), "Mid-Tier", 40&gt;E692, "Low-Tier")</f>
        <v>Top-Tier</v>
      </c>
      <c r="G692" s="4">
        <v>45627</v>
      </c>
      <c r="H692" t="s">
        <v>1115</v>
      </c>
      <c r="I692" t="s">
        <v>33</v>
      </c>
      <c r="J692" t="s">
        <v>50</v>
      </c>
      <c r="K692" t="s">
        <v>51</v>
      </c>
      <c r="L692" t="s">
        <v>24</v>
      </c>
      <c r="M692" t="s">
        <v>95</v>
      </c>
      <c r="N692" t="s">
        <v>31</v>
      </c>
      <c r="Q692" t="str">
        <f>LEFT(B692, 4)</f>
        <v>Asus</v>
      </c>
      <c r="R692" t="str">
        <f t="shared" si="61"/>
        <v>Intel Core i3 (11th Gen)</v>
      </c>
      <c r="S692" t="str">
        <f t="shared" si="60"/>
        <v xml:space="preserve">8 GB </v>
      </c>
    </row>
    <row r="693" spans="1:19">
      <c r="A693" t="str">
        <f>LEFT(B693, LEN(B693)-15)</f>
        <v>Asus VivoBook 15 X1504ZA-NJ540WS Laptop (Core i5 12th Gen/16 GB/512 GB SSD/Windows 11)</v>
      </c>
      <c r="B693" t="s">
        <v>1116</v>
      </c>
      <c r="C693" s="1">
        <v>45990</v>
      </c>
      <c r="D693" s="1">
        <v>7783</v>
      </c>
      <c r="E693" s="2">
        <v>84</v>
      </c>
      <c r="F693" s="2" t="str" cm="1">
        <f t="array" ref="F693">_xlfn.IFS(AND(101&gt;E693, E693&gt;69), "Top-Tier", AND(70&gt;E693, E693&gt;39), "Mid-Tier", 40&gt;E693, "Low-Tier")</f>
        <v>Top-Tier</v>
      </c>
      <c r="G693" s="4">
        <v>45536</v>
      </c>
      <c r="H693" t="s">
        <v>1117</v>
      </c>
      <c r="I693" t="s">
        <v>33</v>
      </c>
      <c r="J693" t="s">
        <v>34</v>
      </c>
      <c r="K693" t="s">
        <v>51</v>
      </c>
      <c r="L693" t="s">
        <v>24</v>
      </c>
      <c r="M693" t="s">
        <v>95</v>
      </c>
      <c r="N693" t="s">
        <v>31</v>
      </c>
      <c r="P693" s="3">
        <v>75</v>
      </c>
      <c r="Q693" t="str">
        <f>LEFT(B693, 4)</f>
        <v>Asus</v>
      </c>
      <c r="R693" t="str">
        <f t="shared" si="61"/>
        <v>Intel Core i3 (11th Gen)</v>
      </c>
      <c r="S693" t="str">
        <f t="shared" si="60"/>
        <v>16 GB</v>
      </c>
    </row>
    <row r="694" spans="1:19">
      <c r="A694" t="str">
        <f>LEFT(B694, LEN(B694)-15)</f>
        <v>Asus Vivobook Go 15 E1504FA-NJ131WS Laptop (AMD Quad Core Ryzen 3/8 GB/512 GB SSD/Windows 11)</v>
      </c>
      <c r="B694" t="s">
        <v>1118</v>
      </c>
      <c r="C694" s="1">
        <v>31990</v>
      </c>
      <c r="D694" s="1">
        <v>3181</v>
      </c>
      <c r="E694" s="2">
        <v>84</v>
      </c>
      <c r="F694" s="2" t="str" cm="1">
        <f t="array" ref="F694">_xlfn.IFS(AND(101&gt;E694, E694&gt;69), "Top-Tier", AND(70&gt;E694, E694&gt;39), "Mid-Tier", 40&gt;E694, "Low-Tier")</f>
        <v>Top-Tier</v>
      </c>
      <c r="G694" s="4">
        <v>45748</v>
      </c>
      <c r="H694" t="s">
        <v>1117</v>
      </c>
      <c r="I694" t="s">
        <v>33</v>
      </c>
      <c r="J694" t="s">
        <v>162</v>
      </c>
      <c r="K694" t="s">
        <v>1119</v>
      </c>
      <c r="L694" t="s">
        <v>24</v>
      </c>
      <c r="M694" t="s">
        <v>95</v>
      </c>
      <c r="N694" t="s">
        <v>31</v>
      </c>
      <c r="P694" s="3">
        <v>72</v>
      </c>
      <c r="Q694" t="str">
        <f>LEFT(B694, 4)</f>
        <v>Asus</v>
      </c>
      <c r="R694" t="str">
        <f t="shared" si="61"/>
        <v>Intel Core i3 (11th Gen)</v>
      </c>
      <c r="S694" t="str">
        <f t="shared" si="60"/>
        <v xml:space="preserve">8 GB </v>
      </c>
    </row>
    <row r="695" spans="1:19">
      <c r="A695" t="str">
        <f>LEFT(B695, LEN(B695)-15)</f>
        <v>Acer Aspire 3 A324-53 (UN.34RSI.00B) Laptop (Core i3 13th Gen/8 GB/256 GB SSD/Windows 11)</v>
      </c>
      <c r="B695" t="s">
        <v>1120</v>
      </c>
      <c r="C695" s="1">
        <v>29990</v>
      </c>
      <c r="D695" s="1">
        <v>1763</v>
      </c>
      <c r="E695" s="2">
        <v>84</v>
      </c>
      <c r="F695" s="2" t="str" cm="1">
        <f t="array" ref="F695">_xlfn.IFS(AND(101&gt;E695, E695&gt;69), "Top-Tier", AND(70&gt;E695, E695&gt;39), "Mid-Tier", 40&gt;E695, "Low-Tier")</f>
        <v>Top-Tier</v>
      </c>
      <c r="G695" s="4">
        <v>45689</v>
      </c>
      <c r="H695" t="s">
        <v>1117</v>
      </c>
      <c r="I695" t="s">
        <v>33</v>
      </c>
      <c r="J695" t="s">
        <v>338</v>
      </c>
      <c r="K695" t="s">
        <v>354</v>
      </c>
      <c r="L695" t="s">
        <v>24</v>
      </c>
      <c r="M695" t="s">
        <v>336</v>
      </c>
      <c r="N695" t="s">
        <v>31</v>
      </c>
      <c r="P695" s="3">
        <v>76</v>
      </c>
      <c r="Q695" t="str">
        <f>LEFT(B695, 4)</f>
        <v>Acer</v>
      </c>
      <c r="R695" t="str">
        <f t="shared" si="61"/>
        <v>Intel Core i3 (11th Gen)</v>
      </c>
      <c r="S695" t="str">
        <f t="shared" si="60"/>
        <v xml:space="preserve">8 GB </v>
      </c>
    </row>
    <row r="696" spans="1:19">
      <c r="A696" t="str">
        <f>LEFT(B696, LEN(B696)-15)</f>
        <v>Acer Aspire 3 A324-53 (UN.34RSI.002) Laptop (Core i3 13th Gen/8 GB/512 GB SSD/Windows 11)</v>
      </c>
      <c r="B696" t="s">
        <v>1121</v>
      </c>
      <c r="C696" s="1">
        <v>33990</v>
      </c>
      <c r="D696" s="1">
        <v>1763</v>
      </c>
      <c r="E696" s="2">
        <v>84</v>
      </c>
      <c r="F696" s="2" t="str" cm="1">
        <f t="array" ref="F696">_xlfn.IFS(AND(101&gt;E696, E696&gt;69), "Top-Tier", AND(70&gt;E696, E696&gt;39), "Mid-Tier", 40&gt;E696, "Low-Tier")</f>
        <v>Top-Tier</v>
      </c>
      <c r="G696" s="4">
        <v>45566</v>
      </c>
      <c r="H696" t="s">
        <v>1117</v>
      </c>
      <c r="I696" t="s">
        <v>33</v>
      </c>
      <c r="J696" t="s">
        <v>50</v>
      </c>
      <c r="K696" t="s">
        <v>354</v>
      </c>
      <c r="L696" t="s">
        <v>24</v>
      </c>
      <c r="M696" t="s">
        <v>336</v>
      </c>
      <c r="N696" t="s">
        <v>31</v>
      </c>
      <c r="P696" s="3">
        <v>78</v>
      </c>
      <c r="Q696" t="str">
        <f>LEFT(B696, 4)</f>
        <v>Acer</v>
      </c>
      <c r="R696" t="str">
        <f t="shared" si="61"/>
        <v>Intel Core i3 (11th Gen)</v>
      </c>
      <c r="S696" t="str">
        <f t="shared" si="60"/>
        <v xml:space="preserve">8 GB </v>
      </c>
    </row>
    <row r="697" spans="1:19">
      <c r="A697" t="str">
        <f>LEFT(B697, LEN(B697)-15)</f>
        <v>Asus Vivobook Go 15 E1504GA-NJ3322WS Laptop (Core i3 12th Gen/8 GB/512 GB SSD/Windows 11)</v>
      </c>
      <c r="B697" t="s">
        <v>1122</v>
      </c>
      <c r="C697" s="1">
        <v>30990</v>
      </c>
      <c r="D697" s="1">
        <v>309</v>
      </c>
      <c r="E697" s="2">
        <v>84</v>
      </c>
      <c r="F697" s="2" t="str" cm="1">
        <f t="array" ref="F697">_xlfn.IFS(AND(101&gt;E697, E697&gt;69), "Top-Tier", AND(70&gt;E697, E697&gt;39), "Mid-Tier", 40&gt;E697, "Low-Tier")</f>
        <v>Top-Tier</v>
      </c>
      <c r="G697" s="4">
        <v>45658</v>
      </c>
      <c r="H697" t="s">
        <v>1117</v>
      </c>
      <c r="I697" t="s">
        <v>33</v>
      </c>
      <c r="J697" t="s">
        <v>50</v>
      </c>
      <c r="K697" t="s">
        <v>159</v>
      </c>
      <c r="L697" t="s">
        <v>24</v>
      </c>
      <c r="M697" t="s">
        <v>95</v>
      </c>
      <c r="N697" t="s">
        <v>31</v>
      </c>
      <c r="P697" s="3">
        <v>73</v>
      </c>
      <c r="Q697" t="str">
        <f>LEFT(B697, 4)</f>
        <v>Asus</v>
      </c>
      <c r="R697" t="str">
        <f t="shared" si="61"/>
        <v>Intel Core i3 (11th Gen)</v>
      </c>
      <c r="S697" t="str">
        <f t="shared" si="60"/>
        <v xml:space="preserve">8 GB </v>
      </c>
    </row>
    <row r="698" spans="1:19">
      <c r="A698" t="str">
        <f>LEFT(B698, LEN(B698)-15)</f>
        <v>HP Pavilion 16-af0056TU (B13XTPA) Laptop (Core Ultra 5/16 GB/1 TB SSD/Windows 11)</v>
      </c>
      <c r="B698" t="s">
        <v>1123</v>
      </c>
      <c r="C698" s="1">
        <v>75990</v>
      </c>
      <c r="D698" s="1">
        <v>384</v>
      </c>
      <c r="E698" s="2">
        <v>84</v>
      </c>
      <c r="F698" s="2" t="str" cm="1">
        <f t="array" ref="F698">_xlfn.IFS(AND(101&gt;E698, E698&gt;69), "Top-Tier", AND(70&gt;E698, E698&gt;39), "Mid-Tier", 40&gt;E698, "Low-Tier")</f>
        <v>Top-Tier</v>
      </c>
      <c r="G698" s="4">
        <v>45536</v>
      </c>
      <c r="H698" t="s">
        <v>1117</v>
      </c>
      <c r="I698" t="s">
        <v>33</v>
      </c>
      <c r="J698" t="s">
        <v>167</v>
      </c>
      <c r="K698" t="s">
        <v>155</v>
      </c>
      <c r="L698" t="s">
        <v>24</v>
      </c>
      <c r="M698" t="s">
        <v>95</v>
      </c>
      <c r="N698" t="s">
        <v>31</v>
      </c>
      <c r="P698" s="3">
        <v>82</v>
      </c>
      <c r="Q698" t="str">
        <f>LEFT(B698, 2)</f>
        <v>HP</v>
      </c>
      <c r="R698" t="str">
        <f t="shared" si="61"/>
        <v>Intel Core i3 (11th Gen)</v>
      </c>
      <c r="S698" t="str">
        <f t="shared" si="60"/>
        <v>16 GB</v>
      </c>
    </row>
    <row r="699" spans="1:19">
      <c r="A699" t="str">
        <f>LEFT(B699, LEN(B699)-15)</f>
        <v>Asus VivoBook 15 X1504VA-NJ2325WS Laptop (Core i3 13th Gen/16 GB/512 GB SSD/Windows 11)</v>
      </c>
      <c r="B699" t="s">
        <v>1124</v>
      </c>
      <c r="C699" s="1">
        <v>41990</v>
      </c>
      <c r="D699" s="1">
        <v>335</v>
      </c>
      <c r="E699" s="2">
        <v>84</v>
      </c>
      <c r="F699" s="2" t="str" cm="1">
        <f t="array" ref="F699">_xlfn.IFS(AND(101&gt;E699, E699&gt;69), "Top-Tier", AND(70&gt;E699, E699&gt;39), "Mid-Tier", 40&gt;E699, "Low-Tier")</f>
        <v>Top-Tier</v>
      </c>
      <c r="G699" s="4">
        <v>45658</v>
      </c>
      <c r="H699" t="s">
        <v>1117</v>
      </c>
      <c r="I699" t="s">
        <v>33</v>
      </c>
      <c r="J699" t="s">
        <v>34</v>
      </c>
      <c r="K699" t="s">
        <v>159</v>
      </c>
      <c r="L699" t="s">
        <v>24</v>
      </c>
      <c r="M699" t="s">
        <v>95</v>
      </c>
      <c r="N699" t="s">
        <v>31</v>
      </c>
      <c r="P699" s="3">
        <v>77</v>
      </c>
      <c r="Q699" t="str">
        <f>LEFT(B699, 4)</f>
        <v>Asus</v>
      </c>
      <c r="R699" t="str">
        <f t="shared" si="61"/>
        <v>Intel Core i3 (11th Gen)</v>
      </c>
      <c r="S699" t="str">
        <f t="shared" ref="S699:S762" si="62">LEFT(J699, 5)</f>
        <v>16 GB</v>
      </c>
    </row>
    <row r="700" spans="1:19">
      <c r="A700" t="str">
        <f>LEFT(B700, LEN(B700)-15)</f>
        <v>Asus VivoBook Go 14 E1404FA-NK3321WS Laptop (AMD Quad Core Ryzen 3/8 GB/512 GB SSD/Windows 11)</v>
      </c>
      <c r="B700" t="s">
        <v>1125</v>
      </c>
      <c r="C700" s="1">
        <v>33990</v>
      </c>
      <c r="D700" s="1">
        <v>2430</v>
      </c>
      <c r="E700" s="2">
        <v>84</v>
      </c>
      <c r="F700" s="2" t="str" cm="1">
        <f t="array" ref="F700">_xlfn.IFS(AND(101&gt;E700, E700&gt;69), "Top-Tier", AND(70&gt;E700, E700&gt;39), "Mid-Tier", 40&gt;E700, "Low-Tier")</f>
        <v>Top-Tier</v>
      </c>
      <c r="G700" s="4">
        <v>45658</v>
      </c>
      <c r="H700" t="s">
        <v>1126</v>
      </c>
      <c r="I700" t="s">
        <v>33</v>
      </c>
      <c r="J700" t="s">
        <v>162</v>
      </c>
      <c r="K700" t="s">
        <v>149</v>
      </c>
      <c r="L700" t="s">
        <v>24</v>
      </c>
      <c r="M700" t="s">
        <v>95</v>
      </c>
      <c r="N700" t="s">
        <v>31</v>
      </c>
      <c r="P700" s="3">
        <v>74</v>
      </c>
      <c r="Q700" t="str">
        <f>LEFT(B700, 4)</f>
        <v>Asus</v>
      </c>
      <c r="R700" t="str">
        <f t="shared" si="61"/>
        <v>Intel Core i3 (11th Gen)</v>
      </c>
      <c r="S700" t="str">
        <f t="shared" si="62"/>
        <v xml:space="preserve">8 GB </v>
      </c>
    </row>
    <row r="701" spans="1:19">
      <c r="A701" t="str">
        <f>LEFT(B701, LEN(B701)-15)</f>
        <v>Lenovo IdeaPad 15ALC7 (82R4010DIN) Laptop (AMD Hexa Core Ryzen 5/16 GB/512 GB SSD/Windows 11)</v>
      </c>
      <c r="B701" t="s">
        <v>1127</v>
      </c>
      <c r="C701" s="1">
        <v>37990</v>
      </c>
      <c r="D701" s="1">
        <v>8463</v>
      </c>
      <c r="E701" s="2">
        <v>84</v>
      </c>
      <c r="F701" s="2" t="str" cm="1">
        <f t="array" ref="F701">_xlfn.IFS(AND(101&gt;E701, E701&gt;69), "Top-Tier", AND(70&gt;E701, E701&gt;39), "Mid-Tier", 40&gt;E701, "Low-Tier")</f>
        <v>Top-Tier</v>
      </c>
      <c r="G701" s="4">
        <v>45658</v>
      </c>
      <c r="H701" t="s">
        <v>1128</v>
      </c>
      <c r="I701" t="s">
        <v>33</v>
      </c>
      <c r="J701" t="s">
        <v>34</v>
      </c>
      <c r="K701" t="s">
        <v>51</v>
      </c>
      <c r="L701" t="s">
        <v>24</v>
      </c>
      <c r="M701" t="s">
        <v>95</v>
      </c>
      <c r="N701" t="s">
        <v>31</v>
      </c>
      <c r="P701" s="3">
        <v>73</v>
      </c>
      <c r="Q701" t="str">
        <f>LEFT(B701, 6)</f>
        <v>Lenovo</v>
      </c>
      <c r="R701" t="str">
        <f t="shared" si="61"/>
        <v>Intel Core i3 (11th Gen)</v>
      </c>
      <c r="S701" t="str">
        <f t="shared" si="62"/>
        <v>16 GB</v>
      </c>
    </row>
    <row r="702" spans="1:19">
      <c r="A702" t="str">
        <f>LEFT(B702, LEN(B702)-15)</f>
        <v>Asus Vivobook Go 15 E1504FA-NJ132WS Laptop (AMD Quad Core Ryzen 5/8 GB/512 GB SSD/Windows 11)</v>
      </c>
      <c r="B702" t="s">
        <v>1129</v>
      </c>
      <c r="C702" s="1">
        <v>36990</v>
      </c>
      <c r="D702" s="1">
        <v>1514</v>
      </c>
      <c r="E702" s="2">
        <v>84</v>
      </c>
      <c r="F702" s="2" t="str" cm="1">
        <f t="array" ref="F702">_xlfn.IFS(AND(101&gt;E702, E702&gt;69), "Top-Tier", AND(70&gt;E702, E702&gt;39), "Mid-Tier", 40&gt;E702, "Low-Tier")</f>
        <v>Top-Tier</v>
      </c>
      <c r="G702" s="4">
        <v>45717</v>
      </c>
      <c r="H702" t="s">
        <v>1130</v>
      </c>
      <c r="I702" t="s">
        <v>33</v>
      </c>
      <c r="J702" t="s">
        <v>162</v>
      </c>
      <c r="K702" t="s">
        <v>466</v>
      </c>
      <c r="L702" t="s">
        <v>24</v>
      </c>
      <c r="M702" t="s">
        <v>95</v>
      </c>
      <c r="N702" t="s">
        <v>31</v>
      </c>
      <c r="P702" s="3">
        <v>71</v>
      </c>
      <c r="Q702" t="str">
        <f>LEFT(B702, 4)</f>
        <v>Asus</v>
      </c>
      <c r="R702" t="str">
        <f t="shared" si="61"/>
        <v>Intel Core i3 (11th Gen)</v>
      </c>
      <c r="S702" t="str">
        <f t="shared" si="62"/>
        <v xml:space="preserve">8 GB </v>
      </c>
    </row>
    <row r="703" spans="1:19">
      <c r="A703" t="str">
        <f>LEFT(B703, LEN(B703)-15)</f>
        <v>Acer One 14 Z8-415 (UN.31VSI.006) Laptop (Core i3 11th Gen/16 GB/512 GB SSD/Windows 11)</v>
      </c>
      <c r="B703" t="s">
        <v>1131</v>
      </c>
      <c r="C703" s="1">
        <v>29990</v>
      </c>
      <c r="D703" s="1">
        <v>13125</v>
      </c>
      <c r="E703" s="2">
        <v>84</v>
      </c>
      <c r="F703" s="2" t="str" cm="1">
        <f t="array" ref="F703">_xlfn.IFS(AND(101&gt;E703, E703&gt;69), "Top-Tier", AND(70&gt;E703, E703&gt;39), "Mid-Tier", 40&gt;E703, "Low-Tier")</f>
        <v>Top-Tier</v>
      </c>
      <c r="G703" s="4">
        <v>45627</v>
      </c>
      <c r="H703" t="s">
        <v>1132</v>
      </c>
      <c r="I703" t="s">
        <v>33</v>
      </c>
      <c r="J703" t="s">
        <v>34</v>
      </c>
      <c r="K703" t="s">
        <v>149</v>
      </c>
      <c r="L703" t="s">
        <v>24</v>
      </c>
      <c r="M703" t="s">
        <v>1133</v>
      </c>
      <c r="N703" t="s">
        <v>31</v>
      </c>
      <c r="Q703" t="str">
        <f>LEFT(B703, 4)</f>
        <v>Acer</v>
      </c>
      <c r="R703" t="str">
        <f t="shared" si="61"/>
        <v>Intel Core i3 (12th Gen)</v>
      </c>
      <c r="S703" t="str">
        <f t="shared" si="62"/>
        <v>16 GB</v>
      </c>
    </row>
    <row r="704" spans="1:19">
      <c r="A704" t="str">
        <f>LEFT(B704, LEN(B704)-15)</f>
        <v>Dell Vostro 3520 (VN3520HPCNX001ORB1) Laptop (Core i3 12th Gen/8 GB/512 GB SSD/Windows 11)</v>
      </c>
      <c r="B704" t="s">
        <v>1134</v>
      </c>
      <c r="C704" s="1">
        <v>33990</v>
      </c>
      <c r="D704" s="1">
        <v>476</v>
      </c>
      <c r="E704" s="2">
        <v>84</v>
      </c>
      <c r="F704" s="2" t="str" cm="1">
        <f t="array" ref="F704">_xlfn.IFS(AND(101&gt;E704, E704&gt;69), "Top-Tier", AND(70&gt;E704, E704&gt;39), "Mid-Tier", 40&gt;E704, "Low-Tier")</f>
        <v>Top-Tier</v>
      </c>
      <c r="G704" s="4">
        <v>45474</v>
      </c>
      <c r="H704" t="s">
        <v>1135</v>
      </c>
      <c r="I704" t="s">
        <v>33</v>
      </c>
      <c r="J704" t="s">
        <v>50</v>
      </c>
      <c r="K704" t="s">
        <v>51</v>
      </c>
      <c r="L704" t="s">
        <v>24</v>
      </c>
      <c r="M704" t="s">
        <v>122</v>
      </c>
      <c r="N704" t="s">
        <v>31</v>
      </c>
      <c r="P704" s="3">
        <v>73</v>
      </c>
      <c r="Q704" t="str">
        <f>LEFT(B704, 4)</f>
        <v>Dell</v>
      </c>
      <c r="R704" t="str">
        <f t="shared" si="61"/>
        <v>Intel Core i3 (12th Gen)</v>
      </c>
      <c r="S704" t="str">
        <f t="shared" si="62"/>
        <v xml:space="preserve">8 GB </v>
      </c>
    </row>
    <row r="705" spans="1:19">
      <c r="A705" t="str">
        <f>LEFT(B705, LEN(B705)-15)</f>
        <v>Dell Vostro 3520 (VN3520CYGGW001SDG1) Laptop (Core i5 12th Gen/16 GB/512 GB SSD/Windows 11)</v>
      </c>
      <c r="B705" t="s">
        <v>1136</v>
      </c>
      <c r="C705" s="1">
        <v>50989</v>
      </c>
      <c r="D705" s="1">
        <v>476</v>
      </c>
      <c r="E705" s="2">
        <v>84</v>
      </c>
      <c r="F705" s="2" t="str" cm="1">
        <f t="array" ref="F705">_xlfn.IFS(AND(101&gt;E705, E705&gt;69), "Top-Tier", AND(70&gt;E705, E705&gt;39), "Mid-Tier", 40&gt;E705, "Low-Tier")</f>
        <v>Top-Tier</v>
      </c>
      <c r="G705" s="4">
        <v>45444</v>
      </c>
      <c r="H705" t="s">
        <v>1135</v>
      </c>
      <c r="I705" t="s">
        <v>33</v>
      </c>
      <c r="J705" t="s">
        <v>34</v>
      </c>
      <c r="K705" t="s">
        <v>51</v>
      </c>
      <c r="L705" t="s">
        <v>24</v>
      </c>
      <c r="N705" t="s">
        <v>31</v>
      </c>
      <c r="P705" s="3">
        <v>75</v>
      </c>
      <c r="Q705" t="str">
        <f>LEFT(B705, 4)</f>
        <v>Dell</v>
      </c>
      <c r="R705" t="str">
        <f t="shared" si="61"/>
        <v>Intel Core i3 (12th Gen)</v>
      </c>
      <c r="S705" t="str">
        <f t="shared" si="62"/>
        <v>16 GB</v>
      </c>
    </row>
    <row r="706" spans="1:19">
      <c r="A706" t="str">
        <f>LEFT(B706, LEN(B706)-15)</f>
        <v>Asus VivoBook Go 14 E1404FA-NK5542WS Laptop (AMD Quad Core Ryzen 5/16 GB/512 GB SSD/Windows 11)</v>
      </c>
      <c r="B706" t="s">
        <v>1137</v>
      </c>
      <c r="C706" s="1">
        <v>41990</v>
      </c>
      <c r="D706" s="1">
        <v>1080</v>
      </c>
      <c r="E706" s="2">
        <v>84</v>
      </c>
      <c r="F706" s="2" t="str" cm="1">
        <f t="array" ref="F706">_xlfn.IFS(AND(101&gt;E706, E706&gt;69), "Top-Tier", AND(70&gt;E706, E706&gt;39), "Mid-Tier", 40&gt;E706, "Low-Tier")</f>
        <v>Top-Tier</v>
      </c>
      <c r="G706" s="4">
        <v>45658</v>
      </c>
      <c r="H706" t="s">
        <v>1135</v>
      </c>
      <c r="I706" t="s">
        <v>33</v>
      </c>
      <c r="J706" t="s">
        <v>121</v>
      </c>
      <c r="K706" t="s">
        <v>149</v>
      </c>
      <c r="L706" t="s">
        <v>24</v>
      </c>
      <c r="M706" t="s">
        <v>95</v>
      </c>
      <c r="N706" t="s">
        <v>31</v>
      </c>
      <c r="P706" s="3">
        <v>75</v>
      </c>
      <c r="Q706" t="str">
        <f>LEFT(B706, 4)</f>
        <v>Asus</v>
      </c>
      <c r="R706" t="str">
        <f t="shared" si="61"/>
        <v>Intel Core i3 (12th Gen)</v>
      </c>
      <c r="S706" t="str">
        <f t="shared" si="62"/>
        <v>16 GB</v>
      </c>
    </row>
    <row r="707" spans="1:19">
      <c r="A707" t="str">
        <f>LEFT(B707, LEN(B707)-15)</f>
        <v>Asus VivoBook Go 14 E1404FA-NK5541WS Laptop (AMD Quad Core Ryzen 5/16 GB/512 GB SSD/Windows 11)</v>
      </c>
      <c r="B707" t="s">
        <v>1138</v>
      </c>
      <c r="C707" s="1">
        <v>41988</v>
      </c>
      <c r="D707" s="1">
        <v>1080</v>
      </c>
      <c r="E707" s="2">
        <v>84</v>
      </c>
      <c r="F707" s="2" t="str" cm="1">
        <f t="array" ref="F707">_xlfn.IFS(AND(101&gt;E707, E707&gt;69), "Top-Tier", AND(70&gt;E707, E707&gt;39), "Mid-Tier", 40&gt;E707, "Low-Tier")</f>
        <v>Top-Tier</v>
      </c>
      <c r="G707" s="4">
        <v>45658</v>
      </c>
      <c r="H707" t="s">
        <v>1135</v>
      </c>
      <c r="I707" t="s">
        <v>33</v>
      </c>
      <c r="J707" t="s">
        <v>121</v>
      </c>
      <c r="K707" t="s">
        <v>427</v>
      </c>
      <c r="L707" t="s">
        <v>24</v>
      </c>
      <c r="M707" t="s">
        <v>95</v>
      </c>
      <c r="N707" t="s">
        <v>31</v>
      </c>
      <c r="P707" s="3">
        <v>73</v>
      </c>
      <c r="Q707" t="str">
        <f>LEFT(B707, 4)</f>
        <v>Asus</v>
      </c>
      <c r="R707" t="str">
        <f t="shared" si="61"/>
        <v>Intel Core i3 (12th Gen)</v>
      </c>
      <c r="S707" t="str">
        <f t="shared" si="62"/>
        <v>16 GB</v>
      </c>
    </row>
    <row r="708" spans="1:19">
      <c r="A708" t="str">
        <f>LEFT(B708, LEN(B708)-15)</f>
        <v>Lenovo IdeaPad 3 14IAU7 (82RJ00FUIN) Laptop (Core i3 12th Gen/8 GB/512 GB SSD/Windows 11)</v>
      </c>
      <c r="B708" t="s">
        <v>1139</v>
      </c>
      <c r="C708" s="1">
        <v>34249</v>
      </c>
      <c r="D708" s="1">
        <v>1782</v>
      </c>
      <c r="E708" s="2">
        <v>84</v>
      </c>
      <c r="F708" s="2" t="str" cm="1">
        <f t="array" ref="F708">_xlfn.IFS(AND(101&gt;E708, E708&gt;69), "Top-Tier", AND(70&gt;E708, E708&gt;39), "Mid-Tier", 40&gt;E708, "Low-Tier")</f>
        <v>Top-Tier</v>
      </c>
      <c r="G708" s="4">
        <v>45505</v>
      </c>
      <c r="H708" t="s">
        <v>1135</v>
      </c>
      <c r="I708" t="s">
        <v>33</v>
      </c>
      <c r="J708" t="s">
        <v>50</v>
      </c>
      <c r="K708" t="s">
        <v>1140</v>
      </c>
      <c r="L708" t="s">
        <v>24</v>
      </c>
      <c r="M708" t="s">
        <v>52</v>
      </c>
      <c r="N708" t="s">
        <v>31</v>
      </c>
      <c r="P708" s="3">
        <v>73</v>
      </c>
      <c r="Q708" t="str">
        <f>LEFT(B708, 6)</f>
        <v>Lenovo</v>
      </c>
      <c r="R708" t="str">
        <f t="shared" si="61"/>
        <v>Intel Core i3 (12th Gen)</v>
      </c>
      <c r="S708" t="str">
        <f t="shared" si="62"/>
        <v xml:space="preserve">8 GB </v>
      </c>
    </row>
    <row r="709" spans="1:19">
      <c r="A709" t="str">
        <f>LEFT(B709, LEN(B709)-15)</f>
        <v>Samsung Galaxy Book 4 Pro NP940XGK-KS1IN Laptop (Core Ultra 5/16 GB/512 GB SSD/Windows 11)</v>
      </c>
      <c r="B709" t="s">
        <v>1141</v>
      </c>
      <c r="C709" s="1">
        <v>131990</v>
      </c>
      <c r="D709" s="1">
        <v>57</v>
      </c>
      <c r="E709" s="2">
        <v>84</v>
      </c>
      <c r="F709" s="2" t="str" cm="1">
        <f t="array" ref="F709">_xlfn.IFS(AND(101&gt;E709, E709&gt;69), "Top-Tier", AND(70&gt;E709, E709&gt;39), "Mid-Tier", 40&gt;E709, "Low-Tier")</f>
        <v>Top-Tier</v>
      </c>
      <c r="G709" s="4">
        <v>45323</v>
      </c>
      <c r="H709" t="s">
        <v>1135</v>
      </c>
      <c r="I709" t="s">
        <v>33</v>
      </c>
      <c r="J709" t="s">
        <v>63</v>
      </c>
      <c r="K709" t="s">
        <v>450</v>
      </c>
      <c r="L709" t="s">
        <v>24</v>
      </c>
      <c r="M709" t="s">
        <v>451</v>
      </c>
      <c r="N709" t="s">
        <v>31</v>
      </c>
      <c r="P709" s="3">
        <v>84</v>
      </c>
      <c r="Q709" t="str">
        <f>LEFT(B709, 7)</f>
        <v>Samsung</v>
      </c>
      <c r="R709" t="str">
        <f t="shared" si="61"/>
        <v>Intel Core i3 (12th Gen)</v>
      </c>
      <c r="S709" t="str">
        <f t="shared" si="62"/>
        <v>16 GB</v>
      </c>
    </row>
    <row r="710" spans="1:19">
      <c r="A710" t="str">
        <f>LEFT(B710, LEN(B710)-15)</f>
        <v>HP 15-BE014tx (1HQ27PA) Laptop (Core i3 6th Gen/4 GB/1 TB/DOS/2 GB)</v>
      </c>
      <c r="B710" t="s">
        <v>1142</v>
      </c>
      <c r="C710" s="1">
        <v>35929</v>
      </c>
      <c r="D710" s="1">
        <v>591</v>
      </c>
      <c r="E710" s="2">
        <v>84</v>
      </c>
      <c r="F710" s="2" t="str" cm="1">
        <f t="array" ref="F710">_xlfn.IFS(AND(101&gt;E710, E710&gt;69), "Top-Tier", AND(70&gt;E710, E710&gt;39), "Mid-Tier", 40&gt;E710, "Low-Tier")</f>
        <v>Top-Tier</v>
      </c>
      <c r="H710" t="s">
        <v>1143</v>
      </c>
      <c r="I710" t="s">
        <v>124</v>
      </c>
      <c r="J710" t="s">
        <v>1144</v>
      </c>
      <c r="K710" t="s">
        <v>705</v>
      </c>
      <c r="L710" t="s">
        <v>24</v>
      </c>
      <c r="N710" t="s">
        <v>31</v>
      </c>
      <c r="O710" t="s">
        <v>152</v>
      </c>
      <c r="Q710" t="str">
        <f>LEFT(B710, 2)</f>
        <v>HP</v>
      </c>
      <c r="R710" t="str">
        <f t="shared" si="61"/>
        <v>Intel Core i3 (12th Gen)</v>
      </c>
      <c r="S710" t="str">
        <f t="shared" si="62"/>
        <v xml:space="preserve">4 GB </v>
      </c>
    </row>
    <row r="711" spans="1:19">
      <c r="A711" t="str">
        <f>LEFT(B711, LEN(B711)-15)</f>
        <v>Lenovo LOQ 15IAX9E (83LK0068IN) Laptop (Core i7 12th Gen/12 GB/512 GB SSD/Windows 11/6 GB)</v>
      </c>
      <c r="B711" t="s">
        <v>1145</v>
      </c>
      <c r="C711" s="1">
        <v>68990</v>
      </c>
      <c r="D711" s="1">
        <v>79</v>
      </c>
      <c r="E711" s="2">
        <v>84</v>
      </c>
      <c r="F711" s="2" t="str" cm="1">
        <f t="array" ref="F711">_xlfn.IFS(AND(101&gt;E711, E711&gt;69), "Top-Tier", AND(70&gt;E711, E711&gt;39), "Mid-Tier", 40&gt;E711, "Low-Tier")</f>
        <v>Top-Tier</v>
      </c>
      <c r="G711" s="4">
        <v>45658</v>
      </c>
      <c r="H711" t="s">
        <v>1146</v>
      </c>
      <c r="I711" t="s">
        <v>33</v>
      </c>
      <c r="J711" t="s">
        <v>726</v>
      </c>
      <c r="K711" t="s">
        <v>51</v>
      </c>
      <c r="L711" t="s">
        <v>24</v>
      </c>
      <c r="N711" t="s">
        <v>31</v>
      </c>
      <c r="P711" s="3">
        <v>87</v>
      </c>
      <c r="Q711" t="str">
        <f>LEFT(B711, 6)</f>
        <v>Lenovo</v>
      </c>
      <c r="R711" t="str">
        <f t="shared" si="61"/>
        <v>Intel Core i3 (12th Gen)</v>
      </c>
      <c r="S711" t="str">
        <f t="shared" si="62"/>
        <v>12 GB</v>
      </c>
    </row>
    <row r="712" spans="1:19">
      <c r="A712" t="str">
        <f>LEFT(B712, LEN(B712)-15)</f>
        <v>Lenovo IdeaPad Slim 1 Gen 7 (82R400EHIN) Laptop (AMD Octa Core Ryzen 7/16 GB/512 GB SSD/Windows 11)</v>
      </c>
      <c r="B712" t="s">
        <v>1147</v>
      </c>
      <c r="C712" s="1">
        <v>45090</v>
      </c>
      <c r="D712" s="1">
        <v>462</v>
      </c>
      <c r="E712" s="2">
        <v>84</v>
      </c>
      <c r="F712" s="2" t="str" cm="1">
        <f t="array" ref="F712">_xlfn.IFS(AND(101&gt;E712, E712&gt;69), "Top-Tier", AND(70&gt;E712, E712&gt;39), "Mid-Tier", 40&gt;E712, "Low-Tier")</f>
        <v>Top-Tier</v>
      </c>
      <c r="G712" s="4">
        <v>45536</v>
      </c>
      <c r="H712" t="s">
        <v>1146</v>
      </c>
      <c r="I712" t="s">
        <v>33</v>
      </c>
      <c r="J712" t="s">
        <v>34</v>
      </c>
      <c r="K712" t="s">
        <v>51</v>
      </c>
      <c r="L712" t="s">
        <v>24</v>
      </c>
      <c r="N712" t="s">
        <v>31</v>
      </c>
      <c r="P712" s="3">
        <v>72</v>
      </c>
      <c r="Q712" t="str">
        <f>LEFT(B712, 6)</f>
        <v>Lenovo</v>
      </c>
      <c r="R712" t="str">
        <f t="shared" si="61"/>
        <v>Intel Core i3 (12th Gen)</v>
      </c>
      <c r="S712" t="str">
        <f t="shared" si="62"/>
        <v>16 GB</v>
      </c>
    </row>
    <row r="713" spans="1:19">
      <c r="A713" t="str">
        <f>LEFT(B713, LEN(B713)-15)</f>
        <v>Lenovo Yoga Slim 7 14IMH9 (83CV0047IN) Laptop (Core Ultra 7/16 GB/1 TB SSD/Windows 11)</v>
      </c>
      <c r="B713" t="s">
        <v>1148</v>
      </c>
      <c r="C713" s="1">
        <v>91990</v>
      </c>
      <c r="D713" s="1">
        <v>41</v>
      </c>
      <c r="E713" s="2">
        <v>84</v>
      </c>
      <c r="F713" s="2" t="str" cm="1">
        <f t="array" ref="F713">_xlfn.IFS(AND(101&gt;E713, E713&gt;69), "Top-Tier", AND(70&gt;E713, E713&gt;39), "Mid-Tier", 40&gt;E713, "Low-Tier")</f>
        <v>Top-Tier</v>
      </c>
      <c r="G713" s="4">
        <v>45536</v>
      </c>
      <c r="H713" t="s">
        <v>1149</v>
      </c>
      <c r="I713" t="s">
        <v>33</v>
      </c>
      <c r="J713" t="s">
        <v>42</v>
      </c>
      <c r="K713" t="s">
        <v>59</v>
      </c>
      <c r="L713" t="s">
        <v>24</v>
      </c>
      <c r="M713" t="s">
        <v>108</v>
      </c>
      <c r="N713" t="s">
        <v>31</v>
      </c>
      <c r="P713" s="3">
        <v>86</v>
      </c>
      <c r="Q713" t="str">
        <f>LEFT(B713, 6)</f>
        <v>Lenovo</v>
      </c>
      <c r="R713" t="str">
        <f t="shared" si="61"/>
        <v>Intel Core i3 (12th Gen)</v>
      </c>
      <c r="S713" t="str">
        <f t="shared" si="62"/>
        <v>16 GB</v>
      </c>
    </row>
    <row r="714" spans="1:19">
      <c r="A714" t="str">
        <f>LEFT(B714, LEN(B714)-15)</f>
        <v>Asus VivoBook 15 X543UB-DM581T Laptop (Core i5 8th Gen/8 GB/1 TB/Windows 10/2 GB)</v>
      </c>
      <c r="B714" t="s">
        <v>1150</v>
      </c>
      <c r="C714" s="1">
        <v>41990</v>
      </c>
      <c r="D714" s="1">
        <v>1021</v>
      </c>
      <c r="E714" s="2">
        <v>84</v>
      </c>
      <c r="F714" s="2" t="str" cm="1">
        <f t="array" ref="F714">_xlfn.IFS(AND(101&gt;E714, E714&gt;69), "Top-Tier", AND(70&gt;E714, E714&gt;39), "Mid-Tier", 40&gt;E714, "Low-Tier")</f>
        <v>Top-Tier</v>
      </c>
      <c r="G714" s="4">
        <v>44013</v>
      </c>
      <c r="H714" t="s">
        <v>1149</v>
      </c>
      <c r="I714" t="s">
        <v>248</v>
      </c>
      <c r="J714" t="s">
        <v>332</v>
      </c>
      <c r="K714" t="s">
        <v>249</v>
      </c>
      <c r="L714" t="s">
        <v>24</v>
      </c>
      <c r="N714" t="s">
        <v>31</v>
      </c>
      <c r="Q714" t="str">
        <f>LEFT(B714, 4)</f>
        <v>Asus</v>
      </c>
      <c r="R714" t="str">
        <f t="shared" si="61"/>
        <v>Intel Core i3 (12th Gen)</v>
      </c>
      <c r="S714" t="str">
        <f t="shared" si="62"/>
        <v xml:space="preserve">8 GB </v>
      </c>
    </row>
    <row r="715" spans="1:19">
      <c r="A715" t="str">
        <f>LEFT(B715, LEN(B715)-15)</f>
        <v>MSI Cyborg 15 A12UDX-1468IN Laptop (Core i5 12th Gen/16 GB/512 GB SSD/Windows 11/6 GB)</v>
      </c>
      <c r="B715" t="s">
        <v>1151</v>
      </c>
      <c r="C715" s="1">
        <v>61990</v>
      </c>
      <c r="D715" s="1">
        <v>38</v>
      </c>
      <c r="E715" s="2">
        <v>84</v>
      </c>
      <c r="F715" s="2" t="str" cm="1">
        <f t="array" ref="F715">_xlfn.IFS(AND(101&gt;E715, E715&gt;69), "Top-Tier", AND(70&gt;E715, E715&gt;39), "Mid-Tier", 40&gt;E715, "Low-Tier")</f>
        <v>Top-Tier</v>
      </c>
      <c r="G715" s="4">
        <v>45566</v>
      </c>
      <c r="H715" t="s">
        <v>1149</v>
      </c>
      <c r="I715" t="s">
        <v>33</v>
      </c>
      <c r="J715" t="s">
        <v>54</v>
      </c>
      <c r="K715" t="s">
        <v>51</v>
      </c>
      <c r="L715" t="s">
        <v>24</v>
      </c>
      <c r="N715" t="s">
        <v>31</v>
      </c>
      <c r="P715" s="3">
        <v>85</v>
      </c>
      <c r="Q715" t="str">
        <f>LEFT(B715, 3)</f>
        <v>MSI</v>
      </c>
      <c r="R715" t="str">
        <f t="shared" si="61"/>
        <v>Intel Core i3 (12th Gen)</v>
      </c>
      <c r="S715" t="str">
        <f t="shared" si="62"/>
        <v>16 GB</v>
      </c>
    </row>
    <row r="716" spans="1:19">
      <c r="A716" t="str">
        <f>LEFT(B716, LEN(B716)-15)</f>
        <v>MSI GF63 Thin 11UC-866IN Laptop (Core i7 11th Gen/8 GB/512 GB SSD/Windows 10/4 GB)</v>
      </c>
      <c r="B716" t="s">
        <v>1152</v>
      </c>
      <c r="C716" s="1">
        <v>95990</v>
      </c>
      <c r="D716" s="1">
        <v>1096</v>
      </c>
      <c r="E716" s="2">
        <v>84</v>
      </c>
      <c r="F716" s="2" t="str" cm="1">
        <f t="array" ref="F716">_xlfn.IFS(AND(101&gt;E716, E716&gt;69), "Top-Tier", AND(70&gt;E716, E716&gt;39), "Mid-Tier", 40&gt;E716, "Low-Tier")</f>
        <v>Top-Tier</v>
      </c>
      <c r="G716" s="4">
        <v>44682</v>
      </c>
      <c r="H716" t="s">
        <v>1149</v>
      </c>
      <c r="I716" t="s">
        <v>248</v>
      </c>
      <c r="J716" t="s">
        <v>50</v>
      </c>
      <c r="K716" t="s">
        <v>51</v>
      </c>
      <c r="L716" t="s">
        <v>24</v>
      </c>
      <c r="M716" t="s">
        <v>113</v>
      </c>
      <c r="N716" t="s">
        <v>31</v>
      </c>
      <c r="P716" s="3">
        <v>77</v>
      </c>
      <c r="Q716" t="str">
        <f>LEFT(B716, 3)</f>
        <v>MSI</v>
      </c>
      <c r="R716" t="str">
        <f t="shared" si="61"/>
        <v>Intel Core i3 (12th Gen)</v>
      </c>
      <c r="S716" t="str">
        <f t="shared" si="62"/>
        <v xml:space="preserve">8 GB </v>
      </c>
    </row>
    <row r="717" spans="1:19">
      <c r="A717" t="str">
        <f>LEFT(B717, LEN(B717)-15)</f>
        <v>Asus Zenbook 14 OLED UX3405MA-PP555WS Laptop (Core Ultra 5/16 GB/1 TB SSD/Windows 11)</v>
      </c>
      <c r="B717" t="s">
        <v>1153</v>
      </c>
      <c r="C717" s="1">
        <v>89990</v>
      </c>
      <c r="D717" s="1">
        <v>28</v>
      </c>
      <c r="E717" s="2">
        <v>84</v>
      </c>
      <c r="F717" s="2" t="str" cm="1">
        <f t="array" ref="F717">_xlfn.IFS(AND(101&gt;E717, E717&gt;69), "Top-Tier", AND(70&gt;E717, E717&gt;39), "Mid-Tier", 40&gt;E717, "Low-Tier")</f>
        <v>Top-Tier</v>
      </c>
      <c r="G717" s="4">
        <v>45658</v>
      </c>
      <c r="H717" t="s">
        <v>1149</v>
      </c>
      <c r="I717" t="s">
        <v>33</v>
      </c>
      <c r="J717" t="s">
        <v>42</v>
      </c>
      <c r="K717" t="s">
        <v>81</v>
      </c>
      <c r="L717" t="s">
        <v>24</v>
      </c>
      <c r="M717" t="s">
        <v>108</v>
      </c>
      <c r="N717" t="s">
        <v>31</v>
      </c>
      <c r="P717" s="3">
        <v>85</v>
      </c>
      <c r="Q717" t="str">
        <f>LEFT(B717, 4)</f>
        <v>Asus</v>
      </c>
      <c r="R717" t="str">
        <f t="shared" si="61"/>
        <v>Intel Core i3 (12th Gen)</v>
      </c>
      <c r="S717" t="str">
        <f t="shared" si="62"/>
        <v>16 GB</v>
      </c>
    </row>
    <row r="718" spans="1:19">
      <c r="A718" t="str">
        <f>LEFT(B718, LEN(B718)-15)</f>
        <v>MSI GE62VR 7RF Apache Pro Laptop (Core i7 7th Gen/16 GB/1 TB 256 GB SSD/Windows 10/6 GB)</v>
      </c>
      <c r="B718" t="s">
        <v>1154</v>
      </c>
      <c r="C718" s="1">
        <v>139990</v>
      </c>
      <c r="D718" s="1">
        <v>50</v>
      </c>
      <c r="E718" s="2">
        <v>84</v>
      </c>
      <c r="F718" s="2" t="str" cm="1">
        <f t="array" ref="F718">_xlfn.IFS(AND(101&gt;E718, E718&gt;69), "Top-Tier", AND(70&gt;E718, E718&gt;39), "Mid-Tier", 40&gt;E718, "Low-Tier")</f>
        <v>Top-Tier</v>
      </c>
      <c r="H718" t="s">
        <v>1155</v>
      </c>
      <c r="I718" t="s">
        <v>248</v>
      </c>
      <c r="J718" t="s">
        <v>315</v>
      </c>
      <c r="K718" t="s">
        <v>249</v>
      </c>
      <c r="L718" t="s">
        <v>24</v>
      </c>
      <c r="N718" t="s">
        <v>31</v>
      </c>
      <c r="O718" t="s">
        <v>152</v>
      </c>
      <c r="Q718" t="str">
        <f>LEFT(B718, 3)</f>
        <v>MSI</v>
      </c>
      <c r="R718" t="str">
        <f t="shared" si="61"/>
        <v>Intel Core i3 (12th Gen)</v>
      </c>
      <c r="S718" t="str">
        <f t="shared" si="62"/>
        <v>16 GB</v>
      </c>
    </row>
    <row r="719" spans="1:19">
      <c r="A719" t="str">
        <f>LEFT(B719, LEN(B719)-15)</f>
        <v>HP 255 G10 (B15HZPT) Laptop (AMD Quad Core Ryzen 5/8 GB/512 GB SSD/Windows 11)</v>
      </c>
      <c r="B719" t="s">
        <v>1156</v>
      </c>
      <c r="C719" s="1">
        <v>28341</v>
      </c>
      <c r="D719" s="1">
        <v>781</v>
      </c>
      <c r="E719" s="2">
        <v>84</v>
      </c>
      <c r="F719" s="2" t="str" cm="1">
        <f t="array" ref="F719">_xlfn.IFS(AND(101&gt;E719, E719&gt;69), "Top-Tier", AND(70&gt;E719, E719&gt;39), "Mid-Tier", 40&gt;E719, "Low-Tier")</f>
        <v>Top-Tier</v>
      </c>
      <c r="G719" s="4">
        <v>45658</v>
      </c>
      <c r="H719" t="s">
        <v>1155</v>
      </c>
      <c r="I719" t="s">
        <v>33</v>
      </c>
      <c r="J719" t="s">
        <v>50</v>
      </c>
      <c r="K719" t="s">
        <v>560</v>
      </c>
      <c r="L719" t="s">
        <v>24</v>
      </c>
      <c r="N719" t="s">
        <v>31</v>
      </c>
      <c r="Q719" t="str">
        <f>LEFT(B719, 2)</f>
        <v>HP</v>
      </c>
      <c r="R719" t="str">
        <f t="shared" si="61"/>
        <v>Intel Core i3 (12th Gen)</v>
      </c>
      <c r="S719" t="str">
        <f t="shared" si="62"/>
        <v xml:space="preserve">8 GB </v>
      </c>
    </row>
    <row r="720" spans="1:19">
      <c r="A720" t="str">
        <f>LEFT(B720, LEN(B720)-15)</f>
        <v>Lenovo IdeaPad Slim 3 (83EQ005TIN) Laptop (Core i5 12th Gen/8 GB/512 GB SSD/Windows 11)</v>
      </c>
      <c r="B720" t="s">
        <v>1157</v>
      </c>
      <c r="C720" s="1">
        <v>42990</v>
      </c>
      <c r="D720" s="1">
        <v>720</v>
      </c>
      <c r="E720" s="2">
        <v>84</v>
      </c>
      <c r="F720" s="2" t="str" cm="1">
        <f t="array" ref="F720">_xlfn.IFS(AND(101&gt;E720, E720&gt;69), "Top-Tier", AND(70&gt;E720, E720&gt;39), "Mid-Tier", 40&gt;E720, "Low-Tier")</f>
        <v>Top-Tier</v>
      </c>
      <c r="G720" s="4">
        <v>45536</v>
      </c>
      <c r="H720" t="s">
        <v>1158</v>
      </c>
      <c r="I720" t="s">
        <v>33</v>
      </c>
      <c r="J720" t="s">
        <v>162</v>
      </c>
      <c r="K720" t="s">
        <v>1159</v>
      </c>
      <c r="L720" t="s">
        <v>24</v>
      </c>
      <c r="M720" t="s">
        <v>95</v>
      </c>
      <c r="N720" t="s">
        <v>31</v>
      </c>
      <c r="P720" s="3">
        <v>75</v>
      </c>
      <c r="Q720" t="str">
        <f>LEFT(B720, 6)</f>
        <v>Lenovo</v>
      </c>
      <c r="R720" t="str">
        <f t="shared" si="61"/>
        <v>Intel Core i3 (12th Gen)</v>
      </c>
      <c r="S720" t="str">
        <f t="shared" si="62"/>
        <v xml:space="preserve">8 GB </v>
      </c>
    </row>
    <row r="721" spans="1:19">
      <c r="A721" t="str">
        <f>LEFT(B721, LEN(B721)-15)</f>
        <v>Dell Inspiron 15 3520 (0IN352010031RINB1M) Laptop (Core i5 12th Gen/8 GB/512 GB SSD/Windows 11)</v>
      </c>
      <c r="B721" t="s">
        <v>1160</v>
      </c>
      <c r="C721" s="1">
        <v>47990</v>
      </c>
      <c r="D721" s="1">
        <v>1227</v>
      </c>
      <c r="E721" s="2">
        <v>84</v>
      </c>
      <c r="F721" s="2" t="str" cm="1">
        <f t="array" ref="F721">_xlfn.IFS(AND(101&gt;E721, E721&gt;69), "Top-Tier", AND(70&gt;E721, E721&gt;39), "Mid-Tier", 40&gt;E721, "Low-Tier")</f>
        <v>Top-Tier</v>
      </c>
      <c r="G721" s="4">
        <v>45597</v>
      </c>
      <c r="H721" t="s">
        <v>1158</v>
      </c>
      <c r="I721" t="s">
        <v>33</v>
      </c>
      <c r="J721" t="s">
        <v>50</v>
      </c>
      <c r="K721" t="s">
        <v>51</v>
      </c>
      <c r="L721" t="s">
        <v>24</v>
      </c>
      <c r="N721" t="s">
        <v>31</v>
      </c>
      <c r="Q721" t="str">
        <f>LEFT(B721, 4)</f>
        <v>Dell</v>
      </c>
      <c r="R721" t="str">
        <f t="shared" si="61"/>
        <v>Intel Core i3 (12th Gen)</v>
      </c>
      <c r="S721" t="str">
        <f t="shared" si="62"/>
        <v xml:space="preserve">8 GB </v>
      </c>
    </row>
    <row r="722" spans="1:19">
      <c r="A722" t="str">
        <f>LEFT(B722, LEN(B722)-15)</f>
        <v>Infinix INBook Y3 Max YL613 (71008301490) Laptop (Core i7 12th Gen/16 GB/512 GB SSD/Windows 11)</v>
      </c>
      <c r="B722" t="s">
        <v>1161</v>
      </c>
      <c r="C722" s="1">
        <v>39990</v>
      </c>
      <c r="D722" s="1">
        <v>21</v>
      </c>
      <c r="E722" s="2">
        <v>84</v>
      </c>
      <c r="F722" s="2" t="str" cm="1">
        <f t="array" ref="F722">_xlfn.IFS(AND(101&gt;E722, E722&gt;69), "Top-Tier", AND(70&gt;E722, E722&gt;39), "Mid-Tier", 40&gt;E722, "Low-Tier")</f>
        <v>Top-Tier</v>
      </c>
      <c r="G722" s="4">
        <v>45505</v>
      </c>
      <c r="H722" t="s">
        <v>1158</v>
      </c>
      <c r="I722" t="s">
        <v>33</v>
      </c>
      <c r="J722" t="s">
        <v>214</v>
      </c>
      <c r="K722" t="s">
        <v>155</v>
      </c>
      <c r="L722" t="s">
        <v>24</v>
      </c>
      <c r="M722" t="s">
        <v>95</v>
      </c>
      <c r="N722" t="s">
        <v>31</v>
      </c>
      <c r="O722" t="s">
        <v>261</v>
      </c>
      <c r="P722" s="3">
        <v>80</v>
      </c>
      <c r="Q722" t="str">
        <f>LEFT(B722, 7)</f>
        <v>Infinix</v>
      </c>
      <c r="R722" t="str">
        <f t="shared" si="61"/>
        <v>Intel Core i3 (12th Gen)</v>
      </c>
      <c r="S722" t="str">
        <f t="shared" si="62"/>
        <v>16 GB</v>
      </c>
    </row>
    <row r="723" spans="1:19">
      <c r="A723" t="str">
        <f>LEFT(B723, LEN(B723)-15)</f>
        <v>Asus VivoBook Go 14 E1404FA-NK5521WS Laptop (AMD Quad Core Ryzen 5/8 GB/512 SSD/Windows 11)</v>
      </c>
      <c r="B723" t="s">
        <v>1162</v>
      </c>
      <c r="C723" s="1">
        <v>35999</v>
      </c>
      <c r="D723" s="1">
        <v>56</v>
      </c>
      <c r="E723" s="2">
        <v>84</v>
      </c>
      <c r="F723" s="2" t="str" cm="1">
        <f t="array" ref="F723">_xlfn.IFS(AND(101&gt;E723, E723&gt;69), "Top-Tier", AND(70&gt;E723, E723&gt;39), "Mid-Tier", 40&gt;E723, "Low-Tier")</f>
        <v>Top-Tier</v>
      </c>
      <c r="G723" s="4">
        <v>45658</v>
      </c>
      <c r="H723" t="s">
        <v>1163</v>
      </c>
      <c r="I723" t="s">
        <v>33</v>
      </c>
      <c r="J723" t="s">
        <v>1164</v>
      </c>
      <c r="K723" t="s">
        <v>427</v>
      </c>
      <c r="L723" t="s">
        <v>24</v>
      </c>
      <c r="M723" t="s">
        <v>95</v>
      </c>
      <c r="N723" t="s">
        <v>31</v>
      </c>
      <c r="Q723" t="str">
        <f>LEFT(B723, 4)</f>
        <v>Asus</v>
      </c>
      <c r="R723" t="str">
        <f t="shared" si="61"/>
        <v>Intel Core i3 (12th Gen)</v>
      </c>
      <c r="S723" t="str">
        <f t="shared" si="62"/>
        <v xml:space="preserve">8 GB </v>
      </c>
    </row>
    <row r="724" spans="1:19">
      <c r="A724" t="str">
        <f>LEFT(B724, LEN(B724)-15)</f>
        <v>Lenovo IdeaPad Slim 5 13ARP10 Gen 10 (83J2000HIN) Laptop (AMD Octa Core Ryzen 7/16 GB/512 GB SSD/Windows 11)</v>
      </c>
      <c r="B724" t="s">
        <v>1165</v>
      </c>
      <c r="C724" s="1">
        <v>61890</v>
      </c>
      <c r="D724" s="1">
        <v>100</v>
      </c>
      <c r="E724" s="2">
        <v>84</v>
      </c>
      <c r="F724" s="2" t="str" cm="1">
        <f t="array" ref="F724">_xlfn.IFS(AND(101&gt;E724, E724&gt;69), "Top-Tier", AND(70&gt;E724, E724&gt;39), "Mid-Tier", 40&gt;E724, "Low-Tier")</f>
        <v>Top-Tier</v>
      </c>
      <c r="G724" s="4">
        <v>45658</v>
      </c>
      <c r="H724" t="s">
        <v>1166</v>
      </c>
      <c r="I724" t="s">
        <v>33</v>
      </c>
      <c r="J724" t="s">
        <v>63</v>
      </c>
      <c r="K724" t="s">
        <v>806</v>
      </c>
      <c r="L724" t="s">
        <v>24</v>
      </c>
      <c r="M724" t="s">
        <v>1167</v>
      </c>
      <c r="N724" t="s">
        <v>31</v>
      </c>
      <c r="P724" s="3">
        <v>83</v>
      </c>
      <c r="Q724" t="str">
        <f>LEFT(B724, 6)</f>
        <v>Lenovo</v>
      </c>
      <c r="R724" t="str">
        <f t="shared" si="61"/>
        <v>Intel Core i3 (12th Gen)</v>
      </c>
      <c r="S724" t="str">
        <f t="shared" si="62"/>
        <v>16 GB</v>
      </c>
    </row>
    <row r="725" spans="1:19">
      <c r="A725" t="str">
        <f>LEFT(B725, LEN(B725)-15)</f>
        <v>HP Compaq 15-s103TX Laptop (Core i3 4th Gen/4 GB/1 TB/DOS/2 GB)</v>
      </c>
      <c r="B725" t="s">
        <v>1168</v>
      </c>
      <c r="C725" s="1">
        <v>30990</v>
      </c>
      <c r="D725" s="1">
        <v>590</v>
      </c>
      <c r="E725" s="2">
        <v>84</v>
      </c>
      <c r="F725" s="2" t="str" cm="1">
        <f t="array" ref="F725">_xlfn.IFS(AND(101&gt;E725, E725&gt;69), "Top-Tier", AND(70&gt;E725, E725&gt;39), "Mid-Tier", 40&gt;E725, "Low-Tier")</f>
        <v>Top-Tier</v>
      </c>
      <c r="H725" t="s">
        <v>1169</v>
      </c>
      <c r="I725" t="s">
        <v>124</v>
      </c>
      <c r="J725" t="s">
        <v>1144</v>
      </c>
      <c r="K725" t="s">
        <v>705</v>
      </c>
      <c r="L725" t="s">
        <v>24</v>
      </c>
      <c r="N725" t="s">
        <v>31</v>
      </c>
      <c r="O725" t="s">
        <v>152</v>
      </c>
      <c r="Q725" t="str">
        <f>LEFT(B725, 2)</f>
        <v>HP</v>
      </c>
      <c r="R725" t="str">
        <f t="shared" si="61"/>
        <v>Intel Core i3 (12th Gen)</v>
      </c>
      <c r="S725" t="str">
        <f t="shared" si="62"/>
        <v xml:space="preserve">4 GB </v>
      </c>
    </row>
    <row r="726" spans="1:19">
      <c r="A726" t="str">
        <f>LEFT(B726, LEN(B726)-15)</f>
        <v>Lenovo ThinkBook 16 Gen 6 (21KKA0G1IN) Laptop (AMD Octa Core Ryzen 7/16 GB/512 GB SSD/Windows 11)</v>
      </c>
      <c r="B726" t="s">
        <v>1170</v>
      </c>
      <c r="C726" s="1">
        <v>52990</v>
      </c>
      <c r="D726" s="1">
        <v>407</v>
      </c>
      <c r="E726" s="2">
        <v>84</v>
      </c>
      <c r="F726" s="2" t="str" cm="1">
        <f t="array" ref="F726">_xlfn.IFS(AND(101&gt;E726, E726&gt;69), "Top-Tier", AND(70&gt;E726, E726&gt;39), "Mid-Tier", 40&gt;E726, "Low-Tier")</f>
        <v>Top-Tier</v>
      </c>
      <c r="G726" s="4">
        <v>45566</v>
      </c>
      <c r="H726" t="s">
        <v>1169</v>
      </c>
      <c r="I726" t="s">
        <v>33</v>
      </c>
      <c r="J726" t="s">
        <v>34</v>
      </c>
      <c r="K726" t="s">
        <v>155</v>
      </c>
      <c r="L726" t="s">
        <v>24</v>
      </c>
      <c r="N726" t="s">
        <v>31</v>
      </c>
      <c r="P726" s="3">
        <v>74</v>
      </c>
      <c r="Q726" t="str">
        <f>LEFT(B726, 6)</f>
        <v>Lenovo</v>
      </c>
      <c r="R726" t="str">
        <f t="shared" si="61"/>
        <v>Intel Core i3 (12th Gen)</v>
      </c>
      <c r="S726" t="str">
        <f t="shared" si="62"/>
        <v>16 GB</v>
      </c>
    </row>
    <row r="727" spans="1:19">
      <c r="A727" t="str">
        <f>LEFT(B727, LEN(B727)-15)</f>
        <v>Asus Zenbook 14 OLED UX3405CA-PZ349WS Laptop (Core Ultra 9/32 GB/1 TB SSD/Windows 11)</v>
      </c>
      <c r="B727" t="s">
        <v>1171</v>
      </c>
      <c r="C727" s="1">
        <v>144990</v>
      </c>
      <c r="D727" s="1">
        <v>9</v>
      </c>
      <c r="E727" s="2">
        <v>84</v>
      </c>
      <c r="F727" s="2" t="str" cm="1">
        <f t="array" ref="F727">_xlfn.IFS(AND(101&gt;E727, E727&gt;69), "Top-Tier", AND(70&gt;E727, E727&gt;39), "Mid-Tier", 40&gt;E727, "Low-Tier")</f>
        <v>Top-Tier</v>
      </c>
      <c r="G727" s="4">
        <v>45689</v>
      </c>
      <c r="H727" t="s">
        <v>1169</v>
      </c>
      <c r="I727" t="s">
        <v>33</v>
      </c>
      <c r="J727" t="s">
        <v>58</v>
      </c>
      <c r="K727" t="s">
        <v>81</v>
      </c>
      <c r="L727" t="s">
        <v>24</v>
      </c>
      <c r="M727" t="s">
        <v>108</v>
      </c>
      <c r="N727" t="s">
        <v>31</v>
      </c>
      <c r="Q727" t="str">
        <f>LEFT(B727, 4)</f>
        <v>Asus</v>
      </c>
      <c r="R727" t="str">
        <f t="shared" si="61"/>
        <v>Intel Core i3 (12th Gen)</v>
      </c>
      <c r="S727" t="str">
        <f t="shared" si="62"/>
        <v>32 GB</v>
      </c>
    </row>
    <row r="728" spans="1:19">
      <c r="A728" t="str">
        <f>LEFT(B728, LEN(B728)-15)</f>
        <v>Asus Zenbook 14 OLED UX3405CA-PZ164WS Laptop (Core Ultra 9/32 GB/1 TB SSD/Windows 11)</v>
      </c>
      <c r="B728" t="s">
        <v>1172</v>
      </c>
      <c r="C728" s="1">
        <v>155990</v>
      </c>
      <c r="D728" s="1">
        <v>9</v>
      </c>
      <c r="E728" s="2">
        <v>84</v>
      </c>
      <c r="F728" s="2" t="str" cm="1">
        <f t="array" ref="F728">_xlfn.IFS(AND(101&gt;E728, E728&gt;69), "Top-Tier", AND(70&gt;E728, E728&gt;39), "Mid-Tier", 40&gt;E728, "Low-Tier")</f>
        <v>Top-Tier</v>
      </c>
      <c r="G728" s="4">
        <v>45689</v>
      </c>
      <c r="H728" t="s">
        <v>1169</v>
      </c>
      <c r="I728" t="s">
        <v>33</v>
      </c>
      <c r="J728" t="s">
        <v>58</v>
      </c>
      <c r="K728" t="s">
        <v>81</v>
      </c>
      <c r="L728" t="s">
        <v>24</v>
      </c>
      <c r="M728" t="s">
        <v>108</v>
      </c>
      <c r="N728" t="s">
        <v>31</v>
      </c>
      <c r="Q728" t="str">
        <f>LEFT(B728, 4)</f>
        <v>Asus</v>
      </c>
      <c r="R728" t="str">
        <f t="shared" si="61"/>
        <v>Intel Core i3 (12th Gen)</v>
      </c>
      <c r="S728" t="str">
        <f t="shared" si="62"/>
        <v>32 GB</v>
      </c>
    </row>
    <row r="729" spans="1:19">
      <c r="A729" t="str">
        <f>LEFT(B729, LEN(B729)-15)</f>
        <v>Asus TUF Gaming F15 FX507VV-LP487WS Laptop (Core i7 13th Gen/16 GB/1 TB SSD/Windows 11/8 GB)</v>
      </c>
      <c r="B729" t="s">
        <v>1173</v>
      </c>
      <c r="C729" s="1">
        <v>107290</v>
      </c>
      <c r="D729" s="1">
        <v>33</v>
      </c>
      <c r="E729" s="2">
        <v>84</v>
      </c>
      <c r="F729" s="2" t="str" cm="1">
        <f t="array" ref="F729">_xlfn.IFS(AND(101&gt;E729, E729&gt;69), "Top-Tier", AND(70&gt;E729, E729&gt;39), "Mid-Tier", 40&gt;E729, "Low-Tier")</f>
        <v>Top-Tier</v>
      </c>
      <c r="G729" s="4">
        <v>45658</v>
      </c>
      <c r="H729" t="s">
        <v>1169</v>
      </c>
      <c r="I729" t="s">
        <v>33</v>
      </c>
      <c r="J729" t="s">
        <v>72</v>
      </c>
      <c r="K729" t="s">
        <v>51</v>
      </c>
      <c r="L729" t="s">
        <v>24</v>
      </c>
      <c r="N729" t="s">
        <v>31</v>
      </c>
      <c r="Q729" t="str">
        <f>LEFT(B729, 4)</f>
        <v>Asus</v>
      </c>
      <c r="R729" t="str">
        <f t="shared" si="61"/>
        <v>Intel Core i3 (12th Gen)</v>
      </c>
      <c r="S729" t="str">
        <f t="shared" si="62"/>
        <v>16 GB</v>
      </c>
    </row>
    <row r="730" spans="1:19">
      <c r="A730" t="str">
        <f>LEFT(B730, LEN(B730)-15)</f>
        <v>Acer Aspire 3 A324-31 (UN.34DSI.002) Laptop (Core i3 12th Gen/8 GB/512 GB SSD/Windows 11)</v>
      </c>
      <c r="B730" t="s">
        <v>1174</v>
      </c>
      <c r="C730" s="1">
        <v>39999</v>
      </c>
      <c r="D730" s="1">
        <v>582</v>
      </c>
      <c r="E730" s="2">
        <v>84</v>
      </c>
      <c r="F730" s="2" t="str" cm="1">
        <f t="array" ref="F730">_xlfn.IFS(AND(101&gt;E730, E730&gt;69), "Top-Tier", AND(70&gt;E730, E730&gt;39), "Mid-Tier", 40&gt;E730, "Low-Tier")</f>
        <v>Top-Tier</v>
      </c>
      <c r="G730" s="4">
        <v>45505</v>
      </c>
      <c r="H730" t="s">
        <v>1169</v>
      </c>
      <c r="I730" t="s">
        <v>33</v>
      </c>
      <c r="J730" t="s">
        <v>50</v>
      </c>
      <c r="K730" t="s">
        <v>149</v>
      </c>
      <c r="L730" t="s">
        <v>24</v>
      </c>
      <c r="M730" t="s">
        <v>630</v>
      </c>
      <c r="N730" t="s">
        <v>31</v>
      </c>
      <c r="P730" s="3">
        <v>78</v>
      </c>
      <c r="Q730" t="str">
        <f>LEFT(B730, 4)</f>
        <v>Acer</v>
      </c>
      <c r="R730" t="str">
        <f t="shared" si="61"/>
        <v>Intel Core i3 (12th Gen)</v>
      </c>
      <c r="S730" t="str">
        <f t="shared" si="62"/>
        <v xml:space="preserve">8 GB </v>
      </c>
    </row>
    <row r="731" spans="1:19">
      <c r="A731" t="str">
        <f>LEFT(B731, LEN(B731)-15)</f>
        <v>Apple MacBook Air M3 MC8M4HN/A Ultrabook (Apple M3/24 GB/512 GB SSD/macOS Sequoia)</v>
      </c>
      <c r="B731" t="s">
        <v>1175</v>
      </c>
      <c r="C731" s="1">
        <v>136990</v>
      </c>
      <c r="D731" s="1">
        <v>5</v>
      </c>
      <c r="E731" s="2">
        <v>84</v>
      </c>
      <c r="F731" s="2" t="str" cm="1">
        <f t="array" ref="F731">_xlfn.IFS(AND(101&gt;E731, E731&gt;69), "Top-Tier", AND(70&gt;E731, E731&gt;39), "Mid-Tier", 40&gt;E731, "Low-Tier")</f>
        <v>Top-Tier</v>
      </c>
      <c r="G731" s="4">
        <v>45597</v>
      </c>
      <c r="H731" t="s">
        <v>1169</v>
      </c>
      <c r="I731" t="s">
        <v>21</v>
      </c>
      <c r="J731" t="s">
        <v>28</v>
      </c>
      <c r="K731" t="s">
        <v>39</v>
      </c>
      <c r="L731" t="s">
        <v>24</v>
      </c>
      <c r="M731" t="s">
        <v>40</v>
      </c>
      <c r="P731" s="3">
        <v>85</v>
      </c>
      <c r="Q731" t="str">
        <f>LEFT(B731, 5)</f>
        <v>Apple</v>
      </c>
      <c r="R731" t="str">
        <f t="shared" si="61"/>
        <v>Intel Core i3 (12th Gen)</v>
      </c>
      <c r="S731" t="str">
        <f t="shared" si="62"/>
        <v>24 GB</v>
      </c>
    </row>
    <row r="732" spans="1:19">
      <c r="A732" t="str">
        <f>LEFT(B732, LEN(B732)-15)</f>
        <v>Acer Nitro V ANV15-41 (NH.QPFSI.006) Laptop (AMD Octa Core Ryzen 7/16 GB/512 GB SSD/Windows 11/6 GB)</v>
      </c>
      <c r="B732" t="s">
        <v>1176</v>
      </c>
      <c r="C732" s="1">
        <v>64990</v>
      </c>
      <c r="D732" s="1">
        <v>26</v>
      </c>
      <c r="E732" s="2">
        <v>84</v>
      </c>
      <c r="F732" s="2" t="str" cm="1">
        <f t="array" ref="F732">_xlfn.IFS(AND(101&gt;E732, E732&gt;69), "Top-Tier", AND(70&gt;E732, E732&gt;39), "Mid-Tier", 40&gt;E732, "Low-Tier")</f>
        <v>Top-Tier</v>
      </c>
      <c r="G732" s="4">
        <v>45597</v>
      </c>
      <c r="H732" t="s">
        <v>1177</v>
      </c>
      <c r="I732" t="s">
        <v>33</v>
      </c>
      <c r="J732" t="s">
        <v>54</v>
      </c>
      <c r="K732" t="s">
        <v>741</v>
      </c>
      <c r="L732" t="s">
        <v>24</v>
      </c>
      <c r="N732" t="s">
        <v>31</v>
      </c>
      <c r="P732" s="3">
        <v>85</v>
      </c>
      <c r="Q732" t="str">
        <f>LEFT(B732, 4)</f>
        <v>Acer</v>
      </c>
      <c r="R732" t="str">
        <f t="shared" si="61"/>
        <v>Intel Core i3 (12th Gen)</v>
      </c>
      <c r="S732" t="str">
        <f t="shared" si="62"/>
        <v>16 GB</v>
      </c>
    </row>
    <row r="733" spans="1:19">
      <c r="A733" t="str">
        <f>LEFT(B733, LEN(B733)-15)</f>
        <v>Dell Inspiron 14 5440 (OIN5440340401RINU1) Laptop (Core i5 13th Gen/16 GB/512 GB SSD/Windows 11)</v>
      </c>
      <c r="B733" t="s">
        <v>1178</v>
      </c>
      <c r="C733" s="1">
        <v>64990</v>
      </c>
      <c r="D733" s="1">
        <v>26</v>
      </c>
      <c r="E733" s="2">
        <v>84</v>
      </c>
      <c r="F733" s="2" t="str" cm="1">
        <f t="array" ref="F733">_xlfn.IFS(AND(101&gt;E733, E733&gt;69), "Top-Tier", AND(70&gt;E733, E733&gt;39), "Mid-Tier", 40&gt;E733, "Low-Tier")</f>
        <v>Top-Tier</v>
      </c>
      <c r="G733" s="4">
        <v>45536</v>
      </c>
      <c r="H733" t="s">
        <v>1177</v>
      </c>
      <c r="I733" t="s">
        <v>33</v>
      </c>
      <c r="J733" t="s">
        <v>54</v>
      </c>
      <c r="K733" t="s">
        <v>94</v>
      </c>
      <c r="L733" t="s">
        <v>24</v>
      </c>
      <c r="M733" t="s">
        <v>529</v>
      </c>
      <c r="N733" t="s">
        <v>31</v>
      </c>
      <c r="P733" s="3">
        <v>81</v>
      </c>
      <c r="Q733" t="str">
        <f>LEFT(B733, 4)</f>
        <v>Dell</v>
      </c>
      <c r="R733" t="str">
        <f t="shared" ref="R733:R795" si="63">LEFT(H733, 24)</f>
        <v>Intel Core i3 (12th Gen)</v>
      </c>
      <c r="S733" t="str">
        <f t="shared" si="62"/>
        <v>16 GB</v>
      </c>
    </row>
    <row r="734" spans="1:19">
      <c r="A734" t="str">
        <f>LEFT(B734, LEN(B734)-15)</f>
        <v>Samsung Galaxy Book 3 Pro 360 Intel Evo NP960QFG-KA3IN Laptop (Core i7 13th Gen/16 GB/1 TB SSD/Windows 11)</v>
      </c>
      <c r="B734" t="s">
        <v>1179</v>
      </c>
      <c r="C734" s="1">
        <v>119990</v>
      </c>
      <c r="D734" s="1">
        <v>34</v>
      </c>
      <c r="E734" s="2">
        <v>84</v>
      </c>
      <c r="F734" s="2" t="str" cm="1">
        <f t="array" ref="F734">_xlfn.IFS(AND(101&gt;E734, E734&gt;69), "Top-Tier", AND(70&gt;E734, E734&gt;39), "Mid-Tier", 40&gt;E734, "Low-Tier")</f>
        <v>Top-Tier</v>
      </c>
      <c r="G734" s="4">
        <v>44958</v>
      </c>
      <c r="H734" t="s">
        <v>1180</v>
      </c>
      <c r="I734" t="s">
        <v>33</v>
      </c>
      <c r="J734" t="s">
        <v>293</v>
      </c>
      <c r="K734" t="s">
        <v>169</v>
      </c>
      <c r="L734" t="s">
        <v>24</v>
      </c>
      <c r="M734" t="s">
        <v>1181</v>
      </c>
      <c r="N734" t="s">
        <v>31</v>
      </c>
      <c r="P734" s="3">
        <v>82</v>
      </c>
      <c r="Q734" t="str">
        <f>LEFT(B734, 7)</f>
        <v>Samsung</v>
      </c>
      <c r="R734" t="str">
        <f t="shared" si="63"/>
        <v>Intel Core i3 (12th Gen)</v>
      </c>
      <c r="S734" t="str">
        <f t="shared" si="62"/>
        <v>16 GB</v>
      </c>
    </row>
    <row r="735" spans="1:19">
      <c r="A735" t="str">
        <f>LEFT(B735, LEN(B735)-15)</f>
        <v>Lenovo Legion Y540 (81SY00UAIN) Laptop (Core i5 9th Gen/8 GB/1 TB 256 GB SSD/Windows 10/4 GB)</v>
      </c>
      <c r="B735" t="s">
        <v>1182</v>
      </c>
      <c r="C735" s="1">
        <v>62990</v>
      </c>
      <c r="D735" s="1">
        <v>242</v>
      </c>
      <c r="E735" s="2">
        <v>84</v>
      </c>
      <c r="F735" s="2" t="str" cm="1">
        <f t="array" ref="F735">_xlfn.IFS(AND(101&gt;E735, E735&gt;69), "Top-Tier", AND(70&gt;E735, E735&gt;39), "Mid-Tier", 40&gt;E735, "Low-Tier")</f>
        <v>Top-Tier</v>
      </c>
      <c r="G735" s="4">
        <v>44348</v>
      </c>
      <c r="H735" t="s">
        <v>1180</v>
      </c>
      <c r="I735" t="s">
        <v>248</v>
      </c>
      <c r="J735" t="s">
        <v>332</v>
      </c>
      <c r="K735" t="s">
        <v>249</v>
      </c>
      <c r="L735" t="s">
        <v>24</v>
      </c>
      <c r="N735" t="s">
        <v>31</v>
      </c>
      <c r="O735" t="s">
        <v>261</v>
      </c>
      <c r="P735" s="3">
        <v>72</v>
      </c>
      <c r="Q735" t="str">
        <f>LEFT(B735, 6)</f>
        <v>Lenovo</v>
      </c>
      <c r="R735" t="str">
        <f t="shared" si="63"/>
        <v>Intel Core i3 (12th Gen)</v>
      </c>
      <c r="S735" t="str">
        <f t="shared" si="62"/>
        <v xml:space="preserve">8 GB </v>
      </c>
    </row>
    <row r="736" spans="1:19">
      <c r="A736" t="str">
        <f>LEFT(B736, LEN(B736)-15)</f>
        <v>Asus TUF Gaming A15 FA506NF-HN578W Laptop (AMD Hexa Core Ryzen 5/8 GB/512 GB SSD/Windows 11/4 GB)</v>
      </c>
      <c r="B736" t="s">
        <v>1183</v>
      </c>
      <c r="C736" s="1">
        <v>54990</v>
      </c>
      <c r="D736" s="1">
        <v>10</v>
      </c>
      <c r="E736" s="2">
        <v>84</v>
      </c>
      <c r="F736" s="2" t="str" cm="1">
        <f t="array" ref="F736">_xlfn.IFS(AND(101&gt;E736, E736&gt;69), "Top-Tier", AND(70&gt;E736, E736&gt;39), "Mid-Tier", 40&gt;E736, "Low-Tier")</f>
        <v>Top-Tier</v>
      </c>
      <c r="G736" s="4">
        <v>45536</v>
      </c>
      <c r="H736" t="s">
        <v>1180</v>
      </c>
      <c r="I736" t="s">
        <v>33</v>
      </c>
      <c r="J736" t="s">
        <v>119</v>
      </c>
      <c r="K736" t="s">
        <v>51</v>
      </c>
      <c r="L736" t="s">
        <v>24</v>
      </c>
      <c r="N736" t="s">
        <v>31</v>
      </c>
      <c r="P736" s="3">
        <v>84</v>
      </c>
      <c r="Q736" t="str">
        <f>LEFT(B736, 4)</f>
        <v>Asus</v>
      </c>
      <c r="R736" t="str">
        <f t="shared" si="63"/>
        <v>Intel Core i3 (12th Gen)</v>
      </c>
      <c r="S736" t="str">
        <f t="shared" si="62"/>
        <v xml:space="preserve">8 GB </v>
      </c>
    </row>
    <row r="737" spans="1:19">
      <c r="A737" t="str">
        <f>LEFT(B737, LEN(B737)-15)</f>
        <v>Asus VivoBook 14 M415DA-EB712WS Laptop (AMD Quad Core Ryzen 5/8 GB/512 GB SSD/Windows 11)</v>
      </c>
      <c r="B737" t="s">
        <v>1184</v>
      </c>
      <c r="C737" s="1">
        <v>37999</v>
      </c>
      <c r="D737" s="1">
        <v>626</v>
      </c>
      <c r="E737" s="2">
        <v>84</v>
      </c>
      <c r="F737" s="2" t="str" cm="1">
        <f t="array" ref="F737">_xlfn.IFS(AND(101&gt;E737, E737&gt;69), "Top-Tier", AND(70&gt;E737, E737&gt;39), "Mid-Tier", 40&gt;E737, "Low-Tier")</f>
        <v>Top-Tier</v>
      </c>
      <c r="G737" s="4">
        <v>44621</v>
      </c>
      <c r="H737" t="s">
        <v>1180</v>
      </c>
      <c r="I737" t="s">
        <v>33</v>
      </c>
      <c r="J737" t="s">
        <v>50</v>
      </c>
      <c r="K737" t="s">
        <v>149</v>
      </c>
      <c r="L737" t="s">
        <v>24</v>
      </c>
      <c r="M737" t="s">
        <v>52</v>
      </c>
      <c r="Q737" t="str">
        <f>LEFT(B737, 4)</f>
        <v>Asus</v>
      </c>
      <c r="R737" t="str">
        <f t="shared" si="63"/>
        <v>Intel Core i3 (12th Gen)</v>
      </c>
      <c r="S737" t="str">
        <f t="shared" si="62"/>
        <v xml:space="preserve">8 GB </v>
      </c>
    </row>
    <row r="738" spans="1:19">
      <c r="A738" t="str">
        <f>LEFT(B738, LEN(B738)-15)</f>
        <v>Dell Inspiron 15 3511 (D560649WIN9S) Laptop (Core i3 11th Gen/8 GB/256 GB SSD/Windows 11)</v>
      </c>
      <c r="B738" t="s">
        <v>1185</v>
      </c>
      <c r="C738" s="1">
        <v>36990</v>
      </c>
      <c r="D738" s="1">
        <v>484</v>
      </c>
      <c r="E738" s="2">
        <v>84</v>
      </c>
      <c r="F738" s="2" t="str" cm="1">
        <f t="array" ref="F738">_xlfn.IFS(AND(101&gt;E738, E738&gt;69), "Top-Tier", AND(70&gt;E738, E738&gt;39), "Mid-Tier", 40&gt;E738, "Low-Tier")</f>
        <v>Top-Tier</v>
      </c>
      <c r="G738" s="4">
        <v>44531</v>
      </c>
      <c r="H738" t="s">
        <v>1180</v>
      </c>
      <c r="I738" t="s">
        <v>33</v>
      </c>
      <c r="J738" t="s">
        <v>338</v>
      </c>
      <c r="K738" t="s">
        <v>51</v>
      </c>
      <c r="L738" t="s">
        <v>24</v>
      </c>
      <c r="M738" t="s">
        <v>122</v>
      </c>
      <c r="N738" t="s">
        <v>31</v>
      </c>
      <c r="Q738" t="str">
        <f>LEFT(B738, 4)</f>
        <v>Dell</v>
      </c>
      <c r="R738" t="str">
        <f t="shared" si="63"/>
        <v>Intel Core i3 (12th Gen)</v>
      </c>
      <c r="S738" t="str">
        <f t="shared" si="62"/>
        <v xml:space="preserve">8 GB </v>
      </c>
    </row>
    <row r="739" spans="1:19">
      <c r="A739" t="str">
        <f>LEFT(B739, LEN(B739)-15)</f>
        <v>Asus Chromebook CX1400CKA-NK0488 Laptop (Intel Celeron Dual Core/4 GB/128 GB eMMC/Google Chrome)</v>
      </c>
      <c r="B739" t="s">
        <v>1186</v>
      </c>
      <c r="C739" s="1">
        <v>17990</v>
      </c>
      <c r="D739" s="1">
        <v>13</v>
      </c>
      <c r="E739" s="2">
        <v>84</v>
      </c>
      <c r="F739" s="2" t="str" cm="1">
        <f t="array" ref="F739">_xlfn.IFS(AND(101&gt;E739, E739&gt;69), "Top-Tier", AND(70&gt;E739, E739&gt;39), "Mid-Tier", 40&gt;E739, "Low-Tier")</f>
        <v>Top-Tier</v>
      </c>
      <c r="G739" s="4">
        <v>45717</v>
      </c>
      <c r="H739" t="s">
        <v>1187</v>
      </c>
      <c r="I739" t="s">
        <v>735</v>
      </c>
      <c r="J739" t="s">
        <v>1188</v>
      </c>
      <c r="K739" t="s">
        <v>149</v>
      </c>
      <c r="L739" t="s">
        <v>24</v>
      </c>
      <c r="M739" t="s">
        <v>138</v>
      </c>
      <c r="Q739" t="str">
        <f>LEFT(B739, 4)</f>
        <v>Asus</v>
      </c>
      <c r="R739" t="str">
        <f t="shared" si="63"/>
        <v>Intel Core i3 (12th Gen)</v>
      </c>
      <c r="S739" t="str">
        <f t="shared" si="62"/>
        <v xml:space="preserve">4 GB </v>
      </c>
    </row>
    <row r="740" spans="1:19">
      <c r="A740" t="str">
        <f>LEFT(B740, LEN(B740)-15)</f>
        <v>Lenovo Yoga 7 14AHP9 (83DK009LIN) Laptop (AMD Octa Core Ryzen 7/16 GB/1 TB SSD/Windows 11)</v>
      </c>
      <c r="B740" t="s">
        <v>1189</v>
      </c>
      <c r="C740" s="1">
        <v>92190</v>
      </c>
      <c r="D740" s="1">
        <v>6</v>
      </c>
      <c r="E740" s="2">
        <v>84</v>
      </c>
      <c r="F740" s="2" t="str" cm="1">
        <f t="array" ref="F740">_xlfn.IFS(AND(101&gt;E740, E740&gt;69), "Top-Tier", AND(70&gt;E740, E740&gt;39), "Mid-Tier", 40&gt;E740, "Low-Tier")</f>
        <v>Top-Tier</v>
      </c>
      <c r="G740" s="4">
        <v>45597</v>
      </c>
      <c r="H740" t="s">
        <v>1190</v>
      </c>
      <c r="I740" t="s">
        <v>33</v>
      </c>
      <c r="J740" t="s">
        <v>42</v>
      </c>
      <c r="K740" t="s">
        <v>59</v>
      </c>
      <c r="L740" t="s">
        <v>24</v>
      </c>
      <c r="M740" t="s">
        <v>1191</v>
      </c>
      <c r="N740" t="s">
        <v>31</v>
      </c>
      <c r="P740" s="3">
        <v>87</v>
      </c>
      <c r="Q740" t="str">
        <f>LEFT(B740, 6)</f>
        <v>Lenovo</v>
      </c>
      <c r="R740" t="str">
        <f t="shared" si="63"/>
        <v>Intel Core i3 (12th Gen)</v>
      </c>
      <c r="S740" t="str">
        <f t="shared" si="62"/>
        <v>16 GB</v>
      </c>
    </row>
    <row r="741" spans="1:19">
      <c r="A741" t="str">
        <f>LEFT(B741, LEN(B741)-15)</f>
        <v>Gigabyte G5 MF5-52IN353SH Laptop (Core i5 13th Gen/16 GB/512 GB SSD/Windows 11/6 GB)</v>
      </c>
      <c r="B741" t="s">
        <v>1192</v>
      </c>
      <c r="C741" s="1">
        <v>74989</v>
      </c>
      <c r="D741" s="1">
        <v>20</v>
      </c>
      <c r="E741" s="2">
        <v>84</v>
      </c>
      <c r="F741" s="2" t="str" cm="1">
        <f t="array" ref="F741">_xlfn.IFS(AND(101&gt;E741, E741&gt;69), "Top-Tier", AND(70&gt;E741, E741&gt;39), "Mid-Tier", 40&gt;E741, "Low-Tier")</f>
        <v>Top-Tier</v>
      </c>
      <c r="G741" s="4">
        <v>45566</v>
      </c>
      <c r="H741" t="s">
        <v>1190</v>
      </c>
      <c r="I741" t="s">
        <v>33</v>
      </c>
      <c r="J741" t="s">
        <v>54</v>
      </c>
      <c r="K741" t="s">
        <v>466</v>
      </c>
      <c r="L741" t="s">
        <v>24</v>
      </c>
      <c r="N741" t="s">
        <v>31</v>
      </c>
      <c r="Q741" t="str">
        <f>LEFT(B741, 8)</f>
        <v>Gigabyte</v>
      </c>
      <c r="R741" t="str">
        <f t="shared" si="63"/>
        <v>Intel Core i3 (12th Gen)</v>
      </c>
      <c r="S741" t="str">
        <f t="shared" si="62"/>
        <v>16 GB</v>
      </c>
    </row>
    <row r="742" spans="1:19">
      <c r="A742" t="str">
        <f>LEFT(B742, LEN(B742)-15)</f>
        <v>MSI Sword 16 HX B13VFKG-652IN Laptop (Core i9 13th Gen/32 GB/1 TB SSD/Windows 11/8 GB)</v>
      </c>
      <c r="B742" t="s">
        <v>1193</v>
      </c>
      <c r="C742" s="1">
        <v>124990</v>
      </c>
      <c r="D742" s="1">
        <v>65</v>
      </c>
      <c r="E742" s="2">
        <v>84</v>
      </c>
      <c r="F742" s="2" t="str" cm="1">
        <f t="array" ref="F742">_xlfn.IFS(AND(101&gt;E742, E742&gt;69), "Top-Tier", AND(70&gt;E742, E742&gt;39), "Mid-Tier", 40&gt;E742, "Low-Tier")</f>
        <v>Top-Tier</v>
      </c>
      <c r="G742" s="4">
        <v>45536</v>
      </c>
      <c r="H742" t="s">
        <v>1190</v>
      </c>
      <c r="I742" t="s">
        <v>33</v>
      </c>
      <c r="J742" t="s">
        <v>144</v>
      </c>
      <c r="K742" t="s">
        <v>155</v>
      </c>
      <c r="L742" t="s">
        <v>24</v>
      </c>
      <c r="N742" t="s">
        <v>31</v>
      </c>
      <c r="P742" s="3">
        <v>86</v>
      </c>
      <c r="Q742" t="str">
        <f>LEFT(B742, 3)</f>
        <v>MSI</v>
      </c>
      <c r="R742" t="str">
        <f t="shared" si="63"/>
        <v>Intel Core i3 (12th Gen)</v>
      </c>
      <c r="S742" t="str">
        <f t="shared" si="62"/>
        <v>32 GB</v>
      </c>
    </row>
    <row r="743" spans="1:19">
      <c r="A743" t="str">
        <f>LEFT(B743, LEN(B743)-15)</f>
        <v>Lenovo IdeaPad Slim 5 14IMH9 (83DA0002IN) Laptop (Core Ultra 5/16 GB/512 GB SSD/Windows 11)</v>
      </c>
      <c r="B743" t="s">
        <v>1194</v>
      </c>
      <c r="C743" s="1">
        <v>69990</v>
      </c>
      <c r="D743" s="1">
        <v>347</v>
      </c>
      <c r="E743" s="2">
        <v>84</v>
      </c>
      <c r="F743" s="2" t="str" cm="1">
        <f t="array" ref="F743">_xlfn.IFS(AND(101&gt;E743, E743&gt;69), "Top-Tier", AND(70&gt;E743, E743&gt;39), "Mid-Tier", 40&gt;E743, "Low-Tier")</f>
        <v>Top-Tier</v>
      </c>
      <c r="G743" s="4">
        <v>45474</v>
      </c>
      <c r="H743" t="s">
        <v>1190</v>
      </c>
      <c r="I743" t="s">
        <v>33</v>
      </c>
      <c r="J743" t="s">
        <v>63</v>
      </c>
      <c r="K743" t="s">
        <v>94</v>
      </c>
      <c r="L743" t="s">
        <v>24</v>
      </c>
      <c r="M743" t="s">
        <v>178</v>
      </c>
      <c r="N743" t="s">
        <v>31</v>
      </c>
      <c r="P743" s="3">
        <v>84</v>
      </c>
      <c r="Q743" t="str">
        <f>LEFT(B743, 6)</f>
        <v>Lenovo</v>
      </c>
      <c r="R743" t="str">
        <f t="shared" si="63"/>
        <v>Intel Core i3 (12th Gen)</v>
      </c>
      <c r="S743" t="str">
        <f t="shared" si="62"/>
        <v>16 GB</v>
      </c>
    </row>
    <row r="744" spans="1:19">
      <c r="A744" t="str">
        <f>LEFT(B744, LEN(B744)-15)</f>
        <v>Lenovo Ideapad 320 (80XH01HAIN) Laptop (Core i3 6th Gen/4 GB/1 TB/DOS/2 GB)</v>
      </c>
      <c r="B744" t="s">
        <v>1195</v>
      </c>
      <c r="C744" s="1">
        <v>31990</v>
      </c>
      <c r="D744" s="1">
        <v>464</v>
      </c>
      <c r="E744" s="2">
        <v>84</v>
      </c>
      <c r="F744" s="2" t="str" cm="1">
        <f t="array" ref="F744">_xlfn.IFS(AND(101&gt;E744, E744&gt;69), "Top-Tier", AND(70&gt;E744, E744&gt;39), "Mid-Tier", 40&gt;E744, "Low-Tier")</f>
        <v>Top-Tier</v>
      </c>
      <c r="H744" t="s">
        <v>1190</v>
      </c>
      <c r="I744" t="s">
        <v>124</v>
      </c>
      <c r="J744" t="s">
        <v>542</v>
      </c>
      <c r="K744" t="s">
        <v>705</v>
      </c>
      <c r="L744" t="s">
        <v>24</v>
      </c>
      <c r="N744" t="s">
        <v>31</v>
      </c>
      <c r="O744" t="s">
        <v>261</v>
      </c>
      <c r="Q744" t="str">
        <f>LEFT(B744, 6)</f>
        <v>Lenovo</v>
      </c>
      <c r="R744" t="str">
        <f t="shared" si="63"/>
        <v>Intel Core i3 (12th Gen)</v>
      </c>
      <c r="S744" t="str">
        <f t="shared" si="62"/>
        <v xml:space="preserve">4 GB </v>
      </c>
    </row>
    <row r="745" spans="1:19">
      <c r="A745" t="str">
        <f>LEFT(B745, LEN(B745)-15)</f>
        <v>Lenovo IdeaPad 5 14IRH9 (83KX0059IN) Laptop (Core i5 13th Gen/16 GB/512 GB SSD/Windows 11)</v>
      </c>
      <c r="B745" t="s">
        <v>1196</v>
      </c>
      <c r="C745" s="1">
        <v>67990</v>
      </c>
      <c r="D745" s="1">
        <v>4</v>
      </c>
      <c r="E745" s="2">
        <v>84</v>
      </c>
      <c r="F745" s="2" t="str" cm="1">
        <f t="array" ref="F745">_xlfn.IFS(AND(101&gt;E745, E745&gt;69), "Top-Tier", AND(70&gt;E745, E745&gt;39), "Mid-Tier", 40&gt;E745, "Low-Tier")</f>
        <v>Top-Tier</v>
      </c>
      <c r="G745" s="4">
        <v>45658</v>
      </c>
      <c r="H745" t="s">
        <v>1190</v>
      </c>
      <c r="I745" t="s">
        <v>33</v>
      </c>
      <c r="J745" t="s">
        <v>63</v>
      </c>
      <c r="K745" t="s">
        <v>94</v>
      </c>
      <c r="L745" t="s">
        <v>24</v>
      </c>
      <c r="M745" t="s">
        <v>444</v>
      </c>
      <c r="N745" t="s">
        <v>31</v>
      </c>
      <c r="P745" s="3">
        <v>82</v>
      </c>
      <c r="Q745" t="str">
        <f>LEFT(B745, 6)</f>
        <v>Lenovo</v>
      </c>
      <c r="R745" t="str">
        <f t="shared" si="63"/>
        <v>Intel Core i3 (12th Gen)</v>
      </c>
      <c r="S745" t="str">
        <f t="shared" si="62"/>
        <v>16 GB</v>
      </c>
    </row>
    <row r="746" spans="1:19">
      <c r="A746" t="str">
        <f>LEFT(B746, LEN(B746)-15)</f>
        <v>Asus TUF Gaming A16 FA617NSR-RL083W Laptop (AMD Octa Core Ryzen 7/16 GB/512 GB SSD/Windows 11/8 GB)</v>
      </c>
      <c r="B746" t="s">
        <v>1197</v>
      </c>
      <c r="C746" s="1">
        <v>79990</v>
      </c>
      <c r="D746" s="1">
        <v>43</v>
      </c>
      <c r="E746" s="2">
        <v>84</v>
      </c>
      <c r="F746" s="2" t="str" cm="1">
        <f t="array" ref="F746">_xlfn.IFS(AND(101&gt;E746, E746&gt;69), "Top-Tier", AND(70&gt;E746, E746&gt;39), "Mid-Tier", 40&gt;E746, "Low-Tier")</f>
        <v>Top-Tier</v>
      </c>
      <c r="G746" s="4">
        <v>45505</v>
      </c>
      <c r="H746" t="s">
        <v>1198</v>
      </c>
      <c r="I746" t="s">
        <v>33</v>
      </c>
      <c r="J746" t="s">
        <v>54</v>
      </c>
      <c r="K746" t="s">
        <v>155</v>
      </c>
      <c r="L746" t="s">
        <v>24</v>
      </c>
      <c r="N746" t="s">
        <v>31</v>
      </c>
      <c r="Q746" t="str">
        <f>LEFT(B746, 4)</f>
        <v>Asus</v>
      </c>
      <c r="R746" t="str">
        <f t="shared" si="63"/>
        <v>Intel Core i3 (12th Gen)</v>
      </c>
      <c r="S746" t="str">
        <f t="shared" si="62"/>
        <v>16 GB</v>
      </c>
    </row>
    <row r="747" spans="1:19">
      <c r="A747" t="str">
        <f>LEFT(B747, LEN(B747)-15)</f>
        <v>Lenovo IdeaPad 3 14IAU7 (82RJ00FFIN) Laptop (Core i3 12th Gen/16 GB/512 GB SSD/Windows 11)</v>
      </c>
      <c r="B747" t="s">
        <v>1199</v>
      </c>
      <c r="C747" s="1">
        <v>37790</v>
      </c>
      <c r="D747" s="1">
        <v>235</v>
      </c>
      <c r="E747" s="2">
        <v>84</v>
      </c>
      <c r="F747" s="2" t="str" cm="1">
        <f t="array" ref="F747">_xlfn.IFS(AND(101&gt;E747, E747&gt;69), "Top-Tier", AND(70&gt;E747, E747&gt;39), "Mid-Tier", 40&gt;E747, "Low-Tier")</f>
        <v>Top-Tier</v>
      </c>
      <c r="G747" s="4">
        <v>45474</v>
      </c>
      <c r="H747" t="s">
        <v>1198</v>
      </c>
      <c r="I747" t="s">
        <v>33</v>
      </c>
      <c r="J747" t="s">
        <v>34</v>
      </c>
      <c r="K747" t="s">
        <v>1140</v>
      </c>
      <c r="L747" t="s">
        <v>24</v>
      </c>
      <c r="M747" t="s">
        <v>52</v>
      </c>
      <c r="N747" t="s">
        <v>31</v>
      </c>
      <c r="P747" s="3">
        <v>78</v>
      </c>
      <c r="Q747" t="str">
        <f>LEFT(B747, 6)</f>
        <v>Lenovo</v>
      </c>
      <c r="R747" t="str">
        <f t="shared" si="63"/>
        <v>Intel Core i3 (12th Gen)</v>
      </c>
      <c r="S747" t="str">
        <f t="shared" si="62"/>
        <v>16 GB</v>
      </c>
    </row>
    <row r="748" spans="1:19">
      <c r="A748" t="str">
        <f>LEFT(B748, LEN(B748)-15)</f>
        <v>Asus VivoBook S15 OLED S5506MA-MA751WS Laptop (Core Ultra 7/16 GB/1 TB SSD/Windows 11)</v>
      </c>
      <c r="B748" t="s">
        <v>1200</v>
      </c>
      <c r="C748" s="1">
        <v>96990</v>
      </c>
      <c r="D748" s="1">
        <v>72</v>
      </c>
      <c r="E748" s="2">
        <v>84</v>
      </c>
      <c r="F748" s="2" t="str" cm="1">
        <f t="array" ref="F748">_xlfn.IFS(AND(101&gt;E748, E748&gt;69), "Top-Tier", AND(70&gt;E748, E748&gt;39), "Mid-Tier", 40&gt;E748, "Low-Tier")</f>
        <v>Top-Tier</v>
      </c>
      <c r="G748" s="4">
        <v>45474</v>
      </c>
      <c r="H748" t="s">
        <v>1198</v>
      </c>
      <c r="I748" t="s">
        <v>33</v>
      </c>
      <c r="J748" t="s">
        <v>42</v>
      </c>
      <c r="K748" t="s">
        <v>43</v>
      </c>
      <c r="L748" t="s">
        <v>24</v>
      </c>
      <c r="M748" t="s">
        <v>44</v>
      </c>
      <c r="N748" t="s">
        <v>31</v>
      </c>
      <c r="P748" s="3">
        <v>85</v>
      </c>
      <c r="Q748" t="str">
        <f>LEFT(B748, 4)</f>
        <v>Asus</v>
      </c>
      <c r="R748" t="str">
        <f t="shared" si="63"/>
        <v>Intel Core i3 (12th Gen)</v>
      </c>
      <c r="S748" t="str">
        <f t="shared" si="62"/>
        <v>16 GB</v>
      </c>
    </row>
    <row r="749" spans="1:19">
      <c r="A749" t="str">
        <f>LEFT(B749, LEN(B749)-15)</f>
        <v>Asus VivoBook 15 X515JF-BQ521T Laptop (Core i5 10th Gen/8 GB/512 GB SSD/Windows 10)</v>
      </c>
      <c r="B749" t="s">
        <v>1201</v>
      </c>
      <c r="C749" s="1">
        <v>41999</v>
      </c>
      <c r="D749" s="1">
        <v>90</v>
      </c>
      <c r="E749" s="2">
        <v>84</v>
      </c>
      <c r="F749" s="2" t="str" cm="1">
        <f t="array" ref="F749">_xlfn.IFS(AND(101&gt;E749, E749&gt;69), "Top-Tier", AND(70&gt;E749, E749&gt;39), "Mid-Tier", 40&gt;E749, "Low-Tier")</f>
        <v>Top-Tier</v>
      </c>
      <c r="G749" s="4">
        <v>44409</v>
      </c>
      <c r="H749" t="s">
        <v>1198</v>
      </c>
      <c r="I749" t="s">
        <v>248</v>
      </c>
      <c r="J749" t="s">
        <v>50</v>
      </c>
      <c r="K749" t="s">
        <v>249</v>
      </c>
      <c r="L749" t="s">
        <v>24</v>
      </c>
      <c r="M749" t="s">
        <v>52</v>
      </c>
      <c r="N749" t="s">
        <v>31</v>
      </c>
      <c r="Q749" t="str">
        <f>LEFT(B749, 4)</f>
        <v>Asus</v>
      </c>
      <c r="R749" t="str">
        <f t="shared" si="63"/>
        <v>Intel Core i3 (12th Gen)</v>
      </c>
      <c r="S749" t="str">
        <f t="shared" si="62"/>
        <v xml:space="preserve">8 GB </v>
      </c>
    </row>
    <row r="750" spans="1:19">
      <c r="A750" t="str">
        <f>LEFT(B750, LEN(B750)-15)</f>
        <v>Lenovo Ideapad (81WA00GLIN) Laptop (Core i3 10th Gen/8 GB/256 GB SSD/Windows 10)</v>
      </c>
      <c r="B750" t="s">
        <v>1202</v>
      </c>
      <c r="C750" s="1">
        <v>33490</v>
      </c>
      <c r="D750" s="1">
        <v>536</v>
      </c>
      <c r="E750" s="2">
        <v>84</v>
      </c>
      <c r="F750" s="2" t="str" cm="1">
        <f t="array" ref="F750">_xlfn.IFS(AND(101&gt;E750, E750&gt;69), "Top-Tier", AND(70&gt;E750, E750&gt;39), "Mid-Tier", 40&gt;E750, "Low-Tier")</f>
        <v>Top-Tier</v>
      </c>
      <c r="G750" s="4">
        <v>44348</v>
      </c>
      <c r="H750" t="s">
        <v>1198</v>
      </c>
      <c r="I750" t="s">
        <v>248</v>
      </c>
      <c r="J750" t="s">
        <v>338</v>
      </c>
      <c r="K750" t="s">
        <v>439</v>
      </c>
      <c r="L750" t="s">
        <v>24</v>
      </c>
      <c r="M750" t="s">
        <v>52</v>
      </c>
      <c r="N750" t="s">
        <v>31</v>
      </c>
      <c r="O750" t="s">
        <v>261</v>
      </c>
      <c r="Q750" t="str">
        <f>LEFT(B750, 6)</f>
        <v>Lenovo</v>
      </c>
      <c r="R750" t="str">
        <f t="shared" si="63"/>
        <v>Intel Core i3 (12th Gen)</v>
      </c>
      <c r="S750" t="str">
        <f t="shared" si="62"/>
        <v xml:space="preserve">8 GB </v>
      </c>
    </row>
    <row r="751" spans="1:19">
      <c r="A751" t="str">
        <f>LEFT(B751, LEN(B751)-15)</f>
        <v>HP Victus 15-fb0158AX Laptop (AMD Hexa Core Ryzen 5/8 GB/512 GB SSD/Windows 11/4 GB)</v>
      </c>
      <c r="B751" t="s">
        <v>1203</v>
      </c>
      <c r="C751" s="1">
        <v>53700</v>
      </c>
      <c r="D751" s="1">
        <v>39</v>
      </c>
      <c r="E751" s="2">
        <v>84</v>
      </c>
      <c r="F751" s="2" t="str" cm="1">
        <f t="array" ref="F751">_xlfn.IFS(AND(101&gt;E751, E751&gt;69), "Top-Tier", AND(70&gt;E751, E751&gt;39), "Mid-Tier", 40&gt;E751, "Low-Tier")</f>
        <v>Top-Tier</v>
      </c>
      <c r="G751" s="4">
        <v>45597</v>
      </c>
      <c r="H751" t="s">
        <v>1198</v>
      </c>
      <c r="I751" t="s">
        <v>33</v>
      </c>
      <c r="J751" t="s">
        <v>50</v>
      </c>
      <c r="K751" t="s">
        <v>51</v>
      </c>
      <c r="L751" t="s">
        <v>24</v>
      </c>
      <c r="N751" t="s">
        <v>31</v>
      </c>
      <c r="P751" s="3">
        <v>81</v>
      </c>
      <c r="Q751" t="str">
        <f>LEFT(B751, 2)</f>
        <v>HP</v>
      </c>
      <c r="R751" t="str">
        <f t="shared" si="63"/>
        <v>Intel Core i3 (12th Gen)</v>
      </c>
      <c r="S751" t="str">
        <f t="shared" si="62"/>
        <v xml:space="preserve">8 GB </v>
      </c>
    </row>
    <row r="752" spans="1:19">
      <c r="A752" t="str">
        <f>LEFT(B752, LEN(B752)-15)</f>
        <v>Samsung Galaxy Book 4 Pro NP940XGK-LS1IN Laptop (Core Ultra 5/16 GB/512 GB SSD/Windows 11)</v>
      </c>
      <c r="B752" t="s">
        <v>1204</v>
      </c>
      <c r="C752" s="1">
        <v>102999</v>
      </c>
      <c r="D752" s="1">
        <v>66</v>
      </c>
      <c r="E752" s="2">
        <v>84</v>
      </c>
      <c r="F752" s="2" t="str" cm="1">
        <f t="array" ref="F752">_xlfn.IFS(AND(101&gt;E752, E752&gt;69), "Top-Tier", AND(70&gt;E752, E752&gt;39), "Mid-Tier", 40&gt;E752, "Low-Tier")</f>
        <v>Top-Tier</v>
      </c>
      <c r="G752" s="4">
        <v>45474</v>
      </c>
      <c r="H752" t="s">
        <v>1198</v>
      </c>
      <c r="I752" t="s">
        <v>33</v>
      </c>
      <c r="J752" t="s">
        <v>63</v>
      </c>
      <c r="K752" t="s">
        <v>450</v>
      </c>
      <c r="L752" t="s">
        <v>24</v>
      </c>
      <c r="M752" t="s">
        <v>451</v>
      </c>
      <c r="N752" t="s">
        <v>31</v>
      </c>
      <c r="P752" s="3">
        <v>84</v>
      </c>
      <c r="Q752" t="str">
        <f>LEFT(B752, 7)</f>
        <v>Samsung</v>
      </c>
      <c r="R752" t="str">
        <f t="shared" si="63"/>
        <v>Intel Core i3 (12th Gen)</v>
      </c>
      <c r="S752" t="str">
        <f t="shared" si="62"/>
        <v>16 GB</v>
      </c>
    </row>
    <row r="753" spans="1:19">
      <c r="A753" t="str">
        <f>LEFT(B753, LEN(B753)-15)</f>
        <v>Asus TUF Gaming A14 FA401WV-RG037WS Laptop (AMD Dodeca Core Ryzen 9/32 GB/2 TB SSD/Windows 11/8 GB)</v>
      </c>
      <c r="B753" t="s">
        <v>1205</v>
      </c>
      <c r="C753" s="1">
        <v>178590</v>
      </c>
      <c r="D753" s="1">
        <v>5</v>
      </c>
      <c r="E753" s="2">
        <v>84</v>
      </c>
      <c r="F753" s="2" t="str" cm="1">
        <f t="array" ref="F753">_xlfn.IFS(AND(101&gt;E753, E753&gt;69), "Top-Tier", AND(70&gt;E753, E753&gt;39), "Mid-Tier", 40&gt;E753, "Low-Tier")</f>
        <v>Top-Tier</v>
      </c>
      <c r="G753" s="4">
        <v>45474</v>
      </c>
      <c r="H753" t="s">
        <v>1198</v>
      </c>
      <c r="I753" t="s">
        <v>33</v>
      </c>
      <c r="J753" t="s">
        <v>80</v>
      </c>
      <c r="K753" t="s">
        <v>221</v>
      </c>
      <c r="L753" t="s">
        <v>24</v>
      </c>
      <c r="M753" t="s">
        <v>52</v>
      </c>
      <c r="N753" t="s">
        <v>31</v>
      </c>
      <c r="Q753" t="str">
        <f>LEFT(B753, 4)</f>
        <v>Asus</v>
      </c>
      <c r="R753" t="str">
        <f t="shared" si="63"/>
        <v>Intel Core i3 (12th Gen)</v>
      </c>
      <c r="S753" t="str">
        <f t="shared" si="62"/>
        <v>32 GB</v>
      </c>
    </row>
    <row r="754" spans="1:19">
      <c r="A754" t="str">
        <f>LEFT(B754, LEN(B754)-15)</f>
        <v>HP Victus 15-fb0135AX (87B81PA) Laptop (AMD Hexa Core Ryzen 5/8 GB/512 GB SSD/Windows 11/4 GB)</v>
      </c>
      <c r="B754" t="s">
        <v>1206</v>
      </c>
      <c r="C754" s="1">
        <v>55490</v>
      </c>
      <c r="D754" s="1">
        <v>409</v>
      </c>
      <c r="E754" s="2">
        <v>84</v>
      </c>
      <c r="F754" s="2" t="str" cm="1">
        <f t="array" ref="F754">_xlfn.IFS(AND(101&gt;E754, E754&gt;69), "Top-Tier", AND(70&gt;E754, E754&gt;39), "Mid-Tier", 40&gt;E754, "Low-Tier")</f>
        <v>Top-Tier</v>
      </c>
      <c r="G754" s="4">
        <v>45474</v>
      </c>
      <c r="H754" t="s">
        <v>1198</v>
      </c>
      <c r="I754" t="s">
        <v>33</v>
      </c>
      <c r="J754" t="s">
        <v>50</v>
      </c>
      <c r="K754" t="s">
        <v>51</v>
      </c>
      <c r="L754" t="s">
        <v>24</v>
      </c>
      <c r="M754" t="s">
        <v>74</v>
      </c>
      <c r="N754" t="s">
        <v>31</v>
      </c>
      <c r="P754" s="3">
        <v>79</v>
      </c>
      <c r="Q754" t="str">
        <f>LEFT(B754, 2)</f>
        <v>HP</v>
      </c>
      <c r="R754" t="str">
        <f t="shared" si="63"/>
        <v>Intel Core i3 (12th Gen)</v>
      </c>
      <c r="S754" t="str">
        <f t="shared" si="62"/>
        <v xml:space="preserve">8 GB </v>
      </c>
    </row>
    <row r="755" spans="1:19">
      <c r="A755" t="str">
        <f>LEFT(B755, LEN(B755)-15)</f>
        <v>Acer Aspire Lite AL15-52 (UN.33XSI.008) Laptop (Core i5 12th Gen/16 GB/1 TB SSD/Windows 11)</v>
      </c>
      <c r="B755" t="s">
        <v>1207</v>
      </c>
      <c r="C755" s="1">
        <v>46990</v>
      </c>
      <c r="D755" s="1">
        <v>60</v>
      </c>
      <c r="E755" s="2">
        <v>84</v>
      </c>
      <c r="F755" s="2" t="str" cm="1">
        <f t="array" ref="F755">_xlfn.IFS(AND(101&gt;E755, E755&gt;69), "Top-Tier", AND(70&gt;E755, E755&gt;39), "Mid-Tier", 40&gt;E755, "Low-Tier")</f>
        <v>Top-Tier</v>
      </c>
      <c r="G755" s="4">
        <v>45474</v>
      </c>
      <c r="H755" t="s">
        <v>1198</v>
      </c>
      <c r="I755" t="s">
        <v>33</v>
      </c>
      <c r="J755" t="s">
        <v>184</v>
      </c>
      <c r="K755" t="s">
        <v>51</v>
      </c>
      <c r="L755" t="s">
        <v>24</v>
      </c>
      <c r="M755" t="s">
        <v>52</v>
      </c>
      <c r="N755" t="s">
        <v>31</v>
      </c>
      <c r="P755" s="3">
        <v>79</v>
      </c>
      <c r="Q755" t="str">
        <f>LEFT(B755, 4)</f>
        <v>Acer</v>
      </c>
      <c r="R755" t="str">
        <f t="shared" si="63"/>
        <v>Intel Core i3 (12th Gen)</v>
      </c>
      <c r="S755" t="str">
        <f t="shared" si="62"/>
        <v>16 GB</v>
      </c>
    </row>
    <row r="756" spans="1:19">
      <c r="A756" t="str">
        <f>LEFT(B756, LEN(B756)-15)</f>
        <v>Asus VivoBook S15 OLED S5507QAD-MA751WS Laptop (Snapdragon X Elite/16 GB/1 TB SSD/Windows 11)</v>
      </c>
      <c r="B756" t="s">
        <v>1208</v>
      </c>
      <c r="C756" s="1">
        <v>88990</v>
      </c>
      <c r="D756" s="1">
        <v>24</v>
      </c>
      <c r="E756" s="2">
        <v>84</v>
      </c>
      <c r="F756" s="2" t="str" cm="1">
        <f t="array" ref="F756">_xlfn.IFS(AND(101&gt;E756, E756&gt;69), "Top-Tier", AND(70&gt;E756, E756&gt;39), "Mid-Tier", 40&gt;E756, "Low-Tier")</f>
        <v>Top-Tier</v>
      </c>
      <c r="G756" s="4">
        <v>45474</v>
      </c>
      <c r="H756" t="s">
        <v>1198</v>
      </c>
      <c r="I756" t="s">
        <v>33</v>
      </c>
      <c r="J756" t="s">
        <v>42</v>
      </c>
      <c r="K756" t="s">
        <v>43</v>
      </c>
      <c r="L756" t="s">
        <v>24</v>
      </c>
      <c r="M756" t="s">
        <v>44</v>
      </c>
      <c r="N756" t="s">
        <v>31</v>
      </c>
      <c r="P756" s="3">
        <v>84</v>
      </c>
      <c r="Q756" t="str">
        <f>LEFT(B756, 4)</f>
        <v>Asus</v>
      </c>
      <c r="R756" t="str">
        <f t="shared" si="63"/>
        <v>Intel Core i3 (12th Gen)</v>
      </c>
      <c r="S756" t="str">
        <f t="shared" si="62"/>
        <v>16 GB</v>
      </c>
    </row>
    <row r="757" spans="1:19">
      <c r="A757" t="str">
        <f>LEFT(B757, LEN(B757)-15)</f>
        <v>HP Pavilion x360 14-ba075tx (2FK62PA) Laptop (Core i3 7th Gen/4 GB/1 TB/Windows 10/2 GB)</v>
      </c>
      <c r="B757" t="s">
        <v>1209</v>
      </c>
      <c r="C757" s="1">
        <v>48999</v>
      </c>
      <c r="D757" s="1">
        <v>237</v>
      </c>
      <c r="E757" s="2">
        <v>84</v>
      </c>
      <c r="F757" s="2" t="str" cm="1">
        <f t="array" ref="F757">_xlfn.IFS(AND(101&gt;E757, E757&gt;69), "Top-Tier", AND(70&gt;E757, E757&gt;39), "Mid-Tier", 40&gt;E757, "Low-Tier")</f>
        <v>Top-Tier</v>
      </c>
      <c r="H757" t="s">
        <v>1198</v>
      </c>
      <c r="I757" t="s">
        <v>248</v>
      </c>
      <c r="J757" t="s">
        <v>542</v>
      </c>
      <c r="K757" t="s">
        <v>439</v>
      </c>
      <c r="L757" t="s">
        <v>24</v>
      </c>
      <c r="M757" t="s">
        <v>52</v>
      </c>
      <c r="N757" t="s">
        <v>31</v>
      </c>
      <c r="Q757" t="str">
        <f>LEFT(B757, 2)</f>
        <v>HP</v>
      </c>
      <c r="R757" t="str">
        <f t="shared" si="63"/>
        <v>Intel Core i3 (12th Gen)</v>
      </c>
      <c r="S757" t="str">
        <f t="shared" si="62"/>
        <v xml:space="preserve">4 GB </v>
      </c>
    </row>
    <row r="758" spans="1:19">
      <c r="A758" t="str">
        <f>LEFT(B758, LEN(B758)-15)</f>
        <v>Dell Vostro 15 3568 (A553505UIN9) Laptop (Core i5 7th Gen/8 GB/1 TB/Linux)</v>
      </c>
      <c r="B758" t="s">
        <v>1210</v>
      </c>
      <c r="C758" s="1">
        <v>45249</v>
      </c>
      <c r="D758" s="1">
        <v>88</v>
      </c>
      <c r="E758" s="2">
        <v>84</v>
      </c>
      <c r="F758" s="2" t="str" cm="1">
        <f t="array" ref="F758">_xlfn.IFS(AND(101&gt;E758, E758&gt;69), "Top-Tier", AND(70&gt;E758, E758&gt;39), "Mid-Tier", 40&gt;E758, "Low-Tier")</f>
        <v>Top-Tier</v>
      </c>
      <c r="H758" t="s">
        <v>1198</v>
      </c>
      <c r="I758" t="s">
        <v>718</v>
      </c>
      <c r="J758" t="s">
        <v>332</v>
      </c>
      <c r="K758" t="s">
        <v>249</v>
      </c>
      <c r="L758" t="s">
        <v>24</v>
      </c>
      <c r="N758" t="s">
        <v>31</v>
      </c>
      <c r="O758" t="s">
        <v>152</v>
      </c>
      <c r="Q758" t="str">
        <f>LEFT(B758, 4)</f>
        <v>Dell</v>
      </c>
      <c r="R758" t="str">
        <f t="shared" si="63"/>
        <v>Intel Core i3 (12th Gen)</v>
      </c>
      <c r="S758" t="str">
        <f t="shared" si="62"/>
        <v xml:space="preserve">8 GB </v>
      </c>
    </row>
    <row r="759" spans="1:19">
      <c r="A759" t="str">
        <f>LEFT(B759, LEN(B759)-15)</f>
        <v>Lenovo LOQ 15IAX9 (83GS00CKIN) Laptop (Core i5 12th Gen/24 GB/512 GB SSD/Windows 11/4 GB)</v>
      </c>
      <c r="B759" t="s">
        <v>1211</v>
      </c>
      <c r="C759" s="1">
        <v>63490</v>
      </c>
      <c r="D759" s="1">
        <v>63</v>
      </c>
      <c r="E759" s="2">
        <v>84</v>
      </c>
      <c r="F759" s="2" t="str" cm="1">
        <f t="array" ref="F759">_xlfn.IFS(AND(101&gt;E759, E759&gt;69), "Top-Tier", AND(70&gt;E759, E759&gt;39), "Mid-Tier", 40&gt;E759, "Low-Tier")</f>
        <v>Top-Tier</v>
      </c>
      <c r="G759" s="4">
        <v>45474</v>
      </c>
      <c r="H759" t="s">
        <v>1198</v>
      </c>
      <c r="I759" t="s">
        <v>33</v>
      </c>
      <c r="J759" t="s">
        <v>436</v>
      </c>
      <c r="K759" t="s">
        <v>51</v>
      </c>
      <c r="L759" t="s">
        <v>24</v>
      </c>
      <c r="N759" t="s">
        <v>31</v>
      </c>
      <c r="P759" s="3">
        <v>83</v>
      </c>
      <c r="Q759" t="str">
        <f>LEFT(B759, 6)</f>
        <v>Lenovo</v>
      </c>
      <c r="R759" t="str">
        <f t="shared" si="63"/>
        <v>Intel Core i3 (12th Gen)</v>
      </c>
      <c r="S759" t="str">
        <f t="shared" si="62"/>
        <v>24 GB</v>
      </c>
    </row>
    <row r="760" spans="1:19">
      <c r="A760" t="str">
        <f>LEFT(B760, LEN(B760)-15)</f>
        <v>HP Victus Special Edition (A9NC6PA) Laptop (Core i5 12th Gen/16 GB/1 TB SSD/Windows 11/4 GB RTX)</v>
      </c>
      <c r="B760" t="s">
        <v>1212</v>
      </c>
      <c r="C760" s="1">
        <v>70990</v>
      </c>
      <c r="D760" s="1">
        <v>76</v>
      </c>
      <c r="E760" s="2">
        <v>84</v>
      </c>
      <c r="F760" s="2" t="str" cm="1">
        <f t="array" ref="F760">_xlfn.IFS(AND(101&gt;E760, E760&gt;69), "Top-Tier", AND(70&gt;E760, E760&gt;39), "Mid-Tier", 40&gt;E760, "Low-Tier")</f>
        <v>Top-Tier</v>
      </c>
      <c r="G760" s="4">
        <v>45444</v>
      </c>
      <c r="H760" t="s">
        <v>1198</v>
      </c>
      <c r="I760" t="s">
        <v>33</v>
      </c>
      <c r="J760" t="s">
        <v>184</v>
      </c>
      <c r="K760" t="s">
        <v>51</v>
      </c>
      <c r="L760" t="s">
        <v>24</v>
      </c>
      <c r="N760" t="s">
        <v>31</v>
      </c>
      <c r="P760" s="3">
        <v>86</v>
      </c>
      <c r="Q760" t="str">
        <f>LEFT(B760, 2)</f>
        <v>HP</v>
      </c>
      <c r="R760" t="str">
        <f t="shared" si="63"/>
        <v>Intel Core i3 (12th Gen)</v>
      </c>
      <c r="S760" t="str">
        <f t="shared" si="62"/>
        <v>16 GB</v>
      </c>
    </row>
    <row r="761" spans="1:19">
      <c r="A761" t="str">
        <f>LEFT(B761, LEN(B761)-15)</f>
        <v>Lenovo IdeaPad 3 14IAU7 (82RJ00FGIN) Laptop (Core i3 12th Gen/8 GB/512 GB SSD/Windows 11)</v>
      </c>
      <c r="B761" t="s">
        <v>1213</v>
      </c>
      <c r="C761" s="1">
        <v>39500</v>
      </c>
      <c r="D761" s="1">
        <v>1559</v>
      </c>
      <c r="E761" s="2">
        <v>84</v>
      </c>
      <c r="F761" s="2" t="str" cm="1">
        <f t="array" ref="F761">_xlfn.IFS(AND(101&gt;E761, E761&gt;69), "Top-Tier", AND(70&gt;E761, E761&gt;39), "Mid-Tier", 40&gt;E761, "Low-Tier")</f>
        <v>Top-Tier</v>
      </c>
      <c r="G761" s="4">
        <v>45444</v>
      </c>
      <c r="H761" t="s">
        <v>1198</v>
      </c>
      <c r="I761" t="s">
        <v>33</v>
      </c>
      <c r="J761" t="s">
        <v>50</v>
      </c>
      <c r="K761" t="s">
        <v>1140</v>
      </c>
      <c r="L761" t="s">
        <v>24</v>
      </c>
      <c r="M761" t="s">
        <v>52</v>
      </c>
      <c r="N761" t="s">
        <v>31</v>
      </c>
      <c r="P761" s="3">
        <v>77</v>
      </c>
      <c r="Q761" t="str">
        <f>LEFT(B761, 6)</f>
        <v>Lenovo</v>
      </c>
      <c r="R761" t="str">
        <f t="shared" si="63"/>
        <v>Intel Core i3 (12th Gen)</v>
      </c>
      <c r="S761" t="str">
        <f t="shared" si="62"/>
        <v xml:space="preserve">8 GB </v>
      </c>
    </row>
    <row r="762" spans="1:19">
      <c r="A762" t="str">
        <f>LEFT(B762, LEN(B762)-15)</f>
        <v>Asus VivoBook 16 X1605ZAC-MB741WS Laptop (Core i7 12th Gen/16 GB/512 GB SSD/Windows 11)</v>
      </c>
      <c r="B762" t="s">
        <v>1214</v>
      </c>
      <c r="C762" s="1">
        <v>60790</v>
      </c>
      <c r="D762" s="1">
        <v>54</v>
      </c>
      <c r="E762" s="2">
        <v>84</v>
      </c>
      <c r="F762" s="2" t="str" cm="1">
        <f t="array" ref="F762">_xlfn.IFS(AND(101&gt;E762, E762&gt;69), "Top-Tier", AND(70&gt;E762, E762&gt;39), "Mid-Tier", 40&gt;E762, "Low-Tier")</f>
        <v>Top-Tier</v>
      </c>
      <c r="G762" s="4">
        <v>45444</v>
      </c>
      <c r="H762" t="s">
        <v>1198</v>
      </c>
      <c r="I762" t="s">
        <v>33</v>
      </c>
      <c r="J762" t="s">
        <v>34</v>
      </c>
      <c r="K762" t="s">
        <v>155</v>
      </c>
      <c r="L762" t="s">
        <v>24</v>
      </c>
      <c r="M762" t="s">
        <v>52</v>
      </c>
      <c r="N762" t="s">
        <v>31</v>
      </c>
      <c r="P762" s="3">
        <v>82</v>
      </c>
      <c r="Q762" t="str">
        <f>LEFT(B762, 4)</f>
        <v>Asus</v>
      </c>
      <c r="R762" t="str">
        <f t="shared" si="63"/>
        <v>Intel Core i3 (12th Gen)</v>
      </c>
      <c r="S762" t="str">
        <f t="shared" si="62"/>
        <v>16 GB</v>
      </c>
    </row>
    <row r="763" spans="1:19">
      <c r="A763" t="str">
        <f>LEFT(B763, LEN(B763)-15)</f>
        <v>Dell Inspiron 15 3530 (OIN353034071RINS1M) Laptop (Core i5 13th Gen/16 GB/512 GB SSD/Windows 11)</v>
      </c>
      <c r="B763" t="s">
        <v>1215</v>
      </c>
      <c r="C763" s="1">
        <v>58290</v>
      </c>
      <c r="D763" s="1">
        <v>645</v>
      </c>
      <c r="E763" s="2">
        <v>84</v>
      </c>
      <c r="F763" s="2" t="str" cm="1">
        <f t="array" ref="F763">_xlfn.IFS(AND(101&gt;E763, E763&gt;69), "Top-Tier", AND(70&gt;E763, E763&gt;39), "Mid-Tier", 40&gt;E763, "Low-Tier")</f>
        <v>Top-Tier</v>
      </c>
      <c r="G763" s="4">
        <v>45444</v>
      </c>
      <c r="H763" t="s">
        <v>1198</v>
      </c>
      <c r="I763" t="s">
        <v>33</v>
      </c>
      <c r="J763" t="s">
        <v>34</v>
      </c>
      <c r="K763" t="s">
        <v>51</v>
      </c>
      <c r="L763" t="s">
        <v>24</v>
      </c>
      <c r="M763" t="s">
        <v>122</v>
      </c>
      <c r="N763" t="s">
        <v>31</v>
      </c>
      <c r="P763" s="3">
        <v>80</v>
      </c>
      <c r="Q763" t="str">
        <f>LEFT(B763, 4)</f>
        <v>Dell</v>
      </c>
      <c r="R763" t="str">
        <f t="shared" si="63"/>
        <v>Intel Core i3 (12th Gen)</v>
      </c>
      <c r="S763" t="str">
        <f t="shared" ref="S763:S823" si="64">LEFT(J763, 5)</f>
        <v>16 GB</v>
      </c>
    </row>
    <row r="764" spans="1:19">
      <c r="A764" t="str">
        <f>LEFT(B764, LEN(B764)-15)</f>
        <v>Dell Inspiron 15 3530 (OIN353034011RINS1M) Laptop (Core i5 13th Gen/8 GB/512 GB SSD/Windows 11)</v>
      </c>
      <c r="B764" t="s">
        <v>1216</v>
      </c>
      <c r="C764" s="1">
        <v>53890</v>
      </c>
      <c r="D764" s="1">
        <v>645</v>
      </c>
      <c r="E764" s="2">
        <v>84</v>
      </c>
      <c r="F764" s="2" t="str" cm="1">
        <f t="array" ref="F764">_xlfn.IFS(AND(101&gt;E764, E764&gt;69), "Top-Tier", AND(70&gt;E764, E764&gt;39), "Mid-Tier", 40&gt;E764, "Low-Tier")</f>
        <v>Top-Tier</v>
      </c>
      <c r="G764" s="4">
        <v>45444</v>
      </c>
      <c r="H764" t="s">
        <v>1198</v>
      </c>
      <c r="I764" t="s">
        <v>33</v>
      </c>
      <c r="J764" t="s">
        <v>50</v>
      </c>
      <c r="K764" t="s">
        <v>51</v>
      </c>
      <c r="L764" t="s">
        <v>24</v>
      </c>
      <c r="M764" t="s">
        <v>122</v>
      </c>
      <c r="N764" t="s">
        <v>31</v>
      </c>
      <c r="P764" s="3">
        <v>79</v>
      </c>
      <c r="Q764" t="str">
        <f>LEFT(B764, 4)</f>
        <v>Dell</v>
      </c>
      <c r="R764" t="str">
        <f t="shared" si="63"/>
        <v>Intel Core i3 (12th Gen)</v>
      </c>
      <c r="S764" t="str">
        <f t="shared" si="64"/>
        <v xml:space="preserve">8 GB </v>
      </c>
    </row>
    <row r="765" spans="1:19">
      <c r="A765" t="str">
        <f>LEFT(B765, LEN(B765)-15)</f>
        <v>Dell Inspiron 15 3530 (IN3530NM1NN001ORB1) Laptop (Core i5 13th Gen/8 GB/512 GB SSD/Windows 11)</v>
      </c>
      <c r="B765" t="s">
        <v>1217</v>
      </c>
      <c r="C765" s="1">
        <v>36990</v>
      </c>
      <c r="D765" s="1">
        <v>289</v>
      </c>
      <c r="E765" s="2">
        <v>84</v>
      </c>
      <c r="F765" s="2" t="str" cm="1">
        <f t="array" ref="F765">_xlfn.IFS(AND(101&gt;E765, E765&gt;69), "Top-Tier", AND(70&gt;E765, E765&gt;39), "Mid-Tier", 40&gt;E765, "Low-Tier")</f>
        <v>Top-Tier</v>
      </c>
      <c r="G765" s="4">
        <v>45444</v>
      </c>
      <c r="H765" t="s">
        <v>1198</v>
      </c>
      <c r="I765" t="s">
        <v>33</v>
      </c>
      <c r="J765" t="s">
        <v>50</v>
      </c>
      <c r="K765" t="s">
        <v>51</v>
      </c>
      <c r="L765" t="s">
        <v>24</v>
      </c>
      <c r="M765" t="s">
        <v>122</v>
      </c>
      <c r="N765" t="s">
        <v>31</v>
      </c>
      <c r="P765" s="3">
        <v>79</v>
      </c>
      <c r="Q765" t="str">
        <f>LEFT(B765, 4)</f>
        <v>Dell</v>
      </c>
      <c r="R765" t="str">
        <f t="shared" si="63"/>
        <v>Intel Core i3 (12th Gen)</v>
      </c>
      <c r="S765" t="str">
        <f t="shared" si="64"/>
        <v xml:space="preserve">8 GB </v>
      </c>
    </row>
    <row r="766" spans="1:19">
      <c r="A766" t="str">
        <f>LEFT(B766, LEN(B766)-15)</f>
        <v>Lenovo IdeaPad Slim 15AMN7 Gen 7 (82VG00EWIN) Laptop (AMD Quad Core Ryzen 5/8 GB/512 GB SSD/Windows 11)</v>
      </c>
      <c r="B766" t="s">
        <v>1218</v>
      </c>
      <c r="C766" s="1">
        <v>33990</v>
      </c>
      <c r="D766" s="1">
        <v>73</v>
      </c>
      <c r="E766" s="2">
        <v>84</v>
      </c>
      <c r="F766" s="2" t="str" cm="1">
        <f t="array" ref="F766">_xlfn.IFS(AND(101&gt;E766, E766&gt;69), "Top-Tier", AND(70&gt;E766, E766&gt;39), "Mid-Tier", 40&gt;E766, "Low-Tier")</f>
        <v>Top-Tier</v>
      </c>
      <c r="G766" s="4">
        <v>45413</v>
      </c>
      <c r="H766" t="s">
        <v>1198</v>
      </c>
      <c r="I766" t="s">
        <v>33</v>
      </c>
      <c r="J766" t="s">
        <v>162</v>
      </c>
      <c r="K766" t="s">
        <v>217</v>
      </c>
      <c r="L766" t="s">
        <v>24</v>
      </c>
      <c r="M766" t="s">
        <v>95</v>
      </c>
      <c r="N766" t="s">
        <v>31</v>
      </c>
      <c r="P766" s="3">
        <v>76</v>
      </c>
      <c r="Q766" t="str">
        <f>LEFT(B766, 6)</f>
        <v>Lenovo</v>
      </c>
      <c r="R766" t="str">
        <f t="shared" si="63"/>
        <v>Intel Core i3 (12th Gen)</v>
      </c>
      <c r="S766" t="str">
        <f t="shared" si="64"/>
        <v xml:space="preserve">8 GB </v>
      </c>
    </row>
    <row r="767" spans="1:19">
      <c r="A767" t="str">
        <f>LEFT(B767, LEN(B767)-15)</f>
        <v>Dell Vostro 15 3530 (VN3530F19VF001ORB1) Laptop (Core i3 13th Gen/8 GB/512 GB SSD/Windows 11)</v>
      </c>
      <c r="B767" t="s">
        <v>1219</v>
      </c>
      <c r="C767" s="1">
        <v>36990</v>
      </c>
      <c r="D767" s="1">
        <v>25</v>
      </c>
      <c r="E767" s="2">
        <v>84</v>
      </c>
      <c r="F767" s="2" t="str" cm="1">
        <f t="array" ref="F767">_xlfn.IFS(AND(101&gt;E767, E767&gt;69), "Top-Tier", AND(70&gt;E767, E767&gt;39), "Mid-Tier", 40&gt;E767, "Low-Tier")</f>
        <v>Top-Tier</v>
      </c>
      <c r="G767" s="4">
        <v>45413</v>
      </c>
      <c r="H767" t="s">
        <v>1198</v>
      </c>
      <c r="I767" t="s">
        <v>33</v>
      </c>
      <c r="J767" t="s">
        <v>50</v>
      </c>
      <c r="K767" t="s">
        <v>51</v>
      </c>
      <c r="L767" t="s">
        <v>24</v>
      </c>
      <c r="M767" t="s">
        <v>122</v>
      </c>
      <c r="N767" t="s">
        <v>31</v>
      </c>
      <c r="P767" s="3">
        <v>73</v>
      </c>
      <c r="Q767" t="str">
        <f>LEFT(B767, 4)</f>
        <v>Dell</v>
      </c>
      <c r="R767" t="str">
        <f t="shared" si="63"/>
        <v>Intel Core i3 (12th Gen)</v>
      </c>
      <c r="S767" t="str">
        <f t="shared" si="64"/>
        <v xml:space="preserve">8 GB </v>
      </c>
    </row>
    <row r="768" spans="1:19">
      <c r="A768" t="str">
        <f>LEFT(B768, LEN(B768)-15)</f>
        <v>HP 15-fd0186TU (91Q92PA) Laptop (Core i3 13th Gen/8 GB/512 GB SSD/Windows 11)</v>
      </c>
      <c r="B768" t="s">
        <v>1220</v>
      </c>
      <c r="C768" s="1">
        <v>36740</v>
      </c>
      <c r="D768" s="1">
        <v>210</v>
      </c>
      <c r="E768" s="2">
        <v>84</v>
      </c>
      <c r="F768" s="2" t="str" cm="1">
        <f t="array" ref="F768">_xlfn.IFS(AND(101&gt;E768, E768&gt;69), "Top-Tier", AND(70&gt;E768, E768&gt;39), "Mid-Tier", 40&gt;E768, "Low-Tier")</f>
        <v>Top-Tier</v>
      </c>
      <c r="G768" s="4">
        <v>45383</v>
      </c>
      <c r="H768" t="s">
        <v>1198</v>
      </c>
      <c r="I768" t="s">
        <v>33</v>
      </c>
      <c r="J768" t="s">
        <v>50</v>
      </c>
      <c r="K768" t="s">
        <v>51</v>
      </c>
      <c r="L768" t="s">
        <v>24</v>
      </c>
      <c r="M768" t="s">
        <v>99</v>
      </c>
      <c r="N768" t="s">
        <v>31</v>
      </c>
      <c r="P768" s="3">
        <v>76</v>
      </c>
      <c r="Q768" t="str">
        <f>LEFT(B768, 2)</f>
        <v>HP</v>
      </c>
      <c r="R768" t="str">
        <f t="shared" si="63"/>
        <v>Intel Core i3 (12th Gen)</v>
      </c>
      <c r="S768" t="str">
        <f t="shared" si="64"/>
        <v xml:space="preserve">8 GB </v>
      </c>
    </row>
    <row r="769" spans="1:19">
      <c r="A769" t="str">
        <f>LEFT(B769, LEN(B769)-15)</f>
        <v>HP Victus 15-fa1227TX (A1QV2PA) Laptop (Core i5 12th Gen/16 GB/512 GB SSD/Windows 11/4 GB)</v>
      </c>
      <c r="B769" t="s">
        <v>1221</v>
      </c>
      <c r="C769" s="1">
        <v>61990</v>
      </c>
      <c r="D769" s="1">
        <v>998</v>
      </c>
      <c r="E769" s="2">
        <v>84</v>
      </c>
      <c r="F769" s="2" t="str" cm="1">
        <f t="array" ref="F769">_xlfn.IFS(AND(101&gt;E769, E769&gt;69), "Top-Tier", AND(70&gt;E769, E769&gt;39), "Mid-Tier", 40&gt;E769, "Low-Tier")</f>
        <v>Top-Tier</v>
      </c>
      <c r="G769" s="4">
        <v>45383</v>
      </c>
      <c r="H769" t="s">
        <v>1198</v>
      </c>
      <c r="I769" t="s">
        <v>33</v>
      </c>
      <c r="J769" t="s">
        <v>34</v>
      </c>
      <c r="K769" t="s">
        <v>51</v>
      </c>
      <c r="L769" t="s">
        <v>24</v>
      </c>
      <c r="N769" t="s">
        <v>31</v>
      </c>
      <c r="P769" s="3">
        <v>84</v>
      </c>
      <c r="Q769" t="str">
        <f>LEFT(B769, 2)</f>
        <v>HP</v>
      </c>
      <c r="R769" t="str">
        <f t="shared" si="63"/>
        <v>Intel Core i3 (12th Gen)</v>
      </c>
      <c r="S769" t="str">
        <f t="shared" si="64"/>
        <v>16 GB</v>
      </c>
    </row>
    <row r="770" spans="1:19">
      <c r="A770" t="str">
        <f>LEFT(B770, LEN(B770)-15)</f>
        <v>MSI Modern 15 B12MO-818IN Laptop (Core i5 12th Gen/8 GB/512 GB SSD/Windows 11)</v>
      </c>
      <c r="B770" t="s">
        <v>1222</v>
      </c>
      <c r="C770" s="1">
        <v>38990</v>
      </c>
      <c r="D770" s="1">
        <v>771</v>
      </c>
      <c r="E770" s="2">
        <v>84</v>
      </c>
      <c r="F770" s="2" t="str" cm="1">
        <f t="array" ref="F770">_xlfn.IFS(AND(101&gt;E770, E770&gt;69), "Top-Tier", AND(70&gt;E770, E770&gt;39), "Mid-Tier", 40&gt;E770, "Low-Tier")</f>
        <v>Top-Tier</v>
      </c>
      <c r="G770" s="4">
        <v>45383</v>
      </c>
      <c r="H770" t="s">
        <v>1198</v>
      </c>
      <c r="I770" t="s">
        <v>33</v>
      </c>
      <c r="J770" t="s">
        <v>50</v>
      </c>
      <c r="K770" t="s">
        <v>51</v>
      </c>
      <c r="L770" t="s">
        <v>24</v>
      </c>
      <c r="M770" t="s">
        <v>52</v>
      </c>
      <c r="N770" t="s">
        <v>31</v>
      </c>
      <c r="P770" s="3">
        <v>78</v>
      </c>
      <c r="Q770" t="str">
        <f>LEFT(B770, 3)</f>
        <v>MSI</v>
      </c>
      <c r="R770" t="str">
        <f t="shared" si="63"/>
        <v>Intel Core i3 (12th Gen)</v>
      </c>
      <c r="S770" t="str">
        <f t="shared" si="64"/>
        <v xml:space="preserve">8 GB </v>
      </c>
    </row>
    <row r="771" spans="1:19">
      <c r="A771" t="str">
        <f>LEFT(B771, LEN(B771)-15)</f>
        <v>Lenovo ThinkBook 16 Gen 6 (21KKA07RIN) Laptop (AMD Hexa Core Ryzen 5/16 GB/512 GB SSD/Windows 11)</v>
      </c>
      <c r="B771" t="s">
        <v>1223</v>
      </c>
      <c r="C771" s="1">
        <v>47490</v>
      </c>
      <c r="D771" s="1">
        <v>59</v>
      </c>
      <c r="E771" s="2">
        <v>84</v>
      </c>
      <c r="F771" s="2" t="str" cm="1">
        <f t="array" ref="F771">_xlfn.IFS(AND(101&gt;E771, E771&gt;69), "Top-Tier", AND(70&gt;E771, E771&gt;39), "Mid-Tier", 40&gt;E771, "Low-Tier")</f>
        <v>Top-Tier</v>
      </c>
      <c r="G771" s="4">
        <v>45352</v>
      </c>
      <c r="H771" t="s">
        <v>1198</v>
      </c>
      <c r="I771" t="s">
        <v>33</v>
      </c>
      <c r="J771" t="s">
        <v>34</v>
      </c>
      <c r="K771" t="s">
        <v>155</v>
      </c>
      <c r="L771" t="s">
        <v>24</v>
      </c>
      <c r="M771" t="s">
        <v>444</v>
      </c>
      <c r="N771" t="s">
        <v>31</v>
      </c>
      <c r="P771" s="3">
        <v>76</v>
      </c>
      <c r="Q771" t="str">
        <f>LEFT(B771, 6)</f>
        <v>Lenovo</v>
      </c>
      <c r="R771" t="str">
        <f t="shared" si="63"/>
        <v>Intel Core i3 (12th Gen)</v>
      </c>
      <c r="S771" t="str">
        <f t="shared" si="64"/>
        <v>16 GB</v>
      </c>
    </row>
    <row r="772" spans="1:19">
      <c r="A772" t="str">
        <f>LEFT(B772, LEN(B772)-15)</f>
        <v>HP Victus 15-fa1128TX (8U1H6PA) Laptop (Core i5 13th Gen/16 GB/512 GB SSD/Windows 11/4 GB)</v>
      </c>
      <c r="B772" t="s">
        <v>1224</v>
      </c>
      <c r="C772" s="1">
        <v>67900</v>
      </c>
      <c r="D772" s="1">
        <v>25</v>
      </c>
      <c r="E772" s="2">
        <v>84</v>
      </c>
      <c r="F772" s="2" t="str" cm="1">
        <f t="array" ref="F772">_xlfn.IFS(AND(101&gt;E772, E772&gt;69), "Top-Tier", AND(70&gt;E772, E772&gt;39), "Mid-Tier", 40&gt;E772, "Low-Tier")</f>
        <v>Top-Tier</v>
      </c>
      <c r="G772" s="4">
        <v>45323</v>
      </c>
      <c r="H772" t="s">
        <v>1198</v>
      </c>
      <c r="I772" t="s">
        <v>33</v>
      </c>
      <c r="J772" t="s">
        <v>34</v>
      </c>
      <c r="K772" t="s">
        <v>51</v>
      </c>
      <c r="L772" t="s">
        <v>24</v>
      </c>
      <c r="N772" t="s">
        <v>31</v>
      </c>
      <c r="P772" s="3">
        <v>85</v>
      </c>
      <c r="Q772" t="str">
        <f>LEFT(B772, 2)</f>
        <v>HP</v>
      </c>
      <c r="R772" t="str">
        <f t="shared" si="63"/>
        <v>Intel Core i3 (12th Gen)</v>
      </c>
      <c r="S772" t="str">
        <f t="shared" si="64"/>
        <v>16 GB</v>
      </c>
    </row>
    <row r="773" spans="1:19">
      <c r="A773" t="str">
        <f>LEFT(B773, LEN(B773)-15)</f>
        <v>HP 15s-fy5004TU (8K8J2PA) Laptop (Core i3 12th Gen/16 GB/512 GB SSD/Windows 11)</v>
      </c>
      <c r="B773" t="s">
        <v>1225</v>
      </c>
      <c r="C773" s="1">
        <v>38980</v>
      </c>
      <c r="D773" s="1">
        <v>5155</v>
      </c>
      <c r="E773" s="2">
        <v>84</v>
      </c>
      <c r="F773" s="2" t="str" cm="1">
        <f t="array" ref="F773">_xlfn.IFS(AND(101&gt;E773, E773&gt;69), "Top-Tier", AND(70&gt;E773, E773&gt;39), "Mid-Tier", 40&gt;E773, "Low-Tier")</f>
        <v>Top-Tier</v>
      </c>
      <c r="G773" s="4">
        <v>45323</v>
      </c>
      <c r="H773" t="s">
        <v>1198</v>
      </c>
      <c r="I773" t="s">
        <v>33</v>
      </c>
      <c r="J773" t="s">
        <v>34</v>
      </c>
      <c r="K773" t="s">
        <v>51</v>
      </c>
      <c r="L773" t="s">
        <v>24</v>
      </c>
      <c r="M773" t="s">
        <v>95</v>
      </c>
      <c r="N773" t="s">
        <v>31</v>
      </c>
      <c r="P773" s="3">
        <v>78</v>
      </c>
      <c r="Q773" t="str">
        <f>LEFT(B773, 2)</f>
        <v>HP</v>
      </c>
      <c r="R773" t="str">
        <f t="shared" si="63"/>
        <v>Intel Core i3 (12th Gen)</v>
      </c>
      <c r="S773" t="str">
        <f t="shared" si="64"/>
        <v>16 GB</v>
      </c>
    </row>
    <row r="774" spans="1:19">
      <c r="A774" t="str">
        <f>LEFT(B774, LEN(B774)-15)</f>
        <v>HP 15s-fy5002TU (6P132PA) Laptop (Core i5 12th Gen/8 GB/512 GB SSD/Windows 11)</v>
      </c>
      <c r="B774" t="s">
        <v>1226</v>
      </c>
      <c r="C774" s="1">
        <v>47000</v>
      </c>
      <c r="D774" s="1">
        <v>1535</v>
      </c>
      <c r="E774" s="2">
        <v>84</v>
      </c>
      <c r="F774" s="2" t="str" cm="1">
        <f t="array" ref="F774">_xlfn.IFS(AND(101&gt;E774, E774&gt;69), "Top-Tier", AND(70&gt;E774, E774&gt;39), "Mid-Tier", 40&gt;E774, "Low-Tier")</f>
        <v>Top-Tier</v>
      </c>
      <c r="G774" s="4">
        <v>45323</v>
      </c>
      <c r="H774" t="s">
        <v>1198</v>
      </c>
      <c r="I774" t="s">
        <v>33</v>
      </c>
      <c r="J774" t="s">
        <v>50</v>
      </c>
      <c r="K774" t="s">
        <v>51</v>
      </c>
      <c r="L774" t="s">
        <v>24</v>
      </c>
      <c r="M774" t="s">
        <v>95</v>
      </c>
      <c r="N774" t="s">
        <v>31</v>
      </c>
      <c r="P774" s="3">
        <v>78</v>
      </c>
      <c r="Q774" t="str">
        <f>LEFT(B774, 2)</f>
        <v>HP</v>
      </c>
      <c r="R774" t="str">
        <f t="shared" si="63"/>
        <v>Intel Core i3 (12th Gen)</v>
      </c>
      <c r="S774" t="str">
        <f t="shared" si="64"/>
        <v xml:space="preserve">8 GB </v>
      </c>
    </row>
    <row r="775" spans="1:19">
      <c r="A775" t="str">
        <f>LEFT(B775, LEN(B775)-15)</f>
        <v>HP 14s-dq5138tu (9D3M7PA) Laptop (Core i3 12th Gen/8 GB/512 GB SSD/Windows 11)</v>
      </c>
      <c r="B775" t="s">
        <v>1227</v>
      </c>
      <c r="C775" s="1">
        <v>40000</v>
      </c>
      <c r="D775" s="1">
        <v>5116</v>
      </c>
      <c r="E775" s="2">
        <v>84</v>
      </c>
      <c r="F775" s="2" t="str" cm="1">
        <f t="array" ref="F775">_xlfn.IFS(AND(101&gt;E775, E775&gt;69), "Top-Tier", AND(70&gt;E775, E775&gt;39), "Mid-Tier", 40&gt;E775, "Low-Tier")</f>
        <v>Top-Tier</v>
      </c>
      <c r="G775" s="4">
        <v>45323</v>
      </c>
      <c r="H775" t="s">
        <v>1198</v>
      </c>
      <c r="I775" t="s">
        <v>33</v>
      </c>
      <c r="J775" t="s">
        <v>50</v>
      </c>
      <c r="K775" t="s">
        <v>149</v>
      </c>
      <c r="L775" t="s">
        <v>24</v>
      </c>
      <c r="M775" t="s">
        <v>95</v>
      </c>
      <c r="N775" t="s">
        <v>31</v>
      </c>
      <c r="P775" s="3">
        <v>77</v>
      </c>
      <c r="Q775" t="str">
        <f>LEFT(B775, 2)</f>
        <v>HP</v>
      </c>
      <c r="R775" t="str">
        <f t="shared" si="63"/>
        <v>Intel Core i3 (12th Gen)</v>
      </c>
      <c r="S775" t="str">
        <f t="shared" si="64"/>
        <v xml:space="preserve">8 GB </v>
      </c>
    </row>
    <row r="776" spans="1:19">
      <c r="A776" t="str">
        <f>LEFT(B776, LEN(B776)-15)</f>
        <v>HP Pavilion 15-eh1047AU (9E5B9PA) Laptop (AMD Hexa Core Ryzen 5/16 GB/1 TB SSD/Windows 11)</v>
      </c>
      <c r="B776" t="s">
        <v>1228</v>
      </c>
      <c r="C776" s="1">
        <v>52850</v>
      </c>
      <c r="D776" s="1">
        <v>16</v>
      </c>
      <c r="E776" s="2">
        <v>84</v>
      </c>
      <c r="F776" s="2" t="str" cm="1">
        <f t="array" ref="F776">_xlfn.IFS(AND(101&gt;E776, E776&gt;69), "Top-Tier", AND(70&gt;E776, E776&gt;39), "Mid-Tier", 40&gt;E776, "Low-Tier")</f>
        <v>Top-Tier</v>
      </c>
      <c r="G776" s="4">
        <v>45292</v>
      </c>
      <c r="H776" t="s">
        <v>1198</v>
      </c>
      <c r="I776" t="s">
        <v>33</v>
      </c>
      <c r="J776" t="s">
        <v>184</v>
      </c>
      <c r="K776" t="s">
        <v>51</v>
      </c>
      <c r="L776" t="s">
        <v>24</v>
      </c>
      <c r="M776" t="s">
        <v>95</v>
      </c>
      <c r="N776" t="s">
        <v>31</v>
      </c>
      <c r="P776" s="3">
        <v>75</v>
      </c>
      <c r="Q776" t="str">
        <f>LEFT(B776, 2)</f>
        <v>HP</v>
      </c>
      <c r="R776" t="str">
        <f t="shared" si="63"/>
        <v>Intel Core i3 (12th Gen)</v>
      </c>
      <c r="S776" t="str">
        <f t="shared" si="64"/>
        <v>16 GB</v>
      </c>
    </row>
    <row r="777" spans="1:19">
      <c r="A777" t="str">
        <f>LEFT(B777, LEN(B777)-15)</f>
        <v>Infinix INBook Y4 Max YL613 Laptop (Core i3 13th Gen/16 GB/512 GB SSD/Windows 11)</v>
      </c>
      <c r="B777" t="s">
        <v>1229</v>
      </c>
      <c r="C777" s="1">
        <v>32990</v>
      </c>
      <c r="D777" s="1">
        <v>419</v>
      </c>
      <c r="E777" s="2">
        <v>84</v>
      </c>
      <c r="F777" s="2" t="str" cm="1">
        <f t="array" ref="F777">_xlfn.IFS(AND(101&gt;E777, E777&gt;69), "Top-Tier", AND(70&gt;E777, E777&gt;39), "Mid-Tier", 40&gt;E777, "Low-Tier")</f>
        <v>Top-Tier</v>
      </c>
      <c r="G777" s="4">
        <v>45292</v>
      </c>
      <c r="H777" t="s">
        <v>1198</v>
      </c>
      <c r="I777" t="s">
        <v>33</v>
      </c>
      <c r="J777" t="s">
        <v>214</v>
      </c>
      <c r="K777" t="s">
        <v>155</v>
      </c>
      <c r="L777" t="s">
        <v>24</v>
      </c>
      <c r="M777" t="s">
        <v>95</v>
      </c>
      <c r="N777" t="s">
        <v>31</v>
      </c>
      <c r="O777" t="s">
        <v>261</v>
      </c>
      <c r="P777" s="3">
        <v>79</v>
      </c>
      <c r="Q777" t="str">
        <f>LEFT(B777, 7)</f>
        <v>Infinix</v>
      </c>
      <c r="R777" t="str">
        <f t="shared" si="63"/>
        <v>Intel Core i3 (12th Gen)</v>
      </c>
      <c r="S777" t="str">
        <f t="shared" si="64"/>
        <v>16 GB</v>
      </c>
    </row>
    <row r="778" spans="1:19">
      <c r="A778" t="str">
        <f>LEFT(B778, LEN(B778)-15)</f>
        <v>Lenovo Ideapad Slim 3 15ITL6 (82H803HQIN) Laptop (Core i5 11th Gen/8 GB/512 GB SSD/Windows 11)</v>
      </c>
      <c r="B778" t="s">
        <v>1230</v>
      </c>
      <c r="C778" s="1">
        <v>47000</v>
      </c>
      <c r="D778" s="1">
        <v>5806</v>
      </c>
      <c r="E778" s="2">
        <v>84</v>
      </c>
      <c r="F778" s="2" t="str" cm="1">
        <f t="array" ref="F778">_xlfn.IFS(AND(101&gt;E778, E778&gt;69), "Top-Tier", AND(70&gt;E778, E778&gt;39), "Mid-Tier", 40&gt;E778, "Low-Tier")</f>
        <v>Top-Tier</v>
      </c>
      <c r="G778" s="4">
        <v>45231</v>
      </c>
      <c r="H778" t="s">
        <v>1198</v>
      </c>
      <c r="I778" t="s">
        <v>33</v>
      </c>
      <c r="J778" t="s">
        <v>50</v>
      </c>
      <c r="K778" t="s">
        <v>51</v>
      </c>
      <c r="L778" t="s">
        <v>24</v>
      </c>
      <c r="M778" t="s">
        <v>52</v>
      </c>
      <c r="N778" t="s">
        <v>31</v>
      </c>
      <c r="P778" s="3">
        <v>73</v>
      </c>
      <c r="Q778" t="str">
        <f>LEFT(B778, 6)</f>
        <v>Lenovo</v>
      </c>
      <c r="R778" t="str">
        <f t="shared" si="63"/>
        <v>Intel Core i3 (12th Gen)</v>
      </c>
      <c r="S778" t="str">
        <f t="shared" si="64"/>
        <v xml:space="preserve">8 GB </v>
      </c>
    </row>
    <row r="779" spans="1:19">
      <c r="A779" t="str">
        <f>LEFT(B779, LEN(B779)-15)</f>
        <v>Lenovo Ideapad Slim 1 15ALC7 (82R400ERIN) Laptop (AMD Hexa Core Ryzen 5/16 GB/512 GB SSD/Windows 11)</v>
      </c>
      <c r="B779" t="s">
        <v>1231</v>
      </c>
      <c r="C779" s="1">
        <v>42000</v>
      </c>
      <c r="D779" s="1">
        <v>5691</v>
      </c>
      <c r="E779" s="2">
        <v>84</v>
      </c>
      <c r="F779" s="2" t="str" cm="1">
        <f t="array" ref="F779">_xlfn.IFS(AND(101&gt;E779, E779&gt;69), "Top-Tier", AND(70&gt;E779, E779&gt;39), "Mid-Tier", 40&gt;E779, "Low-Tier")</f>
        <v>Top-Tier</v>
      </c>
      <c r="G779" s="4">
        <v>45231</v>
      </c>
      <c r="H779" t="s">
        <v>1198</v>
      </c>
      <c r="I779" t="s">
        <v>33</v>
      </c>
      <c r="J779" t="s">
        <v>34</v>
      </c>
      <c r="K779" t="s">
        <v>51</v>
      </c>
      <c r="L779" t="s">
        <v>24</v>
      </c>
      <c r="M779" t="s">
        <v>52</v>
      </c>
      <c r="N779" t="s">
        <v>31</v>
      </c>
      <c r="P779" s="3">
        <v>73</v>
      </c>
      <c r="Q779" t="str">
        <f>LEFT(B779, 6)</f>
        <v>Lenovo</v>
      </c>
      <c r="R779" t="str">
        <f t="shared" si="63"/>
        <v>Intel Core i3 (12th Gen)</v>
      </c>
      <c r="S779" t="str">
        <f t="shared" si="64"/>
        <v>16 GB</v>
      </c>
    </row>
    <row r="780" spans="1:19">
      <c r="A780" t="str">
        <f>LEFT(B780, LEN(B780)-15)</f>
        <v>Lenovo Ideapad Slim 3 15ITL6 (82H803LKIN) Laptop (Core i5 11th Gen/16 GB/512 GB SSD/Windows 11)</v>
      </c>
      <c r="B780" t="s">
        <v>1232</v>
      </c>
      <c r="C780" s="1">
        <v>40990</v>
      </c>
      <c r="D780" s="1">
        <v>5833</v>
      </c>
      <c r="E780" s="2">
        <v>84</v>
      </c>
      <c r="F780" s="2" t="str" cm="1">
        <f t="array" ref="F780">_xlfn.IFS(AND(101&gt;E780, E780&gt;69), "Top-Tier", AND(70&gt;E780, E780&gt;39), "Mid-Tier", 40&gt;E780, "Low-Tier")</f>
        <v>Top-Tier</v>
      </c>
      <c r="G780" s="4">
        <v>45231</v>
      </c>
      <c r="H780" t="s">
        <v>1233</v>
      </c>
      <c r="I780" t="s">
        <v>33</v>
      </c>
      <c r="J780" t="s">
        <v>34</v>
      </c>
      <c r="K780" t="s">
        <v>217</v>
      </c>
      <c r="L780" t="s">
        <v>24</v>
      </c>
      <c r="M780" t="s">
        <v>52</v>
      </c>
      <c r="N780" t="s">
        <v>31</v>
      </c>
      <c r="P780" s="3">
        <v>73</v>
      </c>
      <c r="Q780" t="str">
        <f>LEFT(B780, 6)</f>
        <v>Lenovo</v>
      </c>
      <c r="R780" t="str">
        <f t="shared" si="63"/>
        <v>Intel Core i3 (12th Gen)</v>
      </c>
      <c r="S780" t="str">
        <f t="shared" si="64"/>
        <v>16 GB</v>
      </c>
    </row>
    <row r="781" spans="1:19">
      <c r="A781" t="str">
        <f>LEFT(B781, LEN(B781)-15)</f>
        <v>Lenovo Ideapad Gaming 3 15IAH7 (82S9017TIN) Laptop (Core i5 12th Gen/16 GB/512 GB SSD/Windows 11/4 GB)</v>
      </c>
      <c r="B781" t="s">
        <v>1234</v>
      </c>
      <c r="C781" s="1">
        <v>68849</v>
      </c>
      <c r="D781" s="1">
        <v>150</v>
      </c>
      <c r="E781" s="2">
        <v>84</v>
      </c>
      <c r="F781" s="2" t="str" cm="1">
        <f t="array" ref="F781">_xlfn.IFS(AND(101&gt;E781, E781&gt;69), "Top-Tier", AND(70&gt;E781, E781&gt;39), "Mid-Tier", 40&gt;E781, "Low-Tier")</f>
        <v>Top-Tier</v>
      </c>
      <c r="G781" s="4">
        <v>45231</v>
      </c>
      <c r="H781" t="s">
        <v>1235</v>
      </c>
      <c r="I781" t="s">
        <v>33</v>
      </c>
      <c r="J781" t="s">
        <v>34</v>
      </c>
      <c r="K781" t="s">
        <v>51</v>
      </c>
      <c r="L781" t="s">
        <v>24</v>
      </c>
      <c r="N781" t="s">
        <v>31</v>
      </c>
      <c r="P781" s="3">
        <v>83</v>
      </c>
      <c r="Q781" t="str">
        <f>LEFT(B781, 6)</f>
        <v>Lenovo</v>
      </c>
      <c r="R781" t="str">
        <f t="shared" si="63"/>
        <v>Intel Core i3 (13th Gen)</v>
      </c>
      <c r="S781" t="str">
        <f t="shared" si="64"/>
        <v>16 GB</v>
      </c>
    </row>
    <row r="782" spans="1:19">
      <c r="A782" t="str">
        <f>LEFT(B782, LEN(B782)-15)</f>
        <v>Lenovo Ideapad Slim 5i 14IRL8 (82XD006GIN) Laptop (Core i5 13th Gen/16 GB/1 TB SSD/Windows 11)</v>
      </c>
      <c r="B782" t="s">
        <v>1236</v>
      </c>
      <c r="C782" s="1">
        <v>71990</v>
      </c>
      <c r="D782" s="1">
        <v>11</v>
      </c>
      <c r="E782" s="2">
        <v>84</v>
      </c>
      <c r="F782" s="2" t="str" cm="1">
        <f t="array" ref="F782">_xlfn.IFS(AND(101&gt;E782, E782&gt;69), "Top-Tier", AND(70&gt;E782, E782&gt;39), "Mid-Tier", 40&gt;E782, "Low-Tier")</f>
        <v>Top-Tier</v>
      </c>
      <c r="G782" s="4">
        <v>45231</v>
      </c>
      <c r="H782" t="s">
        <v>1235</v>
      </c>
      <c r="I782" t="s">
        <v>33</v>
      </c>
      <c r="J782" t="s">
        <v>167</v>
      </c>
      <c r="K782" t="s">
        <v>59</v>
      </c>
      <c r="L782" t="s">
        <v>24</v>
      </c>
      <c r="M782" t="s">
        <v>178</v>
      </c>
      <c r="N782" t="s">
        <v>31</v>
      </c>
      <c r="P782" s="3">
        <v>82</v>
      </c>
      <c r="Q782" t="str">
        <f>LEFT(B782, 6)</f>
        <v>Lenovo</v>
      </c>
      <c r="R782" t="str">
        <f t="shared" si="63"/>
        <v>Intel Core i3 (13th Gen)</v>
      </c>
      <c r="S782" t="str">
        <f t="shared" si="64"/>
        <v>16 GB</v>
      </c>
    </row>
    <row r="783" spans="1:19">
      <c r="A783" t="str">
        <f>LEFT(B783, LEN(B783)-15)</f>
        <v>Lenovo Ideapad 1 15AMN7 (82VG00EQIN) Laptop (AMD Dual Core Athlon/8 GB/512 GB SSD/Windows 11)</v>
      </c>
      <c r="B783" t="s">
        <v>1237</v>
      </c>
      <c r="C783" s="1">
        <v>24990</v>
      </c>
      <c r="D783" s="1">
        <v>1588</v>
      </c>
      <c r="E783" s="2">
        <v>84</v>
      </c>
      <c r="F783" s="2" t="str" cm="1">
        <f t="array" ref="F783">_xlfn.IFS(AND(101&gt;E783, E783&gt;69), "Top-Tier", AND(70&gt;E783, E783&gt;39), "Mid-Tier", 40&gt;E783, "Low-Tier")</f>
        <v>Top-Tier</v>
      </c>
      <c r="G783" s="4">
        <v>45231</v>
      </c>
      <c r="H783" t="s">
        <v>1235</v>
      </c>
      <c r="I783" t="s">
        <v>33</v>
      </c>
      <c r="J783" t="s">
        <v>162</v>
      </c>
      <c r="K783" t="s">
        <v>51</v>
      </c>
      <c r="L783" t="s">
        <v>24</v>
      </c>
      <c r="M783" t="s">
        <v>95</v>
      </c>
      <c r="N783" t="s">
        <v>31</v>
      </c>
      <c r="Q783" t="str">
        <f>LEFT(B783, 6)</f>
        <v>Lenovo</v>
      </c>
      <c r="R783" t="str">
        <f t="shared" si="63"/>
        <v>Intel Core i3 (13th Gen)</v>
      </c>
      <c r="S783" t="str">
        <f t="shared" si="64"/>
        <v xml:space="preserve">8 GB </v>
      </c>
    </row>
    <row r="784" spans="1:19">
      <c r="A784" t="str">
        <f>LEFT(B784, LEN(B784)-15)</f>
        <v>HP Victus 15-fa1145TX (918A8PA) Laptop (Core i5 12th Gen/16 GB/1 TB SSD/Windows 11/4 GB)</v>
      </c>
      <c r="B784" t="s">
        <v>1238</v>
      </c>
      <c r="C784" s="1">
        <v>68990</v>
      </c>
      <c r="D784" s="1">
        <v>175</v>
      </c>
      <c r="E784" s="2">
        <v>84</v>
      </c>
      <c r="F784" s="2" t="str" cm="1">
        <f t="array" ref="F784">_xlfn.IFS(AND(101&gt;E784, E784&gt;69), "Top-Tier", AND(70&gt;E784, E784&gt;39), "Mid-Tier", 40&gt;E784, "Low-Tier")</f>
        <v>Top-Tier</v>
      </c>
      <c r="G784" s="4">
        <v>45200</v>
      </c>
      <c r="H784" t="s">
        <v>1235</v>
      </c>
      <c r="I784" t="s">
        <v>33</v>
      </c>
      <c r="J784" t="s">
        <v>184</v>
      </c>
      <c r="K784" t="s">
        <v>51</v>
      </c>
      <c r="L784" t="s">
        <v>24</v>
      </c>
      <c r="N784" t="s">
        <v>31</v>
      </c>
      <c r="P784" s="3">
        <v>81</v>
      </c>
      <c r="Q784" t="str">
        <f>LEFT(B784, 2)</f>
        <v>HP</v>
      </c>
      <c r="R784" t="str">
        <f t="shared" si="63"/>
        <v>Intel Core i3 (13th Gen)</v>
      </c>
      <c r="S784" t="str">
        <f t="shared" si="64"/>
        <v>16 GB</v>
      </c>
    </row>
    <row r="785" spans="1:19">
      <c r="A785" t="str">
        <f>LEFT(B785, LEN(B785)-15)</f>
        <v>Lenovo Yoga Slim 6i 14IAP8 (82WU0095IN) Laptop (Core i5 12th Gen/16 GB/512 GB SSD/Windows 11)</v>
      </c>
      <c r="B785" t="s">
        <v>1239</v>
      </c>
      <c r="C785" s="1">
        <v>71990</v>
      </c>
      <c r="D785" s="1">
        <v>1151</v>
      </c>
      <c r="E785" s="2">
        <v>84</v>
      </c>
      <c r="F785" s="2" t="str" cm="1">
        <f t="array" ref="F785">_xlfn.IFS(AND(101&gt;E785, E785&gt;69), "Top-Tier", AND(70&gt;E785, E785&gt;39), "Mid-Tier", 40&gt;E785, "Low-Tier")</f>
        <v>Top-Tier</v>
      </c>
      <c r="G785" s="4">
        <v>45200</v>
      </c>
      <c r="H785" t="s">
        <v>1235</v>
      </c>
      <c r="I785" t="s">
        <v>33</v>
      </c>
      <c r="J785" t="s">
        <v>121</v>
      </c>
      <c r="K785" t="s">
        <v>104</v>
      </c>
      <c r="L785" t="s">
        <v>24</v>
      </c>
      <c r="M785" t="s">
        <v>108</v>
      </c>
      <c r="N785" t="s">
        <v>31</v>
      </c>
      <c r="P785" s="3">
        <v>82</v>
      </c>
      <c r="Q785" t="str">
        <f>LEFT(B785, 6)</f>
        <v>Lenovo</v>
      </c>
      <c r="R785" t="str">
        <f t="shared" si="63"/>
        <v>Intel Core i3 (13th Gen)</v>
      </c>
      <c r="S785" t="str">
        <f t="shared" si="64"/>
        <v>16 GB</v>
      </c>
    </row>
    <row r="786" spans="1:19">
      <c r="A786" t="str">
        <f>LEFT(B786, LEN(B786)-15)</f>
        <v>Lenovo Ideapad Gaming 3 (82K2028QIN) Laptop (AMD Quad Core Ryzen 5/8 GB/512 GB SSD/Windows 11/4 GB)</v>
      </c>
      <c r="B786" t="s">
        <v>1240</v>
      </c>
      <c r="C786" s="1">
        <v>57500</v>
      </c>
      <c r="D786" s="1">
        <v>199</v>
      </c>
      <c r="E786" s="2">
        <v>84</v>
      </c>
      <c r="F786" s="2" t="str" cm="1">
        <f t="array" ref="F786">_xlfn.IFS(AND(101&gt;E786, E786&gt;69), "Top-Tier", AND(70&gt;E786, E786&gt;39), "Mid-Tier", 40&gt;E786, "Low-Tier")</f>
        <v>Top-Tier</v>
      </c>
      <c r="G786" s="4">
        <v>45200</v>
      </c>
      <c r="H786" t="s">
        <v>1235</v>
      </c>
      <c r="I786" t="s">
        <v>33</v>
      </c>
      <c r="J786" t="s">
        <v>50</v>
      </c>
      <c r="K786" t="s">
        <v>51</v>
      </c>
      <c r="L786" t="s">
        <v>24</v>
      </c>
      <c r="N786" t="s">
        <v>31</v>
      </c>
      <c r="Q786" t="str">
        <f>LEFT(B786, 6)</f>
        <v>Lenovo</v>
      </c>
      <c r="R786" t="str">
        <f t="shared" si="63"/>
        <v>Intel Core i3 (13th Gen)</v>
      </c>
      <c r="S786" t="str">
        <f t="shared" si="64"/>
        <v xml:space="preserve">8 GB </v>
      </c>
    </row>
    <row r="787" spans="1:19">
      <c r="A787" t="str">
        <f>LEFT(B787, LEN(B787)-15)</f>
        <v>Infinix INBook Y1 Plus XL28 Laptop (Core i5 10th Gen/8 GB/512 GB SSD/Windows 11)</v>
      </c>
      <c r="B787" t="s">
        <v>1241</v>
      </c>
      <c r="C787" s="1">
        <v>59990</v>
      </c>
      <c r="D787" s="1">
        <v>448</v>
      </c>
      <c r="E787" s="2">
        <v>84</v>
      </c>
      <c r="F787" s="2" t="str" cm="1">
        <f t="array" ref="F787">_xlfn.IFS(AND(101&gt;E787, E787&gt;69), "Top-Tier", AND(70&gt;E787, E787&gt;39), "Mid-Tier", 40&gt;E787, "Low-Tier")</f>
        <v>Top-Tier</v>
      </c>
      <c r="G787" s="4">
        <v>45200</v>
      </c>
      <c r="H787" t="s">
        <v>1235</v>
      </c>
      <c r="I787" t="s">
        <v>33</v>
      </c>
      <c r="J787" t="s">
        <v>494</v>
      </c>
      <c r="K787" t="s">
        <v>51</v>
      </c>
      <c r="L787" t="s">
        <v>24</v>
      </c>
      <c r="M787" t="s">
        <v>483</v>
      </c>
      <c r="N787" t="s">
        <v>31</v>
      </c>
      <c r="O787" t="s">
        <v>261</v>
      </c>
      <c r="Q787" t="str">
        <f>LEFT(B787, 7)</f>
        <v>Infinix</v>
      </c>
      <c r="R787" t="str">
        <f t="shared" si="63"/>
        <v>Intel Core i3 (13th Gen)</v>
      </c>
      <c r="S787" t="str">
        <f t="shared" si="64"/>
        <v xml:space="preserve">8 GB </v>
      </c>
    </row>
    <row r="788" spans="1:19">
      <c r="A788" t="str">
        <f>LEFT(B788, LEN(B788)-15)</f>
        <v>HP 15s-eq1580AU (834S2PA) Laptop (AMD Dual Core Ryzen 3/8 GB/512 GB SSD/Windows 11)</v>
      </c>
      <c r="B788" t="s">
        <v>1242</v>
      </c>
      <c r="C788" s="1">
        <v>32990</v>
      </c>
      <c r="D788" s="1">
        <v>4549</v>
      </c>
      <c r="E788" s="2">
        <v>84</v>
      </c>
      <c r="F788" s="2" t="str" cm="1">
        <f t="array" ref="F788">_xlfn.IFS(AND(101&gt;E788, E788&gt;69), "Top-Tier", AND(70&gt;E788, E788&gt;39), "Mid-Tier", 40&gt;E788, "Low-Tier")</f>
        <v>Top-Tier</v>
      </c>
      <c r="G788" s="4">
        <v>45200</v>
      </c>
      <c r="H788" t="s">
        <v>1235</v>
      </c>
      <c r="I788" t="s">
        <v>33</v>
      </c>
      <c r="J788" t="s">
        <v>50</v>
      </c>
      <c r="K788" t="s">
        <v>51</v>
      </c>
      <c r="L788" t="s">
        <v>24</v>
      </c>
      <c r="M788" t="s">
        <v>95</v>
      </c>
      <c r="N788" t="s">
        <v>31</v>
      </c>
      <c r="P788" s="3">
        <v>71</v>
      </c>
      <c r="Q788" t="str">
        <f>LEFT(B788, 2)</f>
        <v>HP</v>
      </c>
      <c r="R788" t="str">
        <f t="shared" si="63"/>
        <v>Intel Core i3 (13th Gen)</v>
      </c>
      <c r="S788" t="str">
        <f t="shared" si="64"/>
        <v xml:space="preserve">8 GB </v>
      </c>
    </row>
    <row r="789" spans="1:19">
      <c r="A789" t="str">
        <f>LEFT(B789, LEN(B789)-15)</f>
        <v>MSI Bravo 15 B7ED-012IN Laptop (AMD Hexa Core Ryzen 5/8 GB/512 GB SSD/Windows 11/4 GB)</v>
      </c>
      <c r="B789" t="s">
        <v>1243</v>
      </c>
      <c r="C789" s="1">
        <v>67990</v>
      </c>
      <c r="D789" s="1">
        <v>134</v>
      </c>
      <c r="E789" s="2">
        <v>84</v>
      </c>
      <c r="F789" s="2" t="str" cm="1">
        <f t="array" ref="F789">_xlfn.IFS(AND(101&gt;E789, E789&gt;69), "Top-Tier", AND(70&gt;E789, E789&gt;39), "Mid-Tier", 40&gt;E789, "Low-Tier")</f>
        <v>Top-Tier</v>
      </c>
      <c r="G789" s="4">
        <v>45200</v>
      </c>
      <c r="H789" t="s">
        <v>1235</v>
      </c>
      <c r="I789" t="s">
        <v>33</v>
      </c>
      <c r="J789" t="s">
        <v>119</v>
      </c>
      <c r="K789" t="s">
        <v>51</v>
      </c>
      <c r="L789" t="s">
        <v>24</v>
      </c>
      <c r="P789" s="3">
        <v>79</v>
      </c>
      <c r="Q789" t="str">
        <f>LEFT(B789, 3)</f>
        <v>MSI</v>
      </c>
      <c r="R789" t="str">
        <f t="shared" si="63"/>
        <v>Intel Core i3 (13th Gen)</v>
      </c>
      <c r="S789" t="str">
        <f t="shared" si="64"/>
        <v xml:space="preserve">8 GB </v>
      </c>
    </row>
    <row r="790" spans="1:19">
      <c r="A790" t="str">
        <f>LEFT(B790, LEN(B790)-15)</f>
        <v>Lenovo Ideapad Slim 3 Chrome 14IAN8 (83BN001PHA) Laptop (Intel Pentium Quad Core/4 GB/128 GB eMMC/Google Chrome)</v>
      </c>
      <c r="B790" t="s">
        <v>1244</v>
      </c>
      <c r="C790" s="1">
        <v>19989</v>
      </c>
      <c r="D790" s="1">
        <v>4</v>
      </c>
      <c r="E790" s="2">
        <v>84</v>
      </c>
      <c r="F790" s="2" t="str" cm="1">
        <f t="array" ref="F790">_xlfn.IFS(AND(101&gt;E790, E790&gt;69), "Top-Tier", AND(70&gt;E790, E790&gt;39), "Mid-Tier", 40&gt;E790, "Low-Tier")</f>
        <v>Top-Tier</v>
      </c>
      <c r="G790" s="4">
        <v>45200</v>
      </c>
      <c r="H790" t="s">
        <v>1235</v>
      </c>
      <c r="I790" t="s">
        <v>735</v>
      </c>
      <c r="J790" t="s">
        <v>1245</v>
      </c>
      <c r="K790" t="s">
        <v>1246</v>
      </c>
      <c r="L790" t="s">
        <v>24</v>
      </c>
      <c r="M790" t="s">
        <v>428</v>
      </c>
      <c r="N790" t="s">
        <v>31</v>
      </c>
      <c r="Q790" t="str">
        <f>LEFT(B790, 6)</f>
        <v>Lenovo</v>
      </c>
      <c r="R790" t="str">
        <f t="shared" si="63"/>
        <v>Intel Core i3 (13th Gen)</v>
      </c>
      <c r="S790" t="str">
        <f t="shared" si="64"/>
        <v xml:space="preserve">4 GB </v>
      </c>
    </row>
    <row r="791" spans="1:19">
      <c r="A791" t="str">
        <f>LEFT(B791, LEN(B791)-15)</f>
        <v>Asus VivoBook Go 15 E1504FA-NJ321WS Laptop (AMD Quad Core Ryzen 3/8 GB/512 GB SSD/Windows 11)</v>
      </c>
      <c r="B791" t="s">
        <v>1247</v>
      </c>
      <c r="C791" s="1">
        <v>31990</v>
      </c>
      <c r="D791" s="1">
        <v>3752</v>
      </c>
      <c r="E791" s="2">
        <v>84</v>
      </c>
      <c r="F791" s="2" t="str" cm="1">
        <f t="array" ref="F791">_xlfn.IFS(AND(101&gt;E791, E791&gt;69), "Top-Tier", AND(70&gt;E791, E791&gt;39), "Mid-Tier", 40&gt;E791, "Low-Tier")</f>
        <v>Top-Tier</v>
      </c>
      <c r="G791" s="4">
        <v>45170</v>
      </c>
      <c r="H791" t="s">
        <v>1248</v>
      </c>
      <c r="I791" t="s">
        <v>33</v>
      </c>
      <c r="J791" t="s">
        <v>162</v>
      </c>
      <c r="K791" t="s">
        <v>51</v>
      </c>
      <c r="L791" t="s">
        <v>24</v>
      </c>
      <c r="M791" t="s">
        <v>95</v>
      </c>
      <c r="N791" t="s">
        <v>31</v>
      </c>
      <c r="P791" s="3">
        <v>74</v>
      </c>
      <c r="Q791" t="str">
        <f>LEFT(B791, 4)</f>
        <v>Asus</v>
      </c>
      <c r="R791" t="str">
        <f t="shared" si="63"/>
        <v>Intel Core i3 (13th Gen)</v>
      </c>
      <c r="S791" t="str">
        <f t="shared" si="64"/>
        <v xml:space="preserve">8 GB </v>
      </c>
    </row>
    <row r="792" spans="1:19">
      <c r="A792" t="str">
        <f>LEFT(B792, LEN(B792)-15)</f>
        <v>Asus VivoBook 14 X1404VA-NK322WS Laptop (Core i3 13th Gen/8 GB/512 GB SSD/Windows 11)</v>
      </c>
      <c r="B792" t="s">
        <v>1249</v>
      </c>
      <c r="C792" s="1">
        <v>36999</v>
      </c>
      <c r="D792" s="1">
        <v>146</v>
      </c>
      <c r="E792" s="2">
        <v>84</v>
      </c>
      <c r="F792" s="2" t="str" cm="1">
        <f t="array" ref="F792">_xlfn.IFS(AND(101&gt;E792, E792&gt;69), "Top-Tier", AND(70&gt;E792, E792&gt;39), "Mid-Tier", 40&gt;E792, "Low-Tier")</f>
        <v>Top-Tier</v>
      </c>
      <c r="G792" s="4">
        <v>45170</v>
      </c>
      <c r="H792" t="s">
        <v>1248</v>
      </c>
      <c r="I792" t="s">
        <v>33</v>
      </c>
      <c r="J792" t="s">
        <v>50</v>
      </c>
      <c r="K792" t="s">
        <v>149</v>
      </c>
      <c r="L792" t="s">
        <v>24</v>
      </c>
      <c r="M792" t="s">
        <v>95</v>
      </c>
      <c r="N792" t="s">
        <v>31</v>
      </c>
      <c r="P792" s="3">
        <v>76</v>
      </c>
      <c r="Q792" t="str">
        <f>LEFT(B792, 4)</f>
        <v>Asus</v>
      </c>
      <c r="R792" t="str">
        <f t="shared" si="63"/>
        <v>Intel Core i3 (13th Gen)</v>
      </c>
      <c r="S792" t="str">
        <f t="shared" si="64"/>
        <v xml:space="preserve">8 GB </v>
      </c>
    </row>
    <row r="793" spans="1:19">
      <c r="A793" t="str">
        <f>LEFT(B793, LEN(B793)-15)</f>
        <v>Asus VivoBook 15 M1502QA-EJ741WS Laptop (AMD Octa Core Ryzen 7/16 GB/512 GB SSD/Windows 11)</v>
      </c>
      <c r="B793" t="s">
        <v>1250</v>
      </c>
      <c r="C793" s="1">
        <v>51990</v>
      </c>
      <c r="D793" s="1">
        <v>1493</v>
      </c>
      <c r="E793" s="2">
        <v>84</v>
      </c>
      <c r="F793" s="2" t="str" cm="1">
        <f t="array" ref="F793">_xlfn.IFS(AND(101&gt;E793, E793&gt;69), "Top-Tier", AND(70&gt;E793, E793&gt;39), "Mid-Tier", 40&gt;E793, "Low-Tier")</f>
        <v>Top-Tier</v>
      </c>
      <c r="G793" s="4">
        <v>45170</v>
      </c>
      <c r="H793" t="s">
        <v>1248</v>
      </c>
      <c r="I793" t="s">
        <v>33</v>
      </c>
      <c r="J793" t="s">
        <v>34</v>
      </c>
      <c r="K793" t="s">
        <v>51</v>
      </c>
      <c r="L793" t="s">
        <v>24</v>
      </c>
      <c r="M793" t="s">
        <v>52</v>
      </c>
      <c r="N793" t="s">
        <v>31</v>
      </c>
      <c r="P793" s="3">
        <v>74</v>
      </c>
      <c r="Q793" t="str">
        <f>LEFT(B793, 4)</f>
        <v>Asus</v>
      </c>
      <c r="R793" t="str">
        <f t="shared" si="63"/>
        <v>Intel Core i3 (13th Gen)</v>
      </c>
      <c r="S793" t="str">
        <f t="shared" si="64"/>
        <v>16 GB</v>
      </c>
    </row>
    <row r="794" spans="1:19">
      <c r="A794" t="str">
        <f>LEFT(B794, LEN(B794)-15)</f>
        <v>Asus ROG Strix G16 G614JJ-N3088WS Laptop (Core i5 13th Gen/16 GB/1 TB SSD/Windows 11/6 GB)</v>
      </c>
      <c r="B794" t="s">
        <v>1251</v>
      </c>
      <c r="C794" s="1">
        <v>108900</v>
      </c>
      <c r="D794" s="1">
        <v>52</v>
      </c>
      <c r="E794" s="2">
        <v>84</v>
      </c>
      <c r="F794" s="2" t="str" cm="1">
        <f t="array" ref="F794">_xlfn.IFS(AND(101&gt;E794, E794&gt;69), "Top-Tier", AND(70&gt;E794, E794&gt;39), "Mid-Tier", 40&gt;E794, "Low-Tier")</f>
        <v>Top-Tier</v>
      </c>
      <c r="G794" s="4">
        <v>45170</v>
      </c>
      <c r="H794" t="s">
        <v>1248</v>
      </c>
      <c r="I794" t="s">
        <v>33</v>
      </c>
      <c r="J794" t="s">
        <v>72</v>
      </c>
      <c r="K794" t="s">
        <v>155</v>
      </c>
      <c r="L794" t="s">
        <v>24</v>
      </c>
      <c r="N794" t="s">
        <v>31</v>
      </c>
      <c r="P794" s="3">
        <v>84</v>
      </c>
      <c r="Q794" t="str">
        <f>LEFT(B794, 4)</f>
        <v>Asus</v>
      </c>
      <c r="R794" t="str">
        <f t="shared" si="63"/>
        <v>Intel Core i3 (13th Gen)</v>
      </c>
      <c r="S794" t="str">
        <f t="shared" si="64"/>
        <v>16 GB</v>
      </c>
    </row>
    <row r="795" spans="1:19">
      <c r="A795" t="str">
        <f>LEFT(B795, LEN(B795)-15)</f>
        <v>Infinix INBook X2 Slim XL23 Laptop (Core i5 11th Gen/16 GB/1 TB SSD/Windows 11)</v>
      </c>
      <c r="B795" t="s">
        <v>1252</v>
      </c>
      <c r="C795" s="1">
        <v>69990</v>
      </c>
      <c r="D795" s="1">
        <v>303</v>
      </c>
      <c r="E795" s="2">
        <v>84</v>
      </c>
      <c r="F795" s="2" t="str" cm="1">
        <f t="array" ref="F795">_xlfn.IFS(AND(101&gt;E795, E795&gt;69), "Top-Tier", AND(70&gt;E795, E795&gt;39), "Mid-Tier", 40&gt;E795, "Low-Tier")</f>
        <v>Top-Tier</v>
      </c>
      <c r="G795" s="4">
        <v>45170</v>
      </c>
      <c r="H795" t="s">
        <v>1248</v>
      </c>
      <c r="I795" t="s">
        <v>33</v>
      </c>
      <c r="J795" t="s">
        <v>329</v>
      </c>
      <c r="K795" t="s">
        <v>1253</v>
      </c>
      <c r="L795" t="s">
        <v>24</v>
      </c>
      <c r="M795" t="s">
        <v>968</v>
      </c>
      <c r="N795" t="s">
        <v>31</v>
      </c>
      <c r="O795" t="s">
        <v>261</v>
      </c>
      <c r="P795" s="3">
        <v>74</v>
      </c>
      <c r="Q795" t="str">
        <f>LEFT(B795, 7)</f>
        <v>Infinix</v>
      </c>
      <c r="R795" t="str">
        <f t="shared" si="63"/>
        <v>Intel Core i3 (13th Gen)</v>
      </c>
      <c r="S795" t="str">
        <f t="shared" si="64"/>
        <v>16 GB</v>
      </c>
    </row>
    <row r="796" spans="1:19">
      <c r="A796" t="str">
        <f>LEFT(B796, LEN(B796)-15)</f>
        <v>MSI Katana 15 B12VEK-400IN Laptop (Core i7 12th Gen/16 GB/1 TB SSD/Windows 11/6 GB)</v>
      </c>
      <c r="B796" t="s">
        <v>1254</v>
      </c>
      <c r="C796" s="1">
        <v>110160</v>
      </c>
      <c r="D796" s="1">
        <v>24</v>
      </c>
      <c r="E796" s="2">
        <v>84</v>
      </c>
      <c r="F796" s="2" t="str" cm="1">
        <f t="array" ref="F796">_xlfn.IFS(AND(101&gt;E796, E796&gt;69), "Top-Tier", AND(70&gt;E796, E796&gt;39), "Mid-Tier", 40&gt;E796, "Low-Tier")</f>
        <v>Top-Tier</v>
      </c>
      <c r="G796" s="4">
        <v>45170</v>
      </c>
      <c r="H796" t="s">
        <v>1248</v>
      </c>
      <c r="I796" t="s">
        <v>33</v>
      </c>
      <c r="J796" t="s">
        <v>72</v>
      </c>
      <c r="K796" t="s">
        <v>51</v>
      </c>
      <c r="L796" t="s">
        <v>24</v>
      </c>
      <c r="N796" t="s">
        <v>31</v>
      </c>
      <c r="Q796" t="str">
        <f>LEFT(B796, 3)</f>
        <v>MSI</v>
      </c>
      <c r="R796" t="str">
        <f t="shared" ref="R796:R815" si="65">LEFT(H796, 24)</f>
        <v>Intel Core i3 (13th Gen)</v>
      </c>
      <c r="S796" t="str">
        <f t="shared" si="64"/>
        <v>16 GB</v>
      </c>
    </row>
    <row r="797" spans="1:19">
      <c r="A797" t="str">
        <f>LEFT(B797, LEN(B797)-15)</f>
        <v>Asus VivoBook 15 X1500EA-EJ311W Laptop (Core i3 11th Gen/8 GB/256 GB SSD/Windows 11)</v>
      </c>
      <c r="B797" t="s">
        <v>1255</v>
      </c>
      <c r="C797" s="1">
        <v>32785</v>
      </c>
      <c r="D797" s="1">
        <v>1384</v>
      </c>
      <c r="E797" s="2">
        <v>84</v>
      </c>
      <c r="F797" s="2" t="str" cm="1">
        <f t="array" ref="F797">_xlfn.IFS(AND(101&gt;E797, E797&gt;69), "Top-Tier", AND(70&gt;E797, E797&gt;39), "Mid-Tier", 40&gt;E797, "Low-Tier")</f>
        <v>Top-Tier</v>
      </c>
      <c r="G797" s="4">
        <v>45170</v>
      </c>
      <c r="H797" t="s">
        <v>1248</v>
      </c>
      <c r="I797" t="s">
        <v>33</v>
      </c>
      <c r="J797" t="s">
        <v>338</v>
      </c>
      <c r="K797" t="s">
        <v>51</v>
      </c>
      <c r="L797" t="s">
        <v>24</v>
      </c>
      <c r="M797" t="s">
        <v>52</v>
      </c>
      <c r="N797" t="s">
        <v>31</v>
      </c>
      <c r="Q797" t="str">
        <f>LEFT(B797, 4)</f>
        <v>Asus</v>
      </c>
      <c r="R797" t="str">
        <f t="shared" si="65"/>
        <v>Intel Core i3 (13th Gen)</v>
      </c>
      <c r="S797" t="str">
        <f t="shared" si="64"/>
        <v xml:space="preserve">8 GB </v>
      </c>
    </row>
    <row r="798" spans="1:19">
      <c r="A798" t="str">
        <f>LEFT(B798, LEN(B798)-15)</f>
        <v>Acer Swift Go OLED (NX.KPZSI.002) Laptop (Core i5 13th Gen/16 GB/512 GB SSD/Windows 11)</v>
      </c>
      <c r="B798" t="s">
        <v>1256</v>
      </c>
      <c r="C798" s="1">
        <v>92999</v>
      </c>
      <c r="D798" s="1">
        <v>10</v>
      </c>
      <c r="E798" s="2">
        <v>84</v>
      </c>
      <c r="F798" s="2" t="str" cm="1">
        <f t="array" ref="F798">_xlfn.IFS(AND(101&gt;E798, E798&gt;69), "Top-Tier", AND(70&gt;E798, E798&gt;39), "Mid-Tier", 40&gt;E798, "Low-Tier")</f>
        <v>Top-Tier</v>
      </c>
      <c r="G798" s="4">
        <v>45170</v>
      </c>
      <c r="H798" t="s">
        <v>1248</v>
      </c>
      <c r="I798" t="s">
        <v>33</v>
      </c>
      <c r="J798" t="s">
        <v>121</v>
      </c>
      <c r="K798" t="s">
        <v>81</v>
      </c>
      <c r="L798" t="s">
        <v>24</v>
      </c>
      <c r="M798" t="s">
        <v>108</v>
      </c>
      <c r="N798" t="s">
        <v>31</v>
      </c>
      <c r="P798" s="3">
        <v>78</v>
      </c>
      <c r="Q798" t="str">
        <f>LEFT(B798, 4)</f>
        <v>Acer</v>
      </c>
      <c r="R798" t="str">
        <f t="shared" si="65"/>
        <v>Intel Core i3 (13th Gen)</v>
      </c>
      <c r="S798" t="str">
        <f t="shared" si="64"/>
        <v>16 GB</v>
      </c>
    </row>
    <row r="799" spans="1:19">
      <c r="A799" t="str">
        <f>LEFT(B799, LEN(B799)-15)</f>
        <v>Lenovo Ideapad Slim 3 15IAU7 (82RK00XDIN) Laptop (Core i3 12th Gen/8 GB/256 GB SSD/Windows 11)</v>
      </c>
      <c r="B799" t="s">
        <v>1257</v>
      </c>
      <c r="C799" s="1">
        <v>34999</v>
      </c>
      <c r="D799" s="1">
        <v>1209</v>
      </c>
      <c r="E799" s="2">
        <v>84</v>
      </c>
      <c r="F799" s="2" t="str" cm="1">
        <f t="array" ref="F799">_xlfn.IFS(AND(101&gt;E799, E799&gt;69), "Top-Tier", AND(70&gt;E799, E799&gt;39), "Mid-Tier", 40&gt;E799, "Low-Tier")</f>
        <v>Top-Tier</v>
      </c>
      <c r="G799" s="4">
        <v>45170</v>
      </c>
      <c r="H799" t="s">
        <v>1248</v>
      </c>
      <c r="I799" t="s">
        <v>33</v>
      </c>
      <c r="J799" t="s">
        <v>338</v>
      </c>
      <c r="K799" t="s">
        <v>217</v>
      </c>
      <c r="L799" t="s">
        <v>24</v>
      </c>
      <c r="M799" t="s">
        <v>52</v>
      </c>
      <c r="N799" t="s">
        <v>31</v>
      </c>
      <c r="P799" s="3">
        <v>71</v>
      </c>
      <c r="Q799" t="str">
        <f>LEFT(B799, 6)</f>
        <v>Lenovo</v>
      </c>
      <c r="R799" t="str">
        <f t="shared" si="65"/>
        <v>Intel Core i3 (13th Gen)</v>
      </c>
      <c r="S799" t="str">
        <f t="shared" si="64"/>
        <v xml:space="preserve">8 GB </v>
      </c>
    </row>
    <row r="800" spans="1:19">
      <c r="A800" t="str">
        <f>LEFT(B800, LEN(B800)-15)</f>
        <v>Dell Inspiron 15 3530 (IN3530XCMNV001ORS1) Laptop (Core i3 13th Gen/8 GB/1 TB SSD/Windows 11)</v>
      </c>
      <c r="B800" t="s">
        <v>1258</v>
      </c>
      <c r="C800" s="1">
        <v>43990</v>
      </c>
      <c r="D800" s="1">
        <v>73</v>
      </c>
      <c r="E800" s="2">
        <v>84</v>
      </c>
      <c r="F800" s="2" t="str" cm="1">
        <f t="array" ref="F800">_xlfn.IFS(AND(101&gt;E800, E800&gt;69), "Top-Tier", AND(70&gt;E800, E800&gt;39), "Mid-Tier", 40&gt;E800, "Low-Tier")</f>
        <v>Top-Tier</v>
      </c>
      <c r="G800" s="4">
        <v>45170</v>
      </c>
      <c r="H800" t="s">
        <v>1248</v>
      </c>
      <c r="I800" t="s">
        <v>33</v>
      </c>
      <c r="J800" t="s">
        <v>1259</v>
      </c>
      <c r="K800" t="s">
        <v>51</v>
      </c>
      <c r="L800" t="s">
        <v>24</v>
      </c>
      <c r="M800" t="s">
        <v>237</v>
      </c>
      <c r="N800" t="s">
        <v>31</v>
      </c>
      <c r="P800" s="3">
        <v>76</v>
      </c>
      <c r="Q800" t="str">
        <f>LEFT(B800, 4)</f>
        <v>Dell</v>
      </c>
      <c r="R800" t="str">
        <f t="shared" si="65"/>
        <v>Intel Core i3 (13th Gen)</v>
      </c>
      <c r="S800" t="str">
        <f t="shared" si="64"/>
        <v xml:space="preserve">8 GB </v>
      </c>
    </row>
    <row r="801" spans="1:19">
      <c r="A801" t="str">
        <f>LEFT(B801, LEN(B801)-15)</f>
        <v>Lenovo Legion Pro 7i 16IRX8H (82WQ007TIN) Laptop (Core i9 13th Gen/32 GB/1 TB SSD/Windows 11/12 GB)</v>
      </c>
      <c r="B801" t="s">
        <v>1260</v>
      </c>
      <c r="C801" s="1">
        <v>275190</v>
      </c>
      <c r="D801" s="1">
        <v>5</v>
      </c>
      <c r="E801" s="2">
        <v>84</v>
      </c>
      <c r="F801" s="2" t="str" cm="1">
        <f t="array" ref="F801">_xlfn.IFS(AND(101&gt;E801, E801&gt;69), "Top-Tier", AND(70&gt;E801, E801&gt;39), "Mid-Tier", 40&gt;E801, "Low-Tier")</f>
        <v>Top-Tier</v>
      </c>
      <c r="G801" s="4">
        <v>45170</v>
      </c>
      <c r="H801" t="s">
        <v>1248</v>
      </c>
      <c r="I801" t="s">
        <v>33</v>
      </c>
      <c r="J801" t="s">
        <v>144</v>
      </c>
      <c r="K801" t="s">
        <v>117</v>
      </c>
      <c r="L801" t="s">
        <v>24</v>
      </c>
      <c r="N801" t="s">
        <v>31</v>
      </c>
      <c r="Q801" t="str">
        <f>LEFT(B801, 6)</f>
        <v>Lenovo</v>
      </c>
      <c r="R801" t="str">
        <f t="shared" si="65"/>
        <v>Intel Core i3 (13th Gen)</v>
      </c>
      <c r="S801" t="str">
        <f t="shared" si="64"/>
        <v>32 GB</v>
      </c>
    </row>
    <row r="802" spans="1:19">
      <c r="A802" t="str">
        <f>LEFT(B802, LEN(B802)-15)</f>
        <v>HP 15s-eq2132AU (8H968PA) Laptop (AMD Hexa Core Ryzen 5/16 GB/512 GB SSD/Windows 11)</v>
      </c>
      <c r="B802" t="s">
        <v>1261</v>
      </c>
      <c r="C802" s="1">
        <v>45990</v>
      </c>
      <c r="D802" s="1">
        <v>847</v>
      </c>
      <c r="E802" s="2">
        <v>84</v>
      </c>
      <c r="F802" s="2" t="str" cm="1">
        <f t="array" ref="F802">_xlfn.IFS(AND(101&gt;E802, E802&gt;69), "Top-Tier", AND(70&gt;E802, E802&gt;39), "Mid-Tier", 40&gt;E802, "Low-Tier")</f>
        <v>Top-Tier</v>
      </c>
      <c r="G802" s="4">
        <v>45170</v>
      </c>
      <c r="H802" t="s">
        <v>1248</v>
      </c>
      <c r="I802" t="s">
        <v>33</v>
      </c>
      <c r="J802" t="s">
        <v>34</v>
      </c>
      <c r="K802" t="s">
        <v>51</v>
      </c>
      <c r="L802" t="s">
        <v>24</v>
      </c>
      <c r="M802" t="s">
        <v>95</v>
      </c>
      <c r="N802" t="s">
        <v>31</v>
      </c>
      <c r="P802" s="3">
        <v>74</v>
      </c>
      <c r="Q802" t="str">
        <f>LEFT(B802, 2)</f>
        <v>HP</v>
      </c>
      <c r="R802" t="str">
        <f t="shared" si="65"/>
        <v>Intel Core i3 (13th Gen)</v>
      </c>
      <c r="S802" t="str">
        <f t="shared" si="64"/>
        <v>16 GB</v>
      </c>
    </row>
    <row r="803" spans="1:19">
      <c r="A803" t="str">
        <f>LEFT(B803, LEN(B803)-15)</f>
        <v>Lenovo Ideapad Gaming 3 15IHU6 (82K101PCIN) Laptop (Core i5 11th Gen/8 GB/512 GB SSD/Windows 11/4 GB)</v>
      </c>
      <c r="B803" t="s">
        <v>1262</v>
      </c>
      <c r="C803" s="1">
        <v>49990</v>
      </c>
      <c r="D803" s="1">
        <v>716</v>
      </c>
      <c r="E803" s="2">
        <v>84</v>
      </c>
      <c r="F803" s="2" t="str" cm="1">
        <f t="array" ref="F803">_xlfn.IFS(AND(101&gt;E803, E803&gt;69), "Top-Tier", AND(70&gt;E803, E803&gt;39), "Mid-Tier", 40&gt;E803, "Low-Tier")</f>
        <v>Top-Tier</v>
      </c>
      <c r="G803" s="4">
        <v>45139</v>
      </c>
      <c r="H803" t="s">
        <v>1248</v>
      </c>
      <c r="I803" t="s">
        <v>33</v>
      </c>
      <c r="J803" t="s">
        <v>50</v>
      </c>
      <c r="K803" t="s">
        <v>51</v>
      </c>
      <c r="L803" t="s">
        <v>24</v>
      </c>
      <c r="N803" t="s">
        <v>31</v>
      </c>
      <c r="P803" s="3">
        <v>81</v>
      </c>
      <c r="Q803" t="str">
        <f>LEFT(B803, 6)</f>
        <v>Lenovo</v>
      </c>
      <c r="R803" t="str">
        <f t="shared" si="65"/>
        <v>Intel Core i3 (13th Gen)</v>
      </c>
      <c r="S803" t="str">
        <f t="shared" si="64"/>
        <v xml:space="preserve">8 GB </v>
      </c>
    </row>
    <row r="804" spans="1:19">
      <c r="A804" t="str">
        <f>LEFT(B804, LEN(B804)-15)</f>
        <v>Lenovo IdeaPad Slim 5 14IRL8 (82XD005RIN) Laptop (Core i5 13th Gen/16 GB/512 GB SSD/Windows 11)</v>
      </c>
      <c r="B804" t="s">
        <v>1263</v>
      </c>
      <c r="C804" s="1">
        <v>69999</v>
      </c>
      <c r="D804" s="1">
        <v>11</v>
      </c>
      <c r="E804" s="2">
        <v>84</v>
      </c>
      <c r="F804" s="2" t="str" cm="1">
        <f t="array" ref="F804">_xlfn.IFS(AND(101&gt;E804, E804&gt;69), "Top-Tier", AND(70&gt;E804, E804&gt;39), "Mid-Tier", 40&gt;E804, "Low-Tier")</f>
        <v>Top-Tier</v>
      </c>
      <c r="G804" s="4">
        <v>45139</v>
      </c>
      <c r="H804" t="s">
        <v>1248</v>
      </c>
      <c r="I804" t="s">
        <v>33</v>
      </c>
      <c r="J804" t="s">
        <v>121</v>
      </c>
      <c r="K804" t="s">
        <v>59</v>
      </c>
      <c r="L804" t="s">
        <v>24</v>
      </c>
      <c r="N804" t="s">
        <v>31</v>
      </c>
      <c r="P804" s="3">
        <v>79</v>
      </c>
      <c r="Q804" t="str">
        <f>LEFT(B804, 6)</f>
        <v>Lenovo</v>
      </c>
      <c r="R804" t="str">
        <f t="shared" si="65"/>
        <v>Intel Core i3 (13th Gen)</v>
      </c>
      <c r="S804" t="str">
        <f t="shared" si="64"/>
        <v>16 GB</v>
      </c>
    </row>
    <row r="805" spans="1:19">
      <c r="A805" t="str">
        <f>LEFT(B805, LEN(B805)-15)</f>
        <v>Lenovo Ideapad Slim 3 15ALC6 (82KU024JIN) Laptop (AMD Octa Core Ryzen 7/16 GB/512 GB SSD/Windows 11)</v>
      </c>
      <c r="B805" t="s">
        <v>1264</v>
      </c>
      <c r="C805" s="1">
        <v>45990</v>
      </c>
      <c r="D805" s="1">
        <v>477</v>
      </c>
      <c r="E805" s="2">
        <v>84</v>
      </c>
      <c r="F805" s="2" t="str" cm="1">
        <f t="array" ref="F805">_xlfn.IFS(AND(101&gt;E805, E805&gt;69), "Top-Tier", AND(70&gt;E805, E805&gt;39), "Mid-Tier", 40&gt;E805, "Low-Tier")</f>
        <v>Top-Tier</v>
      </c>
      <c r="G805" s="4">
        <v>45139</v>
      </c>
      <c r="H805" t="s">
        <v>1248</v>
      </c>
      <c r="I805" t="s">
        <v>33</v>
      </c>
      <c r="J805" t="s">
        <v>34</v>
      </c>
      <c r="K805" t="s">
        <v>51</v>
      </c>
      <c r="L805" t="s">
        <v>24</v>
      </c>
      <c r="M805" t="s">
        <v>52</v>
      </c>
      <c r="N805" t="s">
        <v>31</v>
      </c>
      <c r="P805" s="3">
        <v>75</v>
      </c>
      <c r="Q805" t="str">
        <f>LEFT(B805, 6)</f>
        <v>Lenovo</v>
      </c>
      <c r="R805" t="str">
        <f t="shared" si="65"/>
        <v>Intel Core i3 (13th Gen)</v>
      </c>
      <c r="S805" t="str">
        <f t="shared" si="64"/>
        <v>16 GB</v>
      </c>
    </row>
    <row r="806" spans="1:19">
      <c r="A806" t="str">
        <f>LEFT(B806, LEN(B806)-15)</f>
        <v>Dell Inspiron 15 3520 (IN3520RVTGV001ORB1) Laptop (Core i3 11th Gen/8 GB/512 GB SSD/Windows 11)</v>
      </c>
      <c r="B806" t="s">
        <v>1265</v>
      </c>
      <c r="C806" s="1">
        <v>31999</v>
      </c>
      <c r="D806" s="1">
        <v>262</v>
      </c>
      <c r="E806" s="2">
        <v>84</v>
      </c>
      <c r="F806" s="2" t="str" cm="1">
        <f t="array" ref="F806">_xlfn.IFS(AND(101&gt;E806, E806&gt;69), "Top-Tier", AND(70&gt;E806, E806&gt;39), "Mid-Tier", 40&gt;E806, "Low-Tier")</f>
        <v>Top-Tier</v>
      </c>
      <c r="G806" s="4">
        <v>45139</v>
      </c>
      <c r="H806" t="s">
        <v>1248</v>
      </c>
      <c r="I806" t="s">
        <v>33</v>
      </c>
      <c r="J806" t="s">
        <v>50</v>
      </c>
      <c r="K806" t="s">
        <v>51</v>
      </c>
      <c r="L806" t="s">
        <v>24</v>
      </c>
      <c r="N806" t="s">
        <v>31</v>
      </c>
      <c r="Q806" t="str">
        <f>LEFT(B806, 4)</f>
        <v>Dell</v>
      </c>
      <c r="R806" t="str">
        <f t="shared" si="65"/>
        <v>Intel Core i3 (13th Gen)</v>
      </c>
      <c r="S806" t="str">
        <f t="shared" si="64"/>
        <v xml:space="preserve">8 GB </v>
      </c>
    </row>
    <row r="807" spans="1:19">
      <c r="A807" t="str">
        <f>LEFT(B807, LEN(B807)-15)</f>
        <v>MSI GF63 Thin 11UCX-1491IN Laptop (Core i7 11th Gen/16 GB/1 TB 512 GB SSD/Windows 11/4 GB)</v>
      </c>
      <c r="B807" t="s">
        <v>1266</v>
      </c>
      <c r="C807" s="1">
        <v>66456</v>
      </c>
      <c r="D807" s="1">
        <v>48</v>
      </c>
      <c r="E807" s="2">
        <v>84</v>
      </c>
      <c r="F807" s="2" t="str" cm="1">
        <f t="array" ref="F807">_xlfn.IFS(AND(101&gt;E807, E807&gt;69), "Top-Tier", AND(70&gt;E807, E807&gt;39), "Mid-Tier", 40&gt;E807, "Low-Tier")</f>
        <v>Top-Tier</v>
      </c>
      <c r="G807" s="4">
        <v>45139</v>
      </c>
      <c r="H807" t="s">
        <v>1248</v>
      </c>
      <c r="I807" t="s">
        <v>33</v>
      </c>
      <c r="J807" t="s">
        <v>315</v>
      </c>
      <c r="K807" t="s">
        <v>51</v>
      </c>
      <c r="L807" t="s">
        <v>24</v>
      </c>
      <c r="M807" t="s">
        <v>113</v>
      </c>
      <c r="N807" t="s">
        <v>31</v>
      </c>
      <c r="P807" s="3">
        <v>79</v>
      </c>
      <c r="Q807" t="str">
        <f>LEFT(B807, 3)</f>
        <v>MSI</v>
      </c>
      <c r="R807" t="str">
        <f t="shared" si="65"/>
        <v>Intel Core i3 (13th Gen)</v>
      </c>
      <c r="S807" t="str">
        <f t="shared" si="64"/>
        <v>16 GB</v>
      </c>
    </row>
    <row r="808" spans="1:19">
      <c r="A808" t="str">
        <f>LEFT(B808, LEN(B808)-15)</f>
        <v>Lenovo Ideapad Slim 5 14IAH8 (83BF000UIN) Laptop (Core i5 12th Gen/16 GB/512 GB SSD/Windows 11)</v>
      </c>
      <c r="B808" t="s">
        <v>1267</v>
      </c>
      <c r="C808" s="1">
        <v>58190</v>
      </c>
      <c r="D808" s="1">
        <v>198</v>
      </c>
      <c r="E808" s="2">
        <v>84</v>
      </c>
      <c r="F808" s="2" t="str" cm="1">
        <f t="array" ref="F808">_xlfn.IFS(AND(101&gt;E808, E808&gt;69), "Top-Tier", AND(70&gt;E808, E808&gt;39), "Mid-Tier", 40&gt;E808, "Low-Tier")</f>
        <v>Top-Tier</v>
      </c>
      <c r="G808" s="4">
        <v>45139</v>
      </c>
      <c r="H808" t="s">
        <v>1248</v>
      </c>
      <c r="I808" t="s">
        <v>33</v>
      </c>
      <c r="J808" t="s">
        <v>121</v>
      </c>
      <c r="K808" t="s">
        <v>94</v>
      </c>
      <c r="L808" t="s">
        <v>24</v>
      </c>
      <c r="M808" t="s">
        <v>95</v>
      </c>
      <c r="N808" t="s">
        <v>31</v>
      </c>
      <c r="P808" s="3">
        <v>80</v>
      </c>
      <c r="Q808" t="str">
        <f>LEFT(B808, 6)</f>
        <v>Lenovo</v>
      </c>
      <c r="R808" t="str">
        <f t="shared" si="65"/>
        <v>Intel Core i3 (13th Gen)</v>
      </c>
      <c r="S808" t="str">
        <f t="shared" si="64"/>
        <v>16 GB</v>
      </c>
    </row>
    <row r="809" spans="1:19">
      <c r="A809" t="str">
        <f>LEFT(B809, LEN(B809)-15)</f>
        <v>Lenovo LOQ 15IRH8 (82XV00BRIN) Laptop (Core i7 13th Gen/16 GB/512 GB SSD/Windows 11/8 GB)</v>
      </c>
      <c r="B809" t="s">
        <v>1268</v>
      </c>
      <c r="C809" s="1">
        <v>124999</v>
      </c>
      <c r="D809" s="1">
        <v>156</v>
      </c>
      <c r="E809" s="2">
        <v>84</v>
      </c>
      <c r="F809" s="2" t="str" cm="1">
        <f t="array" ref="F809">_xlfn.IFS(AND(101&gt;E809, E809&gt;69), "Top-Tier", AND(70&gt;E809, E809&gt;39), "Mid-Tier", 40&gt;E809, "Low-Tier")</f>
        <v>Top-Tier</v>
      </c>
      <c r="G809" s="4">
        <v>45139</v>
      </c>
      <c r="H809" t="s">
        <v>1248</v>
      </c>
      <c r="I809" t="s">
        <v>33</v>
      </c>
      <c r="J809" t="s">
        <v>54</v>
      </c>
      <c r="K809" t="s">
        <v>51</v>
      </c>
      <c r="L809" t="s">
        <v>24</v>
      </c>
      <c r="N809" t="s">
        <v>31</v>
      </c>
      <c r="P809" s="3">
        <v>85</v>
      </c>
      <c r="Q809" t="str">
        <f>LEFT(B809, 6)</f>
        <v>Lenovo</v>
      </c>
      <c r="R809" t="str">
        <f t="shared" si="65"/>
        <v>Intel Core i3 (13th Gen)</v>
      </c>
      <c r="S809" t="str">
        <f t="shared" si="64"/>
        <v>16 GB</v>
      </c>
    </row>
    <row r="810" spans="1:19">
      <c r="A810" t="str">
        <f>LEFT(B810, LEN(B810)-15)</f>
        <v>Lenovo LOQ 15IRH8 (82XV00F6IN) Laptop (Core i5 12th Gen/16 GB/512 GB SSD/Windows 11/6 GB)</v>
      </c>
      <c r="B810" t="s">
        <v>1269</v>
      </c>
      <c r="C810" s="1">
        <v>89999</v>
      </c>
      <c r="D810" s="1">
        <v>62</v>
      </c>
      <c r="E810" s="2">
        <v>84</v>
      </c>
      <c r="F810" s="2" t="str" cm="1">
        <f t="array" ref="F810">_xlfn.IFS(AND(101&gt;E810, E810&gt;69), "Top-Tier", AND(70&gt;E810, E810&gt;39), "Mid-Tier", 40&gt;E810, "Low-Tier")</f>
        <v>Top-Tier</v>
      </c>
      <c r="G810" s="4">
        <v>45139</v>
      </c>
      <c r="H810" t="s">
        <v>1248</v>
      </c>
      <c r="I810" t="s">
        <v>33</v>
      </c>
      <c r="J810" t="s">
        <v>54</v>
      </c>
      <c r="K810" t="s">
        <v>51</v>
      </c>
      <c r="L810" t="s">
        <v>24</v>
      </c>
      <c r="N810" t="s">
        <v>31</v>
      </c>
      <c r="P810" s="3">
        <v>83</v>
      </c>
      <c r="Q810" t="str">
        <f>LEFT(B810, 6)</f>
        <v>Lenovo</v>
      </c>
      <c r="R810" t="str">
        <f t="shared" si="65"/>
        <v>Intel Core i3 (13th Gen)</v>
      </c>
      <c r="S810" t="str">
        <f t="shared" si="64"/>
        <v>16 GB</v>
      </c>
    </row>
    <row r="811" spans="1:19">
      <c r="A811" t="str">
        <f>LEFT(B811, LEN(B811)-15)</f>
        <v>Asus VivoBook 15 X1504ZA-NJ325WS Laptop (Core i3 12th Gen/8 GB/512 GB SSD/Windows 11)</v>
      </c>
      <c r="B811" t="s">
        <v>1270</v>
      </c>
      <c r="C811" s="1">
        <v>35990</v>
      </c>
      <c r="D811" s="1">
        <v>549</v>
      </c>
      <c r="E811" s="2">
        <v>84</v>
      </c>
      <c r="F811" s="2" t="str" cm="1">
        <f t="array" ref="F811">_xlfn.IFS(AND(101&gt;E811, E811&gt;69), "Top-Tier", AND(70&gt;E811, E811&gt;39), "Mid-Tier", 40&gt;E811, "Low-Tier")</f>
        <v>Top-Tier</v>
      </c>
      <c r="G811" s="4">
        <v>45108</v>
      </c>
      <c r="H811" t="s">
        <v>1248</v>
      </c>
      <c r="I811" t="s">
        <v>33</v>
      </c>
      <c r="J811" t="s">
        <v>50</v>
      </c>
      <c r="K811" t="s">
        <v>51</v>
      </c>
      <c r="L811" t="s">
        <v>24</v>
      </c>
      <c r="M811" t="s">
        <v>95</v>
      </c>
      <c r="N811" t="s">
        <v>31</v>
      </c>
      <c r="P811" s="3">
        <v>77</v>
      </c>
      <c r="Q811" t="str">
        <f>LEFT(B811, 4)</f>
        <v>Asus</v>
      </c>
      <c r="R811" t="str">
        <f t="shared" si="65"/>
        <v>Intel Core i3 (13th Gen)</v>
      </c>
      <c r="S811" t="str">
        <f t="shared" si="64"/>
        <v xml:space="preserve">8 GB </v>
      </c>
    </row>
    <row r="812" spans="1:19">
      <c r="A812" t="str">
        <f>LEFT(B812, LEN(B812)-15)</f>
        <v>Lenovo Ideapad Slim 5 14ABR8 (82XE004RIN) Laptop (AMD Hexa Core Ryzen 5/16 GB/512 GB SSD/Windows 11)</v>
      </c>
      <c r="B812" t="s">
        <v>1271</v>
      </c>
      <c r="C812" s="1">
        <v>59999</v>
      </c>
      <c r="D812" s="1">
        <v>61</v>
      </c>
      <c r="E812" s="2">
        <v>84</v>
      </c>
      <c r="F812" s="2" t="str" cm="1">
        <f t="array" ref="F812">_xlfn.IFS(AND(101&gt;E812, E812&gt;69), "Top-Tier", AND(70&gt;E812, E812&gt;39), "Mid-Tier", 40&gt;E812, "Low-Tier")</f>
        <v>Top-Tier</v>
      </c>
      <c r="G812" s="4">
        <v>45108</v>
      </c>
      <c r="H812" t="s">
        <v>1248</v>
      </c>
      <c r="I812" t="s">
        <v>33</v>
      </c>
      <c r="J812" t="s">
        <v>34</v>
      </c>
      <c r="K812" t="s">
        <v>59</v>
      </c>
      <c r="L812" t="s">
        <v>24</v>
      </c>
      <c r="N812" t="s">
        <v>31</v>
      </c>
      <c r="P812" s="3">
        <v>75</v>
      </c>
      <c r="Q812" t="str">
        <f>LEFT(B812, 6)</f>
        <v>Lenovo</v>
      </c>
      <c r="R812" t="str">
        <f t="shared" si="65"/>
        <v>Intel Core i3 (13th Gen)</v>
      </c>
      <c r="S812" t="str">
        <f t="shared" si="64"/>
        <v>16 GB</v>
      </c>
    </row>
    <row r="813" spans="1:19">
      <c r="A813" t="str">
        <f>LEFT(B813, LEN(B813)-15)</f>
        <v>Lenovo Ideapad Slim 5 14IRL8 (82XD003NIN) Laptop (Core i5 13th Gen/16 GB/512 GB SSD/Windows 11)</v>
      </c>
      <c r="B813" t="s">
        <v>1272</v>
      </c>
      <c r="C813" s="1">
        <v>70990</v>
      </c>
      <c r="D813" s="1">
        <v>133</v>
      </c>
      <c r="E813" s="2">
        <v>84</v>
      </c>
      <c r="F813" s="2" t="str" cm="1">
        <f t="array" ref="F813">_xlfn.IFS(AND(101&gt;E813, E813&gt;69), "Top-Tier", AND(70&gt;E813, E813&gt;39), "Mid-Tier", 40&gt;E813, "Low-Tier")</f>
        <v>Top-Tier</v>
      </c>
      <c r="G813" s="4">
        <v>45108</v>
      </c>
      <c r="H813" t="s">
        <v>1248</v>
      </c>
      <c r="I813" t="s">
        <v>33</v>
      </c>
      <c r="J813" t="s">
        <v>121</v>
      </c>
      <c r="K813" t="s">
        <v>94</v>
      </c>
      <c r="L813" t="s">
        <v>24</v>
      </c>
      <c r="M813" t="s">
        <v>178</v>
      </c>
      <c r="N813" t="s">
        <v>31</v>
      </c>
      <c r="P813" s="3">
        <v>81</v>
      </c>
      <c r="Q813" t="str">
        <f>LEFT(B813, 6)</f>
        <v>Lenovo</v>
      </c>
      <c r="R813" t="str">
        <f t="shared" si="65"/>
        <v>Intel Core i3 (13th Gen)</v>
      </c>
      <c r="S813" t="str">
        <f t="shared" si="64"/>
        <v>16 GB</v>
      </c>
    </row>
    <row r="814" spans="1:19">
      <c r="A814" t="str">
        <f>LEFT(B814, LEN(B814)-15)</f>
        <v>Lenovo IdeaPad Flex 5 14ALC7 (82R900D9IN) Laptop (AMD Octa Core Ryzen 7/16 GB/512 GB SSD/Windows 11)</v>
      </c>
      <c r="B814" t="s">
        <v>1273</v>
      </c>
      <c r="C814" s="1">
        <v>68499</v>
      </c>
      <c r="D814" s="1">
        <v>57</v>
      </c>
      <c r="E814" s="2">
        <v>84</v>
      </c>
      <c r="F814" s="2" t="str" cm="1">
        <f t="array" ref="F814">_xlfn.IFS(AND(101&gt;E814, E814&gt;69), "Top-Tier", AND(70&gt;E814, E814&gt;39), "Mid-Tier", 40&gt;E814, "Low-Tier")</f>
        <v>Top-Tier</v>
      </c>
      <c r="G814" s="4">
        <v>45108</v>
      </c>
      <c r="H814" t="s">
        <v>1248</v>
      </c>
      <c r="I814" t="s">
        <v>33</v>
      </c>
      <c r="J814" t="s">
        <v>214</v>
      </c>
      <c r="K814" t="s">
        <v>94</v>
      </c>
      <c r="L814" t="s">
        <v>24</v>
      </c>
      <c r="N814" t="s">
        <v>31</v>
      </c>
      <c r="P814" s="3">
        <v>71</v>
      </c>
      <c r="Q814" t="str">
        <f>LEFT(B814, 6)</f>
        <v>Lenovo</v>
      </c>
      <c r="R814" t="str">
        <f t="shared" si="65"/>
        <v>Intel Core i3 (13th Gen)</v>
      </c>
      <c r="S814" t="str">
        <f t="shared" si="64"/>
        <v>16 GB</v>
      </c>
    </row>
    <row r="815" spans="1:19">
      <c r="A815" t="str">
        <f>LEFT(B815, LEN(B815)-15)</f>
        <v>HP Victus 15-fb0108AX (7K8N1PA) Laptop (AMD Hexa Core Ryzen 5/8 GB/512 GB SSD/Windows 11/4 GB)</v>
      </c>
      <c r="B815" t="s">
        <v>1274</v>
      </c>
      <c r="C815" s="1">
        <v>55499</v>
      </c>
      <c r="D815" s="1">
        <v>1244</v>
      </c>
      <c r="E815" s="2">
        <v>84</v>
      </c>
      <c r="F815" s="2" t="str" cm="1">
        <f t="array" ref="F815">_xlfn.IFS(AND(101&gt;E815, E815&gt;69), "Top-Tier", AND(70&gt;E815, E815&gt;39), "Mid-Tier", 40&gt;E815, "Low-Tier")</f>
        <v>Top-Tier</v>
      </c>
      <c r="G815" s="4">
        <v>45108</v>
      </c>
      <c r="H815" t="s">
        <v>1248</v>
      </c>
      <c r="I815" t="s">
        <v>33</v>
      </c>
      <c r="J815" t="s">
        <v>50</v>
      </c>
      <c r="K815" t="s">
        <v>51</v>
      </c>
      <c r="L815" t="s">
        <v>24</v>
      </c>
      <c r="N815" t="s">
        <v>31</v>
      </c>
      <c r="P815" s="3">
        <v>78</v>
      </c>
      <c r="Q815" t="str">
        <f>LEFT(B815, 2)</f>
        <v>HP</v>
      </c>
      <c r="R815" t="str">
        <f t="shared" si="65"/>
        <v>Intel Core i3 (13th Gen)</v>
      </c>
      <c r="S815" t="str">
        <f t="shared" si="64"/>
        <v xml:space="preserve">8 GB </v>
      </c>
    </row>
    <row r="816" spans="1:19">
      <c r="A816" t="str">
        <f>LEFT(B816, LEN(B816)-15)</f>
        <v>Infinix Zero Book 13 ZL513 Laptop (Core i7 13th Gen/32 GB/1 TB SSD/Windows 11)</v>
      </c>
      <c r="B816" t="s">
        <v>1275</v>
      </c>
      <c r="C816" s="1">
        <v>60990</v>
      </c>
      <c r="D816" s="1">
        <v>136</v>
      </c>
      <c r="E816" s="2">
        <v>84</v>
      </c>
      <c r="F816" s="2" t="str" cm="1">
        <f t="array" ref="F816">_xlfn.IFS(AND(101&gt;E816, E816&gt;69), "Top-Tier", AND(70&gt;E816, E816&gt;39), "Mid-Tier", 40&gt;E816, "Low-Tier")</f>
        <v>Top-Tier</v>
      </c>
      <c r="G816" s="4">
        <v>45108</v>
      </c>
      <c r="H816" t="s">
        <v>1276</v>
      </c>
      <c r="I816" t="s">
        <v>33</v>
      </c>
      <c r="J816" t="s">
        <v>58</v>
      </c>
      <c r="K816" t="s">
        <v>51</v>
      </c>
      <c r="L816" t="s">
        <v>24</v>
      </c>
      <c r="M816" t="s">
        <v>178</v>
      </c>
      <c r="N816" t="s">
        <v>31</v>
      </c>
      <c r="O816" t="s">
        <v>261</v>
      </c>
      <c r="P816" s="3">
        <v>81</v>
      </c>
      <c r="Q816" t="str">
        <f>LEFT(B816, 7)</f>
        <v>Infinix</v>
      </c>
      <c r="R816" t="str">
        <f t="shared" ref="R816:R836" si="66">LEFT(H816, 23)</f>
        <v>Intel Core i3 (4th Gen)</v>
      </c>
      <c r="S816" t="str">
        <f t="shared" si="64"/>
        <v>32 GB</v>
      </c>
    </row>
    <row r="817" spans="1:19">
      <c r="A817" t="str">
        <f>LEFT(B817, LEN(B817)-15)</f>
        <v>HP 15s-ey2001AU (8H969PA) Laptop (AMD Octa Core Ryzen 7/16 GB/512 GB SSD/Windows 11)</v>
      </c>
      <c r="B817" t="s">
        <v>1277</v>
      </c>
      <c r="C817" s="1">
        <v>55990</v>
      </c>
      <c r="D817" s="1">
        <v>883</v>
      </c>
      <c r="E817" s="2">
        <v>84</v>
      </c>
      <c r="F817" s="2" t="str" cm="1">
        <f t="array" ref="F817">_xlfn.IFS(AND(101&gt;E817, E817&gt;69), "Top-Tier", AND(70&gt;E817, E817&gt;39), "Mid-Tier", 40&gt;E817, "Low-Tier")</f>
        <v>Top-Tier</v>
      </c>
      <c r="G817" s="4">
        <v>45108</v>
      </c>
      <c r="H817" t="s">
        <v>1278</v>
      </c>
      <c r="I817" t="s">
        <v>33</v>
      </c>
      <c r="J817" t="s">
        <v>34</v>
      </c>
      <c r="K817" t="s">
        <v>51</v>
      </c>
      <c r="L817" t="s">
        <v>24</v>
      </c>
      <c r="M817" t="s">
        <v>95</v>
      </c>
      <c r="N817" t="s">
        <v>31</v>
      </c>
      <c r="P817" s="3">
        <v>71</v>
      </c>
      <c r="Q817" t="str">
        <f>LEFT(B817, 2)</f>
        <v>HP</v>
      </c>
      <c r="R817" t="str">
        <f t="shared" si="66"/>
        <v>Intel Core i3 (6th Gen)</v>
      </c>
      <c r="S817" t="str">
        <f t="shared" si="64"/>
        <v>16 GB</v>
      </c>
    </row>
    <row r="818" spans="1:19">
      <c r="A818" t="str">
        <f>LEFT(B818, LEN(B818)-15)</f>
        <v>HP 14-gr0000TU (8K8J1PA) Laptop (Core i3 13th Gen/8 GB/512 GB SSD/Windows 11)</v>
      </c>
      <c r="B818" t="s">
        <v>1279</v>
      </c>
      <c r="C818" s="1">
        <v>49999</v>
      </c>
      <c r="D818" s="1">
        <v>1071</v>
      </c>
      <c r="E818" s="2">
        <v>84</v>
      </c>
      <c r="F818" s="2" t="str" cm="1">
        <f t="array" ref="F818">_xlfn.IFS(AND(101&gt;E818, E818&gt;69), "Top-Tier", AND(70&gt;E818, E818&gt;39), "Mid-Tier", 40&gt;E818, "Low-Tier")</f>
        <v>Top-Tier</v>
      </c>
      <c r="G818" s="4">
        <v>45108</v>
      </c>
      <c r="H818" t="s">
        <v>1278</v>
      </c>
      <c r="I818" t="s">
        <v>33</v>
      </c>
      <c r="J818" t="s">
        <v>50</v>
      </c>
      <c r="K818" t="s">
        <v>149</v>
      </c>
      <c r="L818" t="s">
        <v>24</v>
      </c>
      <c r="M818" t="s">
        <v>95</v>
      </c>
      <c r="N818" t="s">
        <v>31</v>
      </c>
      <c r="P818" s="3">
        <v>78</v>
      </c>
      <c r="Q818" t="str">
        <f>LEFT(B818, 2)</f>
        <v>HP</v>
      </c>
      <c r="R818" t="str">
        <f t="shared" si="66"/>
        <v>Intel Core i3 (6th Gen)</v>
      </c>
      <c r="S818" t="str">
        <f t="shared" si="64"/>
        <v xml:space="preserve">8 GB </v>
      </c>
    </row>
    <row r="819" spans="1:19">
      <c r="A819" t="str">
        <f>LEFT(B819, LEN(B819)-15)</f>
        <v>HP Pavilion Plus 14-eh1022TU (81B19PA) Laptop (Core i5 13th Gen/16 GB/512 GB SSD/Windows 11)</v>
      </c>
      <c r="B819" t="s">
        <v>1280</v>
      </c>
      <c r="C819" s="1">
        <v>75499</v>
      </c>
      <c r="D819" s="1">
        <v>58</v>
      </c>
      <c r="E819" s="2">
        <v>84</v>
      </c>
      <c r="F819" s="2" t="str" cm="1">
        <f t="array" ref="F819">_xlfn.IFS(AND(101&gt;E819, E819&gt;69), "Top-Tier", AND(70&gt;E819, E819&gt;39), "Mid-Tier", 40&gt;E819, "Low-Tier")</f>
        <v>Top-Tier</v>
      </c>
      <c r="G819" s="4">
        <v>45108</v>
      </c>
      <c r="H819" t="s">
        <v>1278</v>
      </c>
      <c r="I819" t="s">
        <v>33</v>
      </c>
      <c r="J819" t="s">
        <v>34</v>
      </c>
      <c r="K819" t="s">
        <v>104</v>
      </c>
      <c r="L819" t="s">
        <v>24</v>
      </c>
      <c r="M819" t="s">
        <v>732</v>
      </c>
      <c r="N819" t="s">
        <v>31</v>
      </c>
      <c r="P819" s="3">
        <v>77</v>
      </c>
      <c r="Q819" t="str">
        <f>LEFT(B819, 2)</f>
        <v>HP</v>
      </c>
      <c r="R819" t="str">
        <f t="shared" si="66"/>
        <v>Intel Core i3 (6th Gen)</v>
      </c>
      <c r="S819" t="str">
        <f t="shared" si="64"/>
        <v>16 GB</v>
      </c>
    </row>
    <row r="820" spans="1:19">
      <c r="A820" t="str">
        <f>LEFT(B820, LEN(B820)-15)</f>
        <v>MSI Modern 14 C12M-670IN Laptop (Core i7 12th Gen/8 GB/512 GB SSD/Windows 11)</v>
      </c>
      <c r="B820" t="s">
        <v>1281</v>
      </c>
      <c r="C820" s="1">
        <v>42999</v>
      </c>
      <c r="D820" s="1">
        <v>85</v>
      </c>
      <c r="E820" s="2">
        <v>84</v>
      </c>
      <c r="F820" s="2" t="str" cm="1">
        <f t="array" ref="F820">_xlfn.IFS(AND(101&gt;E820, E820&gt;69), "Top-Tier", AND(70&gt;E820, E820&gt;39), "Mid-Tier", 40&gt;E820, "Low-Tier")</f>
        <v>Top-Tier</v>
      </c>
      <c r="G820" s="4">
        <v>45078</v>
      </c>
      <c r="H820" t="s">
        <v>1278</v>
      </c>
      <c r="I820" t="s">
        <v>33</v>
      </c>
      <c r="J820" t="s">
        <v>50</v>
      </c>
      <c r="K820" t="s">
        <v>149</v>
      </c>
      <c r="L820" t="s">
        <v>24</v>
      </c>
      <c r="M820" t="s">
        <v>428</v>
      </c>
      <c r="N820" t="s">
        <v>31</v>
      </c>
      <c r="P820" s="3">
        <v>75</v>
      </c>
      <c r="Q820" t="str">
        <f>LEFT(B820, 3)</f>
        <v>MSI</v>
      </c>
      <c r="R820" t="str">
        <f t="shared" si="66"/>
        <v>Intel Core i3 (6th Gen)</v>
      </c>
      <c r="S820" t="str">
        <f t="shared" si="64"/>
        <v xml:space="preserve">8 GB </v>
      </c>
    </row>
    <row r="821" spans="1:19">
      <c r="A821" t="str">
        <f>LEFT(B821, LEN(B821)-15)</f>
        <v>Acer Aspire 7 A715-76G (UN.QMESI.003) Laptop (Core i5 12th Gen/16 GB/512 GB SSD/Windows 11/4 GB)</v>
      </c>
      <c r="B821" t="s">
        <v>1282</v>
      </c>
      <c r="C821" s="1">
        <v>55990</v>
      </c>
      <c r="D821" s="1">
        <v>566</v>
      </c>
      <c r="E821" s="2">
        <v>84</v>
      </c>
      <c r="F821" s="2" t="str" cm="1">
        <f t="array" ref="F821">_xlfn.IFS(AND(101&gt;E821, E821&gt;69), "Top-Tier", AND(70&gt;E821, E821&gt;39), "Mid-Tier", 40&gt;E821, "Low-Tier")</f>
        <v>Top-Tier</v>
      </c>
      <c r="G821" s="4">
        <v>45078</v>
      </c>
      <c r="H821" t="s">
        <v>1278</v>
      </c>
      <c r="I821" t="s">
        <v>33</v>
      </c>
      <c r="J821" t="s">
        <v>34</v>
      </c>
      <c r="K821" t="s">
        <v>51</v>
      </c>
      <c r="L821" t="s">
        <v>24</v>
      </c>
      <c r="M821" t="s">
        <v>52</v>
      </c>
      <c r="N821" t="s">
        <v>31</v>
      </c>
      <c r="P821" s="3">
        <v>77</v>
      </c>
      <c r="Q821" t="str">
        <f>LEFT(B821, 4)</f>
        <v>Acer</v>
      </c>
      <c r="R821" t="str">
        <f t="shared" si="66"/>
        <v>Intel Core i3 (6th Gen)</v>
      </c>
      <c r="S821" t="str">
        <f t="shared" si="64"/>
        <v>16 GB</v>
      </c>
    </row>
    <row r="822" spans="1:19">
      <c r="A822" t="str">
        <f>LEFT(B822, LEN(B822)-15)</f>
        <v>Acer Aspire 7 A715-76G (UN.QMESI.004) Laptop (Core i5 12th Gen/16 GB/512 GB SSD/Windows 11/4 GB)</v>
      </c>
      <c r="B822" t="s">
        <v>1283</v>
      </c>
      <c r="C822" s="1">
        <v>56990</v>
      </c>
      <c r="D822" s="1">
        <v>1599</v>
      </c>
      <c r="E822" s="2">
        <v>84</v>
      </c>
      <c r="F822" s="2" t="str" cm="1">
        <f t="array" ref="F822">_xlfn.IFS(AND(101&gt;E822, E822&gt;69), "Top-Tier", AND(70&gt;E822, E822&gt;39), "Mid-Tier", 40&gt;E822, "Low-Tier")</f>
        <v>Top-Tier</v>
      </c>
      <c r="G822" s="4">
        <v>45078</v>
      </c>
      <c r="H822" t="s">
        <v>1278</v>
      </c>
      <c r="I822" t="s">
        <v>33</v>
      </c>
      <c r="J822" t="s">
        <v>34</v>
      </c>
      <c r="K822" t="s">
        <v>51</v>
      </c>
      <c r="L822" t="s">
        <v>24</v>
      </c>
      <c r="M822" t="s">
        <v>52</v>
      </c>
      <c r="N822" t="s">
        <v>31</v>
      </c>
      <c r="P822" s="3">
        <v>77</v>
      </c>
      <c r="Q822" t="str">
        <f>LEFT(B822, 4)</f>
        <v>Acer</v>
      </c>
      <c r="R822" t="str">
        <f t="shared" si="66"/>
        <v>Intel Core i3 (6th Gen)</v>
      </c>
      <c r="S822" t="str">
        <f t="shared" si="64"/>
        <v>16 GB</v>
      </c>
    </row>
    <row r="823" spans="1:19">
      <c r="A823" t="str">
        <f>LEFT(B823, LEN(B823)-15)</f>
        <v>Infinix INBook X2 Slim XL23 Laptop (Core i3 11th Gen/8 GB/256 GB SSD/Windows 11)</v>
      </c>
      <c r="B823" t="s">
        <v>1284</v>
      </c>
      <c r="C823" s="1">
        <v>31999</v>
      </c>
      <c r="D823" s="1">
        <v>358</v>
      </c>
      <c r="E823" s="2">
        <v>84</v>
      </c>
      <c r="F823" s="2" t="str" cm="1">
        <f t="array" ref="F823">_xlfn.IFS(AND(101&gt;E823, E823&gt;69), "Top-Tier", AND(70&gt;E823, E823&gt;39), "Mid-Tier", 40&gt;E823, "Low-Tier")</f>
        <v>Top-Tier</v>
      </c>
      <c r="G823" s="4">
        <v>45078</v>
      </c>
      <c r="H823" t="s">
        <v>1278</v>
      </c>
      <c r="I823" t="s">
        <v>33</v>
      </c>
      <c r="J823" t="s">
        <v>214</v>
      </c>
      <c r="K823" t="s">
        <v>427</v>
      </c>
      <c r="L823" t="s">
        <v>24</v>
      </c>
      <c r="M823" t="s">
        <v>968</v>
      </c>
      <c r="N823" t="s">
        <v>31</v>
      </c>
      <c r="O823" t="s">
        <v>261</v>
      </c>
      <c r="P823" s="3">
        <v>73</v>
      </c>
      <c r="Q823" t="str">
        <f>LEFT(B823, 7)</f>
        <v>Infinix</v>
      </c>
      <c r="R823" t="str">
        <f t="shared" si="66"/>
        <v>Intel Core i3 (6th Gen)</v>
      </c>
      <c r="S823" t="str">
        <f t="shared" si="64"/>
        <v>16 GB</v>
      </c>
    </row>
    <row r="824" spans="1:19">
      <c r="A824" t="str">
        <f>LEFT(B824, LEN(B824)-15)</f>
        <v>HP Omen 17-cm2003TX (7K4K0PA) Laptop (Core i7 13th Gen/16 GB/1 TB SSD/Windows 11/8 GB)</v>
      </c>
      <c r="B824" t="s">
        <v>1285</v>
      </c>
      <c r="C824" s="1">
        <v>174848</v>
      </c>
      <c r="D824" s="1">
        <v>28</v>
      </c>
      <c r="E824" s="2">
        <v>84</v>
      </c>
      <c r="F824" s="2" t="str" cm="1">
        <f t="array" ref="F824">_xlfn.IFS(AND(101&gt;E824, E824&gt;69), "Top-Tier", AND(70&gt;E824, E824&gt;39), "Mid-Tier", 40&gt;E824, "Low-Tier")</f>
        <v>Top-Tier</v>
      </c>
      <c r="G824" s="4">
        <v>45078</v>
      </c>
      <c r="H824" t="s">
        <v>1286</v>
      </c>
      <c r="I824" t="s">
        <v>33</v>
      </c>
      <c r="J824" t="s">
        <v>72</v>
      </c>
      <c r="K824" t="s">
        <v>226</v>
      </c>
      <c r="L824" t="s">
        <v>24</v>
      </c>
      <c r="N824" t="s">
        <v>31</v>
      </c>
      <c r="Q824" t="str">
        <f>LEFT(B824, 2)</f>
        <v>HP</v>
      </c>
      <c r="R824" t="str">
        <f t="shared" si="66"/>
        <v>Intel Core i3 (6th Gen)</v>
      </c>
      <c r="S824" t="str">
        <f t="shared" ref="S824:S886" si="67">LEFT(J824, 5)</f>
        <v>16 GB</v>
      </c>
    </row>
    <row r="825" spans="1:19">
      <c r="A825" t="str">
        <f>LEFT(B825, LEN(B825)-15)</f>
        <v>Infinix INBook X2 Slim XL23 Laptop (Core i3 11th Gen/8 GB/256 GB SSD/Windows 11)</v>
      </c>
      <c r="B825" t="s">
        <v>1284</v>
      </c>
      <c r="C825" s="1">
        <v>49990</v>
      </c>
      <c r="D825" s="1">
        <v>416</v>
      </c>
      <c r="E825" s="2">
        <v>84</v>
      </c>
      <c r="F825" s="2" t="str" cm="1">
        <f t="array" ref="F825">_xlfn.IFS(AND(101&gt;E825, E825&gt;69), "Top-Tier", AND(70&gt;E825, E825&gt;39), "Mid-Tier", 40&gt;E825, "Low-Tier")</f>
        <v>Top-Tier</v>
      </c>
      <c r="G825" s="4">
        <v>45078</v>
      </c>
      <c r="H825" t="s">
        <v>1286</v>
      </c>
      <c r="I825" t="s">
        <v>33</v>
      </c>
      <c r="J825" t="s">
        <v>798</v>
      </c>
      <c r="K825" t="s">
        <v>149</v>
      </c>
      <c r="L825" t="s">
        <v>24</v>
      </c>
      <c r="M825" t="s">
        <v>968</v>
      </c>
      <c r="N825" t="s">
        <v>31</v>
      </c>
      <c r="O825" t="s">
        <v>261</v>
      </c>
      <c r="Q825" t="str">
        <f>LEFT(B825, 7)</f>
        <v>Infinix</v>
      </c>
      <c r="R825" t="str">
        <f t="shared" si="66"/>
        <v>Intel Core i3 (6th Gen)</v>
      </c>
      <c r="S825" t="str">
        <f t="shared" si="67"/>
        <v xml:space="preserve">8 GB </v>
      </c>
    </row>
    <row r="826" spans="1:19">
      <c r="A826" t="str">
        <f>LEFT(B826, LEN(B826)-15)</f>
        <v>Lenovo Thinkpad E14 Gen 5 (21JRS00U00) Laptop (AMD Hexa Core Ryzen 5/16 GB/512 GB SSD/Windows 11)</v>
      </c>
      <c r="B826" t="s">
        <v>1287</v>
      </c>
      <c r="C826" s="1">
        <v>50000</v>
      </c>
      <c r="D826" s="1">
        <v>106</v>
      </c>
      <c r="E826" s="2">
        <v>84</v>
      </c>
      <c r="F826" s="2" t="str" cm="1">
        <f t="array" ref="F826">_xlfn.IFS(AND(101&gt;E826, E826&gt;69), "Top-Tier", AND(70&gt;E826, E826&gt;39), "Mid-Tier", 40&gt;E826, "Low-Tier")</f>
        <v>Top-Tier</v>
      </c>
      <c r="G826" s="4">
        <v>45078</v>
      </c>
      <c r="H826" t="s">
        <v>1288</v>
      </c>
      <c r="I826" t="s">
        <v>33</v>
      </c>
      <c r="J826" t="s">
        <v>34</v>
      </c>
      <c r="K826" t="s">
        <v>94</v>
      </c>
      <c r="L826" t="s">
        <v>24</v>
      </c>
      <c r="M826" t="s">
        <v>74</v>
      </c>
      <c r="N826" t="s">
        <v>31</v>
      </c>
      <c r="P826" s="3">
        <v>76</v>
      </c>
      <c r="Q826" t="str">
        <f>LEFT(B826, 6)</f>
        <v>Lenovo</v>
      </c>
      <c r="R826" t="str">
        <f t="shared" si="66"/>
        <v>Intel Core i3 (6th Gen)</v>
      </c>
      <c r="S826" t="str">
        <f t="shared" si="67"/>
        <v>16 GB</v>
      </c>
    </row>
    <row r="827" spans="1:19">
      <c r="A827" t="str">
        <f>LEFT(B827, LEN(B827)-15)</f>
        <v>Lenovo V15 G4 (82YU00W7IN) Laptop (AMD Quad Core Ryzen 3/8 GB/512 GB SSD/Windows 11)</v>
      </c>
      <c r="B827" t="s">
        <v>1289</v>
      </c>
      <c r="C827" s="1">
        <v>27490</v>
      </c>
      <c r="D827" s="1">
        <v>898</v>
      </c>
      <c r="E827" s="2">
        <v>84</v>
      </c>
      <c r="F827" s="2" t="str" cm="1">
        <f t="array" ref="F827">_xlfn.IFS(AND(101&gt;E827, E827&gt;69), "Top-Tier", AND(70&gt;E827, E827&gt;39), "Mid-Tier", 40&gt;E827, "Low-Tier")</f>
        <v>Top-Tier</v>
      </c>
      <c r="G827" s="4">
        <v>45078</v>
      </c>
      <c r="H827" t="s">
        <v>1290</v>
      </c>
      <c r="I827" t="s">
        <v>33</v>
      </c>
      <c r="J827" t="s">
        <v>162</v>
      </c>
      <c r="K827" t="s">
        <v>51</v>
      </c>
      <c r="L827" t="s">
        <v>24</v>
      </c>
      <c r="M827" t="s">
        <v>52</v>
      </c>
      <c r="N827" t="s">
        <v>31</v>
      </c>
      <c r="P827" s="3">
        <v>72</v>
      </c>
      <c r="Q827" t="str">
        <f>LEFT(B827, 6)</f>
        <v>Lenovo</v>
      </c>
      <c r="R827" t="str">
        <f t="shared" si="66"/>
        <v>Intel Core i3 (7th Gen)</v>
      </c>
      <c r="S827" t="str">
        <f t="shared" si="67"/>
        <v xml:space="preserve">8 GB </v>
      </c>
    </row>
    <row r="828" spans="1:19">
      <c r="A828" t="str">
        <f>LEFT(B828, LEN(B828)-15)</f>
        <v>Lenovo V15 G4 (82YU00W6IN) Laptop (AMD Quad Core Ryzen 3/8 GB/512 GB SSD/DOS)</v>
      </c>
      <c r="B828" t="s">
        <v>1291</v>
      </c>
      <c r="C828" s="1">
        <v>27300</v>
      </c>
      <c r="D828" s="1">
        <v>56</v>
      </c>
      <c r="E828" s="2">
        <v>84</v>
      </c>
      <c r="F828" s="2" t="str" cm="1">
        <f t="array" ref="F828">_xlfn.IFS(AND(101&gt;E828, E828&gt;69), "Top-Tier", AND(70&gt;E828, E828&gt;39), "Mid-Tier", 40&gt;E828, "Low-Tier")</f>
        <v>Top-Tier</v>
      </c>
      <c r="G828" s="4">
        <v>45078</v>
      </c>
      <c r="H828" t="s">
        <v>1292</v>
      </c>
      <c r="I828" t="s">
        <v>124</v>
      </c>
      <c r="J828" t="s">
        <v>162</v>
      </c>
      <c r="K828" t="s">
        <v>51</v>
      </c>
      <c r="L828" t="s">
        <v>24</v>
      </c>
      <c r="M828" t="s">
        <v>52</v>
      </c>
      <c r="N828" t="s">
        <v>31</v>
      </c>
      <c r="Q828" t="str">
        <f>LEFT(B828, 6)</f>
        <v>Lenovo</v>
      </c>
      <c r="R828" t="str">
        <f t="shared" si="66"/>
        <v>Intel Core i3 (7th Gen)</v>
      </c>
      <c r="S828" t="str">
        <f t="shared" si="67"/>
        <v xml:space="preserve">8 GB </v>
      </c>
    </row>
    <row r="829" spans="1:19">
      <c r="A829" t="str">
        <f>LEFT(B829, LEN(B829)-15)</f>
        <v>Acer Aspire 7 A715-76G (NH.QMESI.002) Laptop (Core i5 12th Gen/8 GB/512 GB SSD/Windows 11/4 GB)</v>
      </c>
      <c r="B829" t="s">
        <v>1293</v>
      </c>
      <c r="C829" s="1">
        <v>54990</v>
      </c>
      <c r="D829" s="1">
        <v>1591</v>
      </c>
      <c r="E829" s="2">
        <v>84</v>
      </c>
      <c r="F829" s="2" t="str" cm="1">
        <f t="array" ref="F829">_xlfn.IFS(AND(101&gt;E829, E829&gt;69), "Top-Tier", AND(70&gt;E829, E829&gt;39), "Mid-Tier", 40&gt;E829, "Low-Tier")</f>
        <v>Top-Tier</v>
      </c>
      <c r="G829" s="4">
        <v>45047</v>
      </c>
      <c r="H829" t="s">
        <v>1292</v>
      </c>
      <c r="I829" t="s">
        <v>33</v>
      </c>
      <c r="J829" t="s">
        <v>50</v>
      </c>
      <c r="K829" t="s">
        <v>159</v>
      </c>
      <c r="L829" t="s">
        <v>24</v>
      </c>
      <c r="M829" t="s">
        <v>52</v>
      </c>
      <c r="N829" t="s">
        <v>31</v>
      </c>
      <c r="P829" s="3">
        <v>77</v>
      </c>
      <c r="Q829" t="str">
        <f>LEFT(B829, 4)</f>
        <v>Acer</v>
      </c>
      <c r="R829" t="str">
        <f t="shared" si="66"/>
        <v>Intel Core i3 (7th Gen)</v>
      </c>
      <c r="S829" t="str">
        <f t="shared" si="67"/>
        <v xml:space="preserve">8 GB </v>
      </c>
    </row>
    <row r="830" spans="1:19">
      <c r="A830" t="str">
        <f>LEFT(B830, LEN(B830)-15)</f>
        <v>Acer Aspire 7 A715-76G (NH.QMESI.003) Laptop (Core i5 12th Gen/8 GB/512 GB SSD/Windows 11/4 GB)</v>
      </c>
      <c r="B830" t="s">
        <v>1294</v>
      </c>
      <c r="C830" s="1">
        <v>74999</v>
      </c>
      <c r="D830" s="1">
        <v>566</v>
      </c>
      <c r="E830" s="2">
        <v>84</v>
      </c>
      <c r="F830" s="2" t="str" cm="1">
        <f t="array" ref="F830">_xlfn.IFS(AND(101&gt;E830, E830&gt;69), "Top-Tier", AND(70&gt;E830, E830&gt;39), "Mid-Tier", 40&gt;E830, "Low-Tier")</f>
        <v>Top-Tier</v>
      </c>
      <c r="G830" s="4">
        <v>45047</v>
      </c>
      <c r="H830" t="s">
        <v>1292</v>
      </c>
      <c r="I830" t="s">
        <v>33</v>
      </c>
      <c r="J830" t="s">
        <v>50</v>
      </c>
      <c r="K830" t="s">
        <v>159</v>
      </c>
      <c r="L830" t="s">
        <v>24</v>
      </c>
      <c r="M830" t="s">
        <v>52</v>
      </c>
      <c r="P830" s="3">
        <v>76</v>
      </c>
      <c r="Q830" t="str">
        <f>LEFT(B830, 4)</f>
        <v>Acer</v>
      </c>
      <c r="R830" t="str">
        <f t="shared" si="66"/>
        <v>Intel Core i3 (7th Gen)</v>
      </c>
      <c r="S830" t="str">
        <f t="shared" si="67"/>
        <v xml:space="preserve">8 GB </v>
      </c>
    </row>
    <row r="831" spans="1:19">
      <c r="A831" t="str">
        <f>LEFT(B831, LEN(B831)-15)</f>
        <v>MSI GF63 Thin 11SC-1477IN Laptop (Core i5 11th Gen/8 GB/512 GB SSD/Windows 11/4 GB)</v>
      </c>
      <c r="B831" t="s">
        <v>1295</v>
      </c>
      <c r="C831" s="1">
        <v>45990</v>
      </c>
      <c r="D831" s="1">
        <v>388</v>
      </c>
      <c r="E831" s="2">
        <v>84</v>
      </c>
      <c r="F831" s="2" t="str" cm="1">
        <f t="array" ref="F831">_xlfn.IFS(AND(101&gt;E831, E831&gt;69), "Top-Tier", AND(70&gt;E831, E831&gt;39), "Mid-Tier", 40&gt;E831, "Low-Tier")</f>
        <v>Top-Tier</v>
      </c>
      <c r="G831" s="4">
        <v>45047</v>
      </c>
      <c r="H831" t="s">
        <v>1292</v>
      </c>
      <c r="I831" t="s">
        <v>33</v>
      </c>
      <c r="J831" t="s">
        <v>50</v>
      </c>
      <c r="K831" t="s">
        <v>51</v>
      </c>
      <c r="L831" t="s">
        <v>24</v>
      </c>
      <c r="N831" t="s">
        <v>31</v>
      </c>
      <c r="O831" t="s">
        <v>152</v>
      </c>
      <c r="P831" s="3">
        <v>76</v>
      </c>
      <c r="Q831" t="str">
        <f>LEFT(B831, 3)</f>
        <v>MSI</v>
      </c>
      <c r="R831" t="str">
        <f t="shared" si="66"/>
        <v>Intel Core i3 (7th Gen)</v>
      </c>
      <c r="S831" t="str">
        <f t="shared" si="67"/>
        <v xml:space="preserve">8 GB </v>
      </c>
    </row>
    <row r="832" spans="1:19">
      <c r="A832" t="str">
        <f>LEFT(B832, LEN(B832)-15)</f>
        <v>MSI GF63 Thin 11UCX-1471IN Laptop (Core i5 11th Gen/8 GB/512 GB SSD/Windows 11/4 GB)</v>
      </c>
      <c r="B832" t="s">
        <v>1296</v>
      </c>
      <c r="C832" s="1">
        <v>53890</v>
      </c>
      <c r="D832" s="1">
        <v>100</v>
      </c>
      <c r="E832" s="2">
        <v>84</v>
      </c>
      <c r="F832" s="2" t="str" cm="1">
        <f t="array" ref="F832">_xlfn.IFS(AND(101&gt;E832, E832&gt;69), "Top-Tier", AND(70&gt;E832, E832&gt;39), "Mid-Tier", 40&gt;E832, "Low-Tier")</f>
        <v>Top-Tier</v>
      </c>
      <c r="G832" s="4">
        <v>45047</v>
      </c>
      <c r="H832" t="s">
        <v>1292</v>
      </c>
      <c r="I832" t="s">
        <v>33</v>
      </c>
      <c r="J832" t="s">
        <v>50</v>
      </c>
      <c r="K832" t="s">
        <v>51</v>
      </c>
      <c r="L832" t="s">
        <v>24</v>
      </c>
      <c r="O832" t="s">
        <v>254</v>
      </c>
      <c r="P832" s="3">
        <v>77</v>
      </c>
      <c r="Q832" t="str">
        <f>LEFT(B832, 3)</f>
        <v>MSI</v>
      </c>
      <c r="R832" t="str">
        <f t="shared" si="66"/>
        <v>Intel Core i3 (7th Gen)</v>
      </c>
      <c r="S832" t="str">
        <f t="shared" si="67"/>
        <v xml:space="preserve">8 GB </v>
      </c>
    </row>
    <row r="833" spans="1:19">
      <c r="A833" t="str">
        <f>LEFT(B833, LEN(B833)-15)</f>
        <v>Dell Inspiron 15 3530 (IN3530NM1NN001ORS1) Laptop (Core i5 13th Gen/8 GB/512 GB SSD/Windows 11)</v>
      </c>
      <c r="B833" t="s">
        <v>1297</v>
      </c>
      <c r="C833" s="1">
        <v>67590</v>
      </c>
      <c r="D833" s="1">
        <v>10</v>
      </c>
      <c r="E833" s="2">
        <v>84</v>
      </c>
      <c r="F833" s="2" t="str" cm="1">
        <f t="array" ref="F833">_xlfn.IFS(AND(101&gt;E833, E833&gt;69), "Top-Tier", AND(70&gt;E833, E833&gt;39), "Mid-Tier", 40&gt;E833, "Low-Tier")</f>
        <v>Top-Tier</v>
      </c>
      <c r="G833" s="4">
        <v>45047</v>
      </c>
      <c r="H833" t="s">
        <v>1298</v>
      </c>
      <c r="I833" t="s">
        <v>33</v>
      </c>
      <c r="J833" t="s">
        <v>50</v>
      </c>
      <c r="K833" t="s">
        <v>159</v>
      </c>
      <c r="L833" t="s">
        <v>24</v>
      </c>
      <c r="M833" t="s">
        <v>138</v>
      </c>
      <c r="N833" t="s">
        <v>31</v>
      </c>
      <c r="P833" s="3">
        <v>75</v>
      </c>
      <c r="Q833" t="str">
        <f>LEFT(B833, 4)</f>
        <v>Dell</v>
      </c>
      <c r="R833" t="str">
        <f t="shared" si="66"/>
        <v>Intel Core i3 (7th Gen)</v>
      </c>
      <c r="S833" t="str">
        <f t="shared" si="67"/>
        <v xml:space="preserve">8 GB </v>
      </c>
    </row>
    <row r="834" spans="1:19">
      <c r="A834" t="str">
        <f>LEFT(B834, LEN(B834)-15)</f>
        <v>Asus TUF Gaming A16 FA617XS-N3026WS Laptop (AMD Octa Core Ryzen 9/16 GB/1 TB SSD/Windows 11/8 GB)</v>
      </c>
      <c r="B834" t="s">
        <v>1299</v>
      </c>
      <c r="C834" s="1">
        <v>89990</v>
      </c>
      <c r="D834" s="1">
        <v>4</v>
      </c>
      <c r="E834" s="2">
        <v>84</v>
      </c>
      <c r="F834" s="2" t="str" cm="1">
        <f t="array" ref="F834">_xlfn.IFS(AND(101&gt;E834, E834&gt;69), "Top-Tier", AND(70&gt;E834, E834&gt;39), "Mid-Tier", 40&gt;E834, "Low-Tier")</f>
        <v>Top-Tier</v>
      </c>
      <c r="G834" s="4">
        <v>45047</v>
      </c>
      <c r="H834" t="s">
        <v>1300</v>
      </c>
      <c r="I834" t="s">
        <v>33</v>
      </c>
      <c r="J834" t="s">
        <v>72</v>
      </c>
      <c r="K834" t="s">
        <v>155</v>
      </c>
      <c r="L834" t="s">
        <v>24</v>
      </c>
      <c r="M834" t="s">
        <v>765</v>
      </c>
      <c r="N834" t="s">
        <v>31</v>
      </c>
      <c r="P834" s="3">
        <v>86</v>
      </c>
      <c r="Q834" t="str">
        <f>LEFT(B834, 4)</f>
        <v>Asus</v>
      </c>
      <c r="R834" t="str">
        <f t="shared" si="66"/>
        <v>Intel Core i3 (8th Gen)</v>
      </c>
      <c r="S834" t="str">
        <f t="shared" si="67"/>
        <v>16 GB</v>
      </c>
    </row>
    <row r="835" spans="1:19">
      <c r="A835" t="str">
        <f>LEFT(B835, LEN(B835)-15)</f>
        <v>Acer Predator Helios 16 PH16-71 (NH.QJQSI.003) Laptop (Core i7 13th Gen/16 GB/512 GB SSD/Windows 11/8 GB)</v>
      </c>
      <c r="B835" t="s">
        <v>1301</v>
      </c>
      <c r="C835" s="1">
        <v>184990</v>
      </c>
      <c r="D835" s="1">
        <v>41</v>
      </c>
      <c r="E835" s="2">
        <v>84</v>
      </c>
      <c r="F835" s="2" t="str" cm="1">
        <f t="array" ref="F835">_xlfn.IFS(AND(101&gt;E835, E835&gt;69), "Top-Tier", AND(70&gt;E835, E835&gt;39), "Mid-Tier", 40&gt;E835, "Low-Tier")</f>
        <v>Top-Tier</v>
      </c>
      <c r="G835" s="4">
        <v>45047</v>
      </c>
      <c r="H835" t="s">
        <v>1300</v>
      </c>
      <c r="I835" t="s">
        <v>33</v>
      </c>
      <c r="J835" t="s">
        <v>54</v>
      </c>
      <c r="K835" t="s">
        <v>1302</v>
      </c>
      <c r="L835" t="s">
        <v>24</v>
      </c>
      <c r="N835" t="s">
        <v>31</v>
      </c>
      <c r="P835" s="3">
        <v>86</v>
      </c>
      <c r="Q835" t="str">
        <f>LEFT(B835, 4)</f>
        <v>Acer</v>
      </c>
      <c r="R835" t="str">
        <f t="shared" si="66"/>
        <v>Intel Core i3 (8th Gen)</v>
      </c>
      <c r="S835" t="str">
        <f t="shared" si="67"/>
        <v>16 GB</v>
      </c>
    </row>
    <row r="836" spans="1:19">
      <c r="A836" t="str">
        <f>LEFT(B836, LEN(B836)-15)</f>
        <v>Dell Inspiron 15 3530 (IN3530GH7Y2001ORS1) Laptop (Core i3 13th Gen/8 GB/512 GB SSD/Windows 11)</v>
      </c>
      <c r="B836" t="s">
        <v>1303</v>
      </c>
      <c r="C836" s="1">
        <v>37450</v>
      </c>
      <c r="D836" s="1">
        <v>10</v>
      </c>
      <c r="E836" s="2">
        <v>84</v>
      </c>
      <c r="F836" s="2" t="str" cm="1">
        <f t="array" ref="F836">_xlfn.IFS(AND(101&gt;E836, E836&gt;69), "Top-Tier", AND(70&gt;E836, E836&gt;39), "Mid-Tier", 40&gt;E836, "Low-Tier")</f>
        <v>Top-Tier</v>
      </c>
      <c r="G836" s="4">
        <v>45047</v>
      </c>
      <c r="H836" t="s">
        <v>1300</v>
      </c>
      <c r="I836" t="s">
        <v>33</v>
      </c>
      <c r="J836" t="s">
        <v>50</v>
      </c>
      <c r="K836" t="s">
        <v>51</v>
      </c>
      <c r="L836" t="s">
        <v>24</v>
      </c>
      <c r="M836" t="s">
        <v>122</v>
      </c>
      <c r="N836" t="s">
        <v>31</v>
      </c>
      <c r="P836" s="3">
        <v>75</v>
      </c>
      <c r="Q836" t="str">
        <f>LEFT(B836, 4)</f>
        <v>Dell</v>
      </c>
      <c r="R836" t="str">
        <f t="shared" si="66"/>
        <v>Intel Core i3 (8th Gen)</v>
      </c>
      <c r="S836" t="str">
        <f t="shared" si="67"/>
        <v xml:space="preserve">8 GB </v>
      </c>
    </row>
    <row r="837" spans="1:19">
      <c r="A837" t="str">
        <f>LEFT(B837, LEN(B837)-15)</f>
        <v>Asus Vivobook 16X K3605ZC-MB541WS Laptop (Core i5 12th Gen/16 GB/512 GB SSD/Windows 11/4 GB)</v>
      </c>
      <c r="B837" t="s">
        <v>1304</v>
      </c>
      <c r="C837" s="1">
        <v>66990</v>
      </c>
      <c r="D837" s="1">
        <v>736</v>
      </c>
      <c r="E837" s="2">
        <v>84</v>
      </c>
      <c r="F837" s="2" t="str" cm="1">
        <f t="array" ref="F837">_xlfn.IFS(AND(101&gt;E837, E837&gt;69), "Top-Tier", AND(70&gt;E837, E837&gt;39), "Mid-Tier", 40&gt;E837, "Low-Tier")</f>
        <v>Top-Tier</v>
      </c>
      <c r="G837" s="4">
        <v>45047</v>
      </c>
      <c r="H837" t="s">
        <v>1300</v>
      </c>
      <c r="I837" t="s">
        <v>33</v>
      </c>
      <c r="J837" t="s">
        <v>34</v>
      </c>
      <c r="K837" t="s">
        <v>155</v>
      </c>
      <c r="L837" t="s">
        <v>24</v>
      </c>
      <c r="M837" t="s">
        <v>122</v>
      </c>
      <c r="P837" s="3">
        <v>80</v>
      </c>
      <c r="Q837" t="str">
        <f>LEFT(B837, 4)</f>
        <v>Asus</v>
      </c>
      <c r="R837" t="str">
        <f>LEFT(H837, 23)</f>
        <v>Intel Core i3 (8th Gen)</v>
      </c>
      <c r="S837" t="str">
        <f t="shared" si="67"/>
        <v>16 GB</v>
      </c>
    </row>
    <row r="838" spans="1:19">
      <c r="A838" t="str">
        <f>LEFT(B838, LEN(B838)-15)</f>
        <v>Asus TUF Gaming A15 FA577NU-LP082W Laptop (AMD Octa Core Ryzen 7/16 GB/512 GB SSD/Windows 11/6 GB)</v>
      </c>
      <c r="B838" t="s">
        <v>1305</v>
      </c>
      <c r="C838" s="1">
        <v>85990</v>
      </c>
      <c r="D838" s="1">
        <v>77</v>
      </c>
      <c r="E838" s="2">
        <v>84</v>
      </c>
      <c r="F838" s="2" t="str" cm="1">
        <f t="array" ref="F838">_xlfn.IFS(AND(101&gt;E838, E838&gt;69), "Top-Tier", AND(70&gt;E838, E838&gt;39), "Mid-Tier", 40&gt;E838, "Low-Tier")</f>
        <v>Top-Tier</v>
      </c>
      <c r="G838" s="4">
        <v>45047</v>
      </c>
      <c r="H838" t="s">
        <v>1306</v>
      </c>
      <c r="I838" t="s">
        <v>33</v>
      </c>
      <c r="J838" t="s">
        <v>54</v>
      </c>
      <c r="K838" t="s">
        <v>51</v>
      </c>
      <c r="L838" t="s">
        <v>24</v>
      </c>
      <c r="M838" t="s">
        <v>1307</v>
      </c>
      <c r="N838" t="s">
        <v>31</v>
      </c>
      <c r="P838" s="3">
        <v>85</v>
      </c>
      <c r="Q838" t="str">
        <f>LEFT(B838, 4)</f>
        <v>Asus</v>
      </c>
      <c r="R838" t="str">
        <f>LEFT(H837, 24)</f>
        <v xml:space="preserve">Intel Core i3 (8th Gen) </v>
      </c>
      <c r="S838" t="str">
        <f t="shared" si="67"/>
        <v>16 GB</v>
      </c>
    </row>
    <row r="839" spans="1:19">
      <c r="A839" t="str">
        <f>LEFT(B839, LEN(B839)-15)</f>
        <v>Asus TUF Gaming F17 FX706HF-HX018W Laptop (Core i5 11th Gen/8 GB/512 GB SSD/Windows 11/4 GB)</v>
      </c>
      <c r="B839" t="s">
        <v>1308</v>
      </c>
      <c r="C839" s="1">
        <v>49980</v>
      </c>
      <c r="D839" s="1">
        <v>1333</v>
      </c>
      <c r="E839" s="2">
        <v>84</v>
      </c>
      <c r="F839" s="2" t="str" cm="1">
        <f t="array" ref="F839">_xlfn.IFS(AND(101&gt;E839, E839&gt;69), "Top-Tier", AND(70&gt;E839, E839&gt;39), "Mid-Tier", 40&gt;E839, "Low-Tier")</f>
        <v>Top-Tier</v>
      </c>
      <c r="G839" s="4">
        <v>45047</v>
      </c>
      <c r="H839" t="s">
        <v>1306</v>
      </c>
      <c r="I839" t="s">
        <v>33</v>
      </c>
      <c r="J839" t="s">
        <v>50</v>
      </c>
      <c r="K839" t="s">
        <v>395</v>
      </c>
      <c r="L839" t="s">
        <v>24</v>
      </c>
      <c r="N839" t="s">
        <v>31</v>
      </c>
      <c r="P839" s="3">
        <v>82</v>
      </c>
      <c r="Q839" t="str">
        <f>LEFT(B839, 4)</f>
        <v>Asus</v>
      </c>
      <c r="R839" t="str">
        <f t="shared" ref="R839:R901" si="68">LEFT(H838, 24)</f>
        <v>Intel Core i5 (10th Gen)</v>
      </c>
      <c r="S839" t="str">
        <f t="shared" si="67"/>
        <v xml:space="preserve">8 GB </v>
      </c>
    </row>
    <row r="840" spans="1:19">
      <c r="A840" t="str">
        <f>LEFT(B840, LEN(B840)-15)</f>
        <v>HP 15-fd0013TU (7P705PA) Laptop (Core i5 13th Gen/16 GB/512 GB SSD/Windows 11)</v>
      </c>
      <c r="B840" t="s">
        <v>1309</v>
      </c>
      <c r="C840" s="1">
        <v>57990</v>
      </c>
      <c r="D840" s="1">
        <v>369</v>
      </c>
      <c r="E840" s="2">
        <v>84</v>
      </c>
      <c r="F840" s="2" t="str" cm="1">
        <f t="array" ref="F840">_xlfn.IFS(AND(101&gt;E840, E840&gt;69), "Top-Tier", AND(70&gt;E840, E840&gt;39), "Mid-Tier", 40&gt;E840, "Low-Tier")</f>
        <v>Top-Tier</v>
      </c>
      <c r="G840" s="4">
        <v>45047</v>
      </c>
      <c r="H840" t="s">
        <v>1306</v>
      </c>
      <c r="I840" t="s">
        <v>33</v>
      </c>
      <c r="J840" t="s">
        <v>34</v>
      </c>
      <c r="K840" t="s">
        <v>51</v>
      </c>
      <c r="L840" t="s">
        <v>24</v>
      </c>
      <c r="M840" t="s">
        <v>52</v>
      </c>
      <c r="N840" t="s">
        <v>31</v>
      </c>
      <c r="P840" s="3">
        <v>75</v>
      </c>
      <c r="Q840" t="str">
        <f>LEFT(B840, 2)</f>
        <v>HP</v>
      </c>
      <c r="R840" t="str">
        <f t="shared" si="68"/>
        <v>Intel Core i5 (10th Gen)</v>
      </c>
      <c r="S840" t="str">
        <f t="shared" si="67"/>
        <v>16 GB</v>
      </c>
    </row>
    <row r="841" spans="1:19">
      <c r="A841" t="str">
        <f>LEFT(B841, LEN(B841)-15)</f>
        <v>HP 15-fd0006TU (7P6Z8PA) Laptop (Core i3 13th Gen/8 GB/512 GB SSD/Windows 11)</v>
      </c>
      <c r="B841" t="s">
        <v>1310</v>
      </c>
      <c r="C841" s="1">
        <v>36590</v>
      </c>
      <c r="D841" s="1">
        <v>120</v>
      </c>
      <c r="E841" s="2">
        <v>84</v>
      </c>
      <c r="F841" s="2" t="str" cm="1">
        <f t="array" ref="F841">_xlfn.IFS(AND(101&gt;E841, E841&gt;69), "Top-Tier", AND(70&gt;E841, E841&gt;39), "Mid-Tier", 40&gt;E841, "Low-Tier")</f>
        <v>Top-Tier</v>
      </c>
      <c r="G841" s="4">
        <v>45047</v>
      </c>
      <c r="H841" t="s">
        <v>1306</v>
      </c>
      <c r="I841" t="s">
        <v>33</v>
      </c>
      <c r="J841" t="s">
        <v>50</v>
      </c>
      <c r="K841" t="s">
        <v>51</v>
      </c>
      <c r="L841" t="s">
        <v>24</v>
      </c>
      <c r="M841" t="s">
        <v>52</v>
      </c>
      <c r="N841" t="s">
        <v>31</v>
      </c>
      <c r="P841" s="3">
        <v>72</v>
      </c>
      <c r="Q841" t="str">
        <f>LEFT(B841, 2)</f>
        <v>HP</v>
      </c>
      <c r="R841" t="str">
        <f t="shared" si="68"/>
        <v>Intel Core i5 (10th Gen)</v>
      </c>
      <c r="S841" t="str">
        <f t="shared" si="67"/>
        <v xml:space="preserve">8 GB </v>
      </c>
    </row>
    <row r="842" spans="1:19">
      <c r="A842" t="str">
        <f>LEFT(B842, LEN(B842)-15)</f>
        <v>HP 15-fc0030AU (7L034PA) Laptop (AMD Quad Core Ryzen 5/16 GB/512 GB SSD/Windows 11)</v>
      </c>
      <c r="B842" t="s">
        <v>1311</v>
      </c>
      <c r="C842" s="1">
        <v>44000</v>
      </c>
      <c r="D842" s="1">
        <v>64</v>
      </c>
      <c r="E842" s="2">
        <v>84</v>
      </c>
      <c r="F842" s="2" t="str" cm="1">
        <f t="array" ref="F842">_xlfn.IFS(AND(101&gt;E842, E842&gt;69), "Top-Tier", AND(70&gt;E842, E842&gt;39), "Mid-Tier", 40&gt;E842, "Low-Tier")</f>
        <v>Top-Tier</v>
      </c>
      <c r="G842" s="4">
        <v>45017</v>
      </c>
      <c r="H842" t="s">
        <v>1306</v>
      </c>
      <c r="I842" t="s">
        <v>33</v>
      </c>
      <c r="J842" t="s">
        <v>121</v>
      </c>
      <c r="K842" t="s">
        <v>51</v>
      </c>
      <c r="L842" t="s">
        <v>24</v>
      </c>
      <c r="M842" t="s">
        <v>52</v>
      </c>
      <c r="N842" t="s">
        <v>31</v>
      </c>
      <c r="P842" s="3">
        <v>71</v>
      </c>
      <c r="Q842" t="str">
        <f>LEFT(B842, 2)</f>
        <v>HP</v>
      </c>
      <c r="R842" t="str">
        <f t="shared" si="68"/>
        <v>Intel Core i5 (10th Gen)</v>
      </c>
      <c r="S842" t="str">
        <f t="shared" si="67"/>
        <v>16 GB</v>
      </c>
    </row>
    <row r="843" spans="1:19">
      <c r="A843" t="str">
        <f>LEFT(B843, LEN(B843)-15)</f>
        <v>HP 15-fd0011TU (7P703PA) Laptop (Core i5 13th Gen/8 GB/512 GB SSD/Windows 11)</v>
      </c>
      <c r="B843" t="s">
        <v>1312</v>
      </c>
      <c r="C843" s="1">
        <v>51290</v>
      </c>
      <c r="D843" s="1">
        <v>369</v>
      </c>
      <c r="E843" s="2">
        <v>84</v>
      </c>
      <c r="F843" s="2" t="str" cm="1">
        <f t="array" ref="F843">_xlfn.IFS(AND(101&gt;E843, E843&gt;69), "Top-Tier", AND(70&gt;E843, E843&gt;39), "Mid-Tier", 40&gt;E843, "Low-Tier")</f>
        <v>Top-Tier</v>
      </c>
      <c r="G843" s="4">
        <v>45017</v>
      </c>
      <c r="H843" t="s">
        <v>1306</v>
      </c>
      <c r="I843" t="s">
        <v>33</v>
      </c>
      <c r="J843" t="s">
        <v>50</v>
      </c>
      <c r="K843" t="s">
        <v>51</v>
      </c>
      <c r="L843" t="s">
        <v>24</v>
      </c>
      <c r="M843" t="s">
        <v>99</v>
      </c>
      <c r="N843" t="s">
        <v>31</v>
      </c>
      <c r="Q843" t="str">
        <f>LEFT(B843, 2)</f>
        <v>HP</v>
      </c>
      <c r="R843" t="str">
        <f t="shared" si="68"/>
        <v>Intel Core i5 (10th Gen)</v>
      </c>
      <c r="S843" t="str">
        <f t="shared" si="67"/>
        <v xml:space="preserve">8 GB </v>
      </c>
    </row>
    <row r="844" spans="1:19">
      <c r="A844" t="str">
        <f>LEFT(B844, LEN(B844)-15)</f>
        <v>MSI GF63 Thin 11UC-1295IN Laptop (Core i5 11th Gen/16 GB/1 TB 256 GB SSD/Windows 11/4 GB)</v>
      </c>
      <c r="B844" t="s">
        <v>1313</v>
      </c>
      <c r="C844" s="1">
        <v>63808</v>
      </c>
      <c r="D844" s="1">
        <v>103</v>
      </c>
      <c r="E844" s="2">
        <v>84</v>
      </c>
      <c r="F844" s="2" t="str" cm="1">
        <f t="array" ref="F844">_xlfn.IFS(AND(101&gt;E844, E844&gt;69), "Top-Tier", AND(70&gt;E844, E844&gt;39), "Mid-Tier", 40&gt;E844, "Low-Tier")</f>
        <v>Top-Tier</v>
      </c>
      <c r="G844" s="4">
        <v>45017</v>
      </c>
      <c r="H844" t="s">
        <v>1314</v>
      </c>
      <c r="I844" t="s">
        <v>33</v>
      </c>
      <c r="J844" t="s">
        <v>315</v>
      </c>
      <c r="K844" t="s">
        <v>51</v>
      </c>
      <c r="L844" t="s">
        <v>24</v>
      </c>
      <c r="N844" t="s">
        <v>31</v>
      </c>
      <c r="P844" s="3">
        <v>76</v>
      </c>
      <c r="Q844" t="str">
        <f>LEFT(B844, 3)</f>
        <v>MSI</v>
      </c>
      <c r="R844" t="str">
        <f t="shared" si="68"/>
        <v>Intel Core i5 (10th Gen)</v>
      </c>
      <c r="S844" t="str">
        <f t="shared" si="67"/>
        <v>16 GB</v>
      </c>
    </row>
    <row r="845" spans="1:19">
      <c r="A845" t="str">
        <f>LEFT(B845, LEN(B845)-15)</f>
        <v>Asus VivoBook Go 14 E1404GA-NK322WS Laptop (Core i3 12th Gen/8 GB/512 GB SSD/Windows 11)</v>
      </c>
      <c r="B845" t="s">
        <v>1315</v>
      </c>
      <c r="C845" s="1">
        <v>32990</v>
      </c>
      <c r="D845" s="1">
        <v>395</v>
      </c>
      <c r="E845" s="2">
        <v>84</v>
      </c>
      <c r="F845" s="2" t="str" cm="1">
        <f t="array" ref="F845">_xlfn.IFS(AND(101&gt;E845, E845&gt;69), "Top-Tier", AND(70&gt;E845, E845&gt;39), "Mid-Tier", 40&gt;E845, "Low-Tier")</f>
        <v>Top-Tier</v>
      </c>
      <c r="G845" s="4">
        <v>45017</v>
      </c>
      <c r="H845" t="s">
        <v>1316</v>
      </c>
      <c r="I845" t="s">
        <v>33</v>
      </c>
      <c r="J845" t="s">
        <v>50</v>
      </c>
      <c r="K845" t="s">
        <v>149</v>
      </c>
      <c r="L845" t="s">
        <v>24</v>
      </c>
      <c r="M845" t="s">
        <v>95</v>
      </c>
      <c r="N845" t="s">
        <v>31</v>
      </c>
      <c r="P845" s="3">
        <v>72</v>
      </c>
      <c r="Q845" t="str">
        <f>LEFT(B845, 4)</f>
        <v>Asus</v>
      </c>
      <c r="R845" t="str">
        <f t="shared" si="68"/>
        <v>Intel Core i5 (10th Gen)</v>
      </c>
      <c r="S845" t="str">
        <f t="shared" si="67"/>
        <v xml:space="preserve">8 GB </v>
      </c>
    </row>
    <row r="846" spans="1:19">
      <c r="A846" t="str">
        <f>LEFT(B846, LEN(B846)-15)</f>
        <v>MSI GF63 Thin 11UC-1293IN Laptop (Core i7 11th Gen/16 GB/512 GB SSD/Windows 11/4 GB)</v>
      </c>
      <c r="B846" t="s">
        <v>1317</v>
      </c>
      <c r="C846" s="1">
        <v>89990</v>
      </c>
      <c r="D846" s="1">
        <v>1067</v>
      </c>
      <c r="E846" s="2">
        <v>84</v>
      </c>
      <c r="F846" s="2" t="str" cm="1">
        <f t="array" ref="F846">_xlfn.IFS(AND(101&gt;E846, E846&gt;69), "Top-Tier", AND(70&gt;E846, E846&gt;39), "Mid-Tier", 40&gt;E846, "Low-Tier")</f>
        <v>Top-Tier</v>
      </c>
      <c r="G846" s="4">
        <v>45017</v>
      </c>
      <c r="H846" t="s">
        <v>1318</v>
      </c>
      <c r="I846" t="s">
        <v>33</v>
      </c>
      <c r="J846" t="s">
        <v>34</v>
      </c>
      <c r="K846" t="s">
        <v>51</v>
      </c>
      <c r="L846" t="s">
        <v>24</v>
      </c>
      <c r="N846" t="s">
        <v>31</v>
      </c>
      <c r="P846" s="3">
        <v>78</v>
      </c>
      <c r="Q846" t="str">
        <f>LEFT(B846, 3)</f>
        <v>MSI</v>
      </c>
      <c r="R846" t="str">
        <f t="shared" si="68"/>
        <v>Intel Core i5 (10th Gen)</v>
      </c>
      <c r="S846" t="str">
        <f t="shared" si="67"/>
        <v>16 GB</v>
      </c>
    </row>
    <row r="847" spans="1:19">
      <c r="A847" t="str">
        <f>LEFT(B847, LEN(B847)-15)</f>
        <v>MSI GF63 Thin 11UC-1297IN Laptop (Core i5 11th Gen/8 GB/1 TB 256 GB SSD/Windows 11/4 GB)</v>
      </c>
      <c r="B847" t="s">
        <v>1319</v>
      </c>
      <c r="C847" s="1">
        <v>63034</v>
      </c>
      <c r="D847" s="1">
        <v>103</v>
      </c>
      <c r="E847" s="2">
        <v>84</v>
      </c>
      <c r="F847" s="2" t="str" cm="1">
        <f t="array" ref="F847">_xlfn.IFS(AND(101&gt;E847, E847&gt;69), "Top-Tier", AND(70&gt;E847, E847&gt;39), "Mid-Tier", 40&gt;E847, "Low-Tier")</f>
        <v>Top-Tier</v>
      </c>
      <c r="G847" s="4">
        <v>45017</v>
      </c>
      <c r="H847" t="s">
        <v>1320</v>
      </c>
      <c r="I847" t="s">
        <v>33</v>
      </c>
      <c r="J847" t="s">
        <v>332</v>
      </c>
      <c r="K847" t="s">
        <v>51</v>
      </c>
      <c r="L847" t="s">
        <v>24</v>
      </c>
      <c r="N847" t="s">
        <v>31</v>
      </c>
      <c r="P847" s="3">
        <v>76</v>
      </c>
      <c r="Q847" t="str">
        <f>LEFT(B847, 3)</f>
        <v>MSI</v>
      </c>
      <c r="R847" t="str">
        <f t="shared" si="68"/>
        <v>Intel Core i5 (10th Gen)</v>
      </c>
      <c r="S847" t="str">
        <f t="shared" si="67"/>
        <v xml:space="preserve">8 GB </v>
      </c>
    </row>
    <row r="848" spans="1:19">
      <c r="A848" t="str">
        <f>LEFT(B848, LEN(B848)-15)</f>
        <v>MSI GF63 Thin 11SC-1299IN Laptop (Core i5 11th Gen/8 GB/1 TB 256 GB SSD/Windows 11/4 GB)</v>
      </c>
      <c r="B848" t="s">
        <v>1321</v>
      </c>
      <c r="C848" s="1">
        <v>53437</v>
      </c>
      <c r="D848" s="1">
        <v>96</v>
      </c>
      <c r="E848" s="2">
        <v>84</v>
      </c>
      <c r="F848" s="2" t="str" cm="1">
        <f t="array" ref="F848">_xlfn.IFS(AND(101&gt;E848, E848&gt;69), "Top-Tier", AND(70&gt;E848, E848&gt;39), "Mid-Tier", 40&gt;E848, "Low-Tier")</f>
        <v>Top-Tier</v>
      </c>
      <c r="G848" s="4">
        <v>45017</v>
      </c>
      <c r="H848" t="s">
        <v>1322</v>
      </c>
      <c r="I848" t="s">
        <v>33</v>
      </c>
      <c r="J848" t="s">
        <v>332</v>
      </c>
      <c r="K848" t="s">
        <v>51</v>
      </c>
      <c r="L848" t="s">
        <v>24</v>
      </c>
      <c r="N848" t="s">
        <v>31</v>
      </c>
      <c r="P848" s="3">
        <v>73</v>
      </c>
      <c r="Q848" t="str">
        <f>LEFT(B848, 3)</f>
        <v>MSI</v>
      </c>
      <c r="R848" t="str">
        <f t="shared" si="68"/>
        <v>Intel Core i5 (10th Gen)</v>
      </c>
      <c r="S848" t="str">
        <f t="shared" si="67"/>
        <v xml:space="preserve">8 GB </v>
      </c>
    </row>
    <row r="849" spans="1:19">
      <c r="A849" t="str">
        <f>LEFT(B849, LEN(B849)-15)</f>
        <v>MSI Katana 15 B12UDXK-1006IN Laptop (Core i5 12th Gen/8 GB/512 GB SSD/Windows 11/6 GB)</v>
      </c>
      <c r="B849" t="s">
        <v>1323</v>
      </c>
      <c r="C849" s="1">
        <v>77817</v>
      </c>
      <c r="D849" s="1">
        <v>138</v>
      </c>
      <c r="E849" s="2">
        <v>84</v>
      </c>
      <c r="F849" s="2" t="str" cm="1">
        <f t="array" ref="F849">_xlfn.IFS(AND(101&gt;E849, E849&gt;69), "Top-Tier", AND(70&gt;E849, E849&gt;39), "Mid-Tier", 40&gt;E849, "Low-Tier")</f>
        <v>Top-Tier</v>
      </c>
      <c r="G849" s="4">
        <v>45017</v>
      </c>
      <c r="H849" t="s">
        <v>1322</v>
      </c>
      <c r="I849" t="s">
        <v>33</v>
      </c>
      <c r="J849" t="s">
        <v>119</v>
      </c>
      <c r="K849" t="s">
        <v>51</v>
      </c>
      <c r="L849" t="s">
        <v>24</v>
      </c>
      <c r="N849" t="s">
        <v>31</v>
      </c>
      <c r="P849" s="3">
        <v>85</v>
      </c>
      <c r="Q849" t="str">
        <f>LEFT(B849, 3)</f>
        <v>MSI</v>
      </c>
      <c r="R849" t="str">
        <f t="shared" si="68"/>
        <v>Intel Core i5 (10th Gen)</v>
      </c>
      <c r="S849" t="str">
        <f t="shared" si="67"/>
        <v xml:space="preserve">8 GB </v>
      </c>
    </row>
    <row r="850" spans="1:19">
      <c r="A850" t="str">
        <f>LEFT(B850, LEN(B850)-15)</f>
        <v>MSI Katana 15 B12UDXK-1005IN Laptop (Core i5 12th Gen/16 GB/512 GB SSD/Windows 11/6 GB)</v>
      </c>
      <c r="B850" t="s">
        <v>1324</v>
      </c>
      <c r="C850" s="1">
        <v>81246</v>
      </c>
      <c r="D850" s="1">
        <v>131</v>
      </c>
      <c r="E850" s="2">
        <v>84</v>
      </c>
      <c r="F850" s="2" t="str" cm="1">
        <f t="array" ref="F850">_xlfn.IFS(AND(101&gt;E850, E850&gt;69), "Top-Tier", AND(70&gt;E850, E850&gt;39), "Mid-Tier", 40&gt;E850, "Low-Tier")</f>
        <v>Top-Tier</v>
      </c>
      <c r="G850" s="4">
        <v>45017</v>
      </c>
      <c r="H850" t="s">
        <v>1322</v>
      </c>
      <c r="I850" t="s">
        <v>33</v>
      </c>
      <c r="J850" t="s">
        <v>54</v>
      </c>
      <c r="K850" t="s">
        <v>51</v>
      </c>
      <c r="L850" t="s">
        <v>24</v>
      </c>
      <c r="N850" t="s">
        <v>31</v>
      </c>
      <c r="P850" s="3">
        <v>86</v>
      </c>
      <c r="Q850" t="str">
        <f>LEFT(B850, 3)</f>
        <v>MSI</v>
      </c>
      <c r="R850" t="str">
        <f t="shared" si="68"/>
        <v>Intel Core i5 (10th Gen)</v>
      </c>
      <c r="S850" t="str">
        <f t="shared" si="67"/>
        <v>16 GB</v>
      </c>
    </row>
    <row r="851" spans="1:19">
      <c r="A851" t="str">
        <f>LEFT(B851, LEN(B851)-15)</f>
        <v>HP 15s-fy5003TU (7Q700PA) Laptop (Core i3 12th Gen/8 GB/512 GB SSD/Windows 11)</v>
      </c>
      <c r="B851" t="s">
        <v>1325</v>
      </c>
      <c r="C851" s="1">
        <v>33990</v>
      </c>
      <c r="D851" s="1">
        <v>3269</v>
      </c>
      <c r="E851" s="2">
        <v>84</v>
      </c>
      <c r="F851" s="2" t="str" cm="1">
        <f t="array" ref="F851">_xlfn.IFS(AND(101&gt;E851, E851&gt;69), "Top-Tier", AND(70&gt;E851, E851&gt;39), "Mid-Tier", 40&gt;E851, "Low-Tier")</f>
        <v>Top-Tier</v>
      </c>
      <c r="G851" s="4">
        <v>45017</v>
      </c>
      <c r="H851" t="s">
        <v>1322</v>
      </c>
      <c r="I851" t="s">
        <v>33</v>
      </c>
      <c r="J851" t="s">
        <v>50</v>
      </c>
      <c r="K851" t="s">
        <v>51</v>
      </c>
      <c r="L851" t="s">
        <v>24</v>
      </c>
      <c r="N851" t="s">
        <v>31</v>
      </c>
      <c r="P851" s="3">
        <v>75</v>
      </c>
      <c r="Q851" t="str">
        <f>LEFT(B851, 2)</f>
        <v>HP</v>
      </c>
      <c r="R851" t="str">
        <f t="shared" si="68"/>
        <v>Intel Core i5 (10th Gen)</v>
      </c>
      <c r="S851" t="str">
        <f t="shared" si="67"/>
        <v xml:space="preserve">8 GB </v>
      </c>
    </row>
    <row r="852" spans="1:19">
      <c r="A852" t="str">
        <f>LEFT(B852, LEN(B852)-15)</f>
        <v>Asus VivoBook Go 14 E1404GA-NK321WS Laptop (Core i3 12th Gen/8 GB/512 GB SSD/Windows 11)</v>
      </c>
      <c r="B852" t="s">
        <v>1326</v>
      </c>
      <c r="C852" s="1">
        <v>34990</v>
      </c>
      <c r="D852" s="1">
        <v>394</v>
      </c>
      <c r="E852" s="2">
        <v>84</v>
      </c>
      <c r="F852" s="2" t="str" cm="1">
        <f t="array" ref="F852">_xlfn.IFS(AND(101&gt;E852, E852&gt;69), "Top-Tier", AND(70&gt;E852, E852&gt;39), "Mid-Tier", 40&gt;E852, "Low-Tier")</f>
        <v>Top-Tier</v>
      </c>
      <c r="G852" s="4">
        <v>45017</v>
      </c>
      <c r="H852" t="s">
        <v>1327</v>
      </c>
      <c r="I852" t="s">
        <v>33</v>
      </c>
      <c r="J852" t="s">
        <v>50</v>
      </c>
      <c r="K852" t="s">
        <v>149</v>
      </c>
      <c r="L852" t="s">
        <v>24</v>
      </c>
      <c r="M852" t="s">
        <v>95</v>
      </c>
      <c r="N852" t="s">
        <v>31</v>
      </c>
      <c r="P852" s="3">
        <v>73</v>
      </c>
      <c r="Q852" t="str">
        <f>LEFT(B852, 4)</f>
        <v>Asus</v>
      </c>
      <c r="R852" t="str">
        <f t="shared" si="68"/>
        <v>Intel Core i5 (10th Gen)</v>
      </c>
      <c r="S852" t="str">
        <f t="shared" si="67"/>
        <v xml:space="preserve">8 GB </v>
      </c>
    </row>
    <row r="853" spans="1:19">
      <c r="A853" t="str">
        <f>LEFT(B853, LEN(B853)-15)</f>
        <v>Asus VivoBook 14 X1400EA-EK322WS Laptop (Core i3 11th Gen/8 GB/512 GB SSD/Windows 11)</v>
      </c>
      <c r="B853" t="s">
        <v>1328</v>
      </c>
      <c r="C853" s="1">
        <v>30100</v>
      </c>
      <c r="D853" s="1">
        <v>247</v>
      </c>
      <c r="E853" s="2">
        <v>84</v>
      </c>
      <c r="F853" s="2" t="str" cm="1">
        <f t="array" ref="F853">_xlfn.IFS(AND(101&gt;E853, E853&gt;69), "Top-Tier", AND(70&gt;E853, E853&gt;39), "Mid-Tier", 40&gt;E853, "Low-Tier")</f>
        <v>Top-Tier</v>
      </c>
      <c r="G853" s="4">
        <v>45017</v>
      </c>
      <c r="H853" t="s">
        <v>1329</v>
      </c>
      <c r="I853" t="s">
        <v>33</v>
      </c>
      <c r="J853" t="s">
        <v>50</v>
      </c>
      <c r="K853" t="s">
        <v>149</v>
      </c>
      <c r="L853" t="s">
        <v>24</v>
      </c>
      <c r="N853" t="s">
        <v>31</v>
      </c>
      <c r="P853" s="3">
        <v>73</v>
      </c>
      <c r="Q853" t="str">
        <f>LEFT(B853, 4)</f>
        <v>Asus</v>
      </c>
      <c r="R853" t="str">
        <f t="shared" si="68"/>
        <v>Intel Core i5 (10th Gen)</v>
      </c>
      <c r="S853" t="str">
        <f t="shared" si="67"/>
        <v xml:space="preserve">8 GB </v>
      </c>
    </row>
    <row r="854" spans="1:19">
      <c r="A854" t="str">
        <f>LEFT(B854, LEN(B854)-15)</f>
        <v>Asus VivoBook S15 OLED K5504VA-LK542WS Laptop (Core i5 13th Gen/16 GB/512 GB SSD/Windows 11)</v>
      </c>
      <c r="B854" t="s">
        <v>1330</v>
      </c>
      <c r="C854" s="1">
        <v>66999</v>
      </c>
      <c r="D854" s="1">
        <v>91</v>
      </c>
      <c r="E854" s="2">
        <v>84</v>
      </c>
      <c r="F854" s="2" t="str" cm="1">
        <f t="array" ref="F854">_xlfn.IFS(AND(101&gt;E854, E854&gt;69), "Top-Tier", AND(70&gt;E854, E854&gt;39), "Mid-Tier", 40&gt;E854, "Low-Tier")</f>
        <v>Top-Tier</v>
      </c>
      <c r="G854" s="4">
        <v>45017</v>
      </c>
      <c r="H854" t="s">
        <v>1331</v>
      </c>
      <c r="I854" t="s">
        <v>33</v>
      </c>
      <c r="J854" t="s">
        <v>121</v>
      </c>
      <c r="K854" t="s">
        <v>215</v>
      </c>
      <c r="L854" t="s">
        <v>24</v>
      </c>
      <c r="M854" t="s">
        <v>95</v>
      </c>
      <c r="N854" t="s">
        <v>31</v>
      </c>
      <c r="P854" s="3">
        <v>77</v>
      </c>
      <c r="Q854" t="str">
        <f>LEFT(B854, 4)</f>
        <v>Asus</v>
      </c>
      <c r="R854" t="str">
        <f t="shared" si="68"/>
        <v>Intel Core i5 (10th Gen)</v>
      </c>
      <c r="S854" t="str">
        <f t="shared" si="67"/>
        <v>16 GB</v>
      </c>
    </row>
    <row r="855" spans="1:19">
      <c r="A855" t="str">
        <f>LEFT(B855, LEN(B855)-15)</f>
        <v>Asus VivoBook Go 14 E1404FA-NK321WS Laptop (AMD Quad Core Ryzen 3/8 GB/512 GB SSD/Windows 11)</v>
      </c>
      <c r="B855" t="s">
        <v>1332</v>
      </c>
      <c r="C855" s="1">
        <v>33700</v>
      </c>
      <c r="D855" s="1">
        <v>5</v>
      </c>
      <c r="E855" s="2">
        <v>84</v>
      </c>
      <c r="F855" s="2" t="str" cm="1">
        <f t="array" ref="F855">_xlfn.IFS(AND(101&gt;E855, E855&gt;69), "Top-Tier", AND(70&gt;E855, E855&gt;39), "Mid-Tier", 40&gt;E855, "Low-Tier")</f>
        <v>Top-Tier</v>
      </c>
      <c r="G855" s="4">
        <v>45017</v>
      </c>
      <c r="H855" t="s">
        <v>1333</v>
      </c>
      <c r="I855" t="s">
        <v>33</v>
      </c>
      <c r="J855" t="s">
        <v>119</v>
      </c>
      <c r="K855" t="s">
        <v>1334</v>
      </c>
      <c r="L855" t="s">
        <v>24</v>
      </c>
      <c r="N855" t="s">
        <v>31</v>
      </c>
      <c r="Q855" t="str">
        <f>LEFT(B855, 4)</f>
        <v>Asus</v>
      </c>
      <c r="R855" t="str">
        <f t="shared" si="68"/>
        <v>Intel Core i5 (10th Gen)</v>
      </c>
      <c r="S855" t="str">
        <f t="shared" si="67"/>
        <v xml:space="preserve">8 GB </v>
      </c>
    </row>
    <row r="856" spans="1:19">
      <c r="A856" t="str">
        <f>LEFT(B856, LEN(B856)-15)</f>
        <v>Asus VivoBook 14 X1404VA-NK321WS Laptop (Core i3 13th Gen/8 GB/512 GB SSD/Windows 11)</v>
      </c>
      <c r="B856" t="s">
        <v>1335</v>
      </c>
      <c r="C856" s="1">
        <v>38910</v>
      </c>
      <c r="D856" s="1">
        <v>146</v>
      </c>
      <c r="E856" s="2">
        <v>84</v>
      </c>
      <c r="F856" s="2" t="str" cm="1">
        <f t="array" ref="F856">_xlfn.IFS(AND(101&gt;E856, E856&gt;69), "Top-Tier", AND(70&gt;E856, E856&gt;39), "Mid-Tier", 40&gt;E856, "Low-Tier")</f>
        <v>Top-Tier</v>
      </c>
      <c r="G856" s="4">
        <v>45017</v>
      </c>
      <c r="H856" t="s">
        <v>1336</v>
      </c>
      <c r="I856" t="s">
        <v>33</v>
      </c>
      <c r="J856" t="s">
        <v>50</v>
      </c>
      <c r="K856" t="s">
        <v>149</v>
      </c>
      <c r="L856" t="s">
        <v>24</v>
      </c>
      <c r="M856" t="s">
        <v>95</v>
      </c>
      <c r="N856" t="s">
        <v>31</v>
      </c>
      <c r="P856" s="3">
        <v>72</v>
      </c>
      <c r="Q856" t="str">
        <f>LEFT(B856, 4)</f>
        <v>Asus</v>
      </c>
      <c r="R856" t="str">
        <f t="shared" si="68"/>
        <v>Intel Core i5 (11th Gen)</v>
      </c>
      <c r="S856" t="str">
        <f t="shared" si="67"/>
        <v xml:space="preserve">8 GB </v>
      </c>
    </row>
    <row r="857" spans="1:19">
      <c r="A857" t="str">
        <f>LEFT(B857, LEN(B857)-15)</f>
        <v>Asus VivoBook S15 OLED S5504VA-MA543WS Laptop (Core i5 13th Gen/16 GB/512 GB SSD/Windows 11)</v>
      </c>
      <c r="B857" t="s">
        <v>1337</v>
      </c>
      <c r="C857" s="1">
        <v>83890</v>
      </c>
      <c r="D857" s="1">
        <v>75</v>
      </c>
      <c r="E857" s="2">
        <v>84</v>
      </c>
      <c r="F857" s="2" t="str" cm="1">
        <f t="array" ref="F857">_xlfn.IFS(AND(101&gt;E857, E857&gt;69), "Top-Tier", AND(70&gt;E857, E857&gt;39), "Mid-Tier", 40&gt;E857, "Low-Tier")</f>
        <v>Top-Tier</v>
      </c>
      <c r="G857" s="4">
        <v>45017</v>
      </c>
      <c r="H857" t="s">
        <v>1336</v>
      </c>
      <c r="I857" t="s">
        <v>33</v>
      </c>
      <c r="J857" t="s">
        <v>121</v>
      </c>
      <c r="K857" t="s">
        <v>43</v>
      </c>
      <c r="L857" t="s">
        <v>24</v>
      </c>
      <c r="N857" t="s">
        <v>31</v>
      </c>
      <c r="P857" s="3">
        <v>78</v>
      </c>
      <c r="Q857" t="str">
        <f>LEFT(B857, 4)</f>
        <v>Asus</v>
      </c>
      <c r="R857" t="str">
        <f t="shared" si="68"/>
        <v>Intel Core i5 (11th Gen)</v>
      </c>
      <c r="S857" t="str">
        <f t="shared" si="67"/>
        <v>16 GB</v>
      </c>
    </row>
    <row r="858" spans="1:19">
      <c r="A858" t="str">
        <f>LEFT(B858, LEN(B858)-15)</f>
        <v>Lenovo V15 G2 (82KDA022IH) Laptop (AMD Hexa Core Ryzen 5/8 GB/512 GB SSD/Windows 11)</v>
      </c>
      <c r="B858" t="s">
        <v>1338</v>
      </c>
      <c r="C858" s="1">
        <v>40990</v>
      </c>
      <c r="D858" s="1">
        <v>1316</v>
      </c>
      <c r="E858" s="2">
        <v>84</v>
      </c>
      <c r="F858" s="2" t="str" cm="1">
        <f t="array" ref="F858">_xlfn.IFS(AND(101&gt;E858, E858&gt;69), "Top-Tier", AND(70&gt;E858, E858&gt;39), "Mid-Tier", 40&gt;E858, "Low-Tier")</f>
        <v>Top-Tier</v>
      </c>
      <c r="G858" s="4">
        <v>45017</v>
      </c>
      <c r="H858" t="s">
        <v>1336</v>
      </c>
      <c r="I858" t="s">
        <v>33</v>
      </c>
      <c r="J858" t="s">
        <v>50</v>
      </c>
      <c r="K858" t="s">
        <v>51</v>
      </c>
      <c r="L858" t="s">
        <v>24</v>
      </c>
      <c r="N858" t="s">
        <v>31</v>
      </c>
      <c r="Q858" t="str">
        <f>LEFT(B858, 6)</f>
        <v>Lenovo</v>
      </c>
      <c r="R858" t="str">
        <f t="shared" si="68"/>
        <v>Intel Core i5 (11th Gen)</v>
      </c>
      <c r="S858" t="str">
        <f t="shared" si="67"/>
        <v xml:space="preserve">8 GB </v>
      </c>
    </row>
    <row r="859" spans="1:19">
      <c r="A859" t="str">
        <f>LEFT(B859, LEN(B859)-15)</f>
        <v>Dell Vostro 3510 (ICC-D585064WIN8) Laptop (Core i3 11th Gen/8 GB/1 TB 256 GB SSD/Windows 11)</v>
      </c>
      <c r="B859" t="s">
        <v>1339</v>
      </c>
      <c r="C859" s="1">
        <v>58489</v>
      </c>
      <c r="D859" s="1">
        <v>982</v>
      </c>
      <c r="E859" s="2">
        <v>84</v>
      </c>
      <c r="F859" s="2" t="str" cm="1">
        <f t="array" ref="F859">_xlfn.IFS(AND(101&gt;E859, E859&gt;69), "Top-Tier", AND(70&gt;E859, E859&gt;39), "Mid-Tier", 40&gt;E859, "Low-Tier")</f>
        <v>Top-Tier</v>
      </c>
      <c r="G859" s="4">
        <v>45017</v>
      </c>
      <c r="H859" t="s">
        <v>1336</v>
      </c>
      <c r="I859" t="s">
        <v>33</v>
      </c>
      <c r="J859" t="s">
        <v>332</v>
      </c>
      <c r="K859" t="s">
        <v>51</v>
      </c>
      <c r="L859" t="s">
        <v>24</v>
      </c>
      <c r="M859" t="s">
        <v>122</v>
      </c>
      <c r="N859" t="s">
        <v>31</v>
      </c>
      <c r="Q859" t="str">
        <f>LEFT(B859, 4)</f>
        <v>Dell</v>
      </c>
      <c r="R859" t="str">
        <f t="shared" si="68"/>
        <v>Intel Core i5 (11th Gen)</v>
      </c>
      <c r="S859" t="str">
        <f t="shared" si="67"/>
        <v xml:space="preserve">8 GB </v>
      </c>
    </row>
    <row r="860" spans="1:19">
      <c r="A860" t="str">
        <f>LEFT(B860, LEN(B860)-15)</f>
        <v>Asus VivoBook Pro 15 M6500QC-HN741WS Laptop (AMD Octa Core Ryzen 7/16 GB/512 GB SSD/Windows 11/4 GB)</v>
      </c>
      <c r="B860" t="s">
        <v>1340</v>
      </c>
      <c r="C860" s="1">
        <v>59990</v>
      </c>
      <c r="D860" s="1">
        <v>268</v>
      </c>
      <c r="E860" s="2">
        <v>84</v>
      </c>
      <c r="F860" s="2" t="str" cm="1">
        <f t="array" ref="F860">_xlfn.IFS(AND(101&gt;E860, E860&gt;69), "Top-Tier", AND(70&gt;E860, E860&gt;39), "Mid-Tier", 40&gt;E860, "Low-Tier")</f>
        <v>Top-Tier</v>
      </c>
      <c r="G860" s="4">
        <v>45017</v>
      </c>
      <c r="H860" t="s">
        <v>1336</v>
      </c>
      <c r="I860" t="s">
        <v>33</v>
      </c>
      <c r="J860" t="s">
        <v>34</v>
      </c>
      <c r="K860" t="s">
        <v>51</v>
      </c>
      <c r="L860" t="s">
        <v>24</v>
      </c>
      <c r="N860" t="s">
        <v>31</v>
      </c>
      <c r="P860" s="3">
        <v>80</v>
      </c>
      <c r="Q860" t="str">
        <f>LEFT(B860, 4)</f>
        <v>Asus</v>
      </c>
      <c r="R860" t="str">
        <f t="shared" si="68"/>
        <v>Intel Core i5 (11th Gen)</v>
      </c>
      <c r="S860" t="str">
        <f t="shared" si="67"/>
        <v>16 GB</v>
      </c>
    </row>
    <row r="861" spans="1:19">
      <c r="A861" t="str">
        <f>LEFT(B861, LEN(B861)-15)</f>
        <v>Dell G15-5530 (GN5530VMMD9002ORB1) Laptop (Core i7 13th Gen/16 GB/512 GB SSD/Windows 11/6 GB)</v>
      </c>
      <c r="B861" t="s">
        <v>1341</v>
      </c>
      <c r="C861" s="1">
        <v>123199</v>
      </c>
      <c r="D861" s="1">
        <v>11</v>
      </c>
      <c r="E861" s="2">
        <v>84</v>
      </c>
      <c r="F861" s="2" t="str" cm="1">
        <f t="array" ref="F861">_xlfn.IFS(AND(101&gt;E861, E861&gt;69), "Top-Tier", AND(70&gt;E861, E861&gt;39), "Mid-Tier", 40&gt;E861, "Low-Tier")</f>
        <v>Top-Tier</v>
      </c>
      <c r="G861" s="4">
        <v>45017</v>
      </c>
      <c r="H861" t="s">
        <v>1336</v>
      </c>
      <c r="I861" t="s">
        <v>33</v>
      </c>
      <c r="J861" t="s">
        <v>54</v>
      </c>
      <c r="K861" t="s">
        <v>1342</v>
      </c>
      <c r="L861" t="s">
        <v>24</v>
      </c>
      <c r="N861" t="s">
        <v>31</v>
      </c>
      <c r="P861" s="3">
        <v>80</v>
      </c>
      <c r="Q861" t="str">
        <f>LEFT(B861, 4)</f>
        <v>Dell</v>
      </c>
      <c r="R861" t="str">
        <f t="shared" si="68"/>
        <v>Intel Core i5 (11th Gen)</v>
      </c>
      <c r="S861" t="str">
        <f t="shared" si="67"/>
        <v>16 GB</v>
      </c>
    </row>
    <row r="862" spans="1:19">
      <c r="A862" t="str">
        <f>LEFT(B862, LEN(B862)-15)</f>
        <v>Asus VivoBook Go 15 OLED E1504GA-NJ321WS Laptop (Core i3 12th Gen/8 GB/512 GB SSD/Windows 11)</v>
      </c>
      <c r="B862" t="s">
        <v>1343</v>
      </c>
      <c r="C862" s="1">
        <v>30990</v>
      </c>
      <c r="D862" s="1">
        <v>122</v>
      </c>
      <c r="E862" s="2">
        <v>84</v>
      </c>
      <c r="F862" s="2" t="str" cm="1">
        <f t="array" ref="F862">_xlfn.IFS(AND(101&gt;E862, E862&gt;69), "Top-Tier", AND(70&gt;E862, E862&gt;39), "Mid-Tier", 40&gt;E862, "Low-Tier")</f>
        <v>Top-Tier</v>
      </c>
      <c r="G862" s="4">
        <v>45017</v>
      </c>
      <c r="H862" t="s">
        <v>1336</v>
      </c>
      <c r="I862" t="s">
        <v>33</v>
      </c>
      <c r="J862" t="s">
        <v>50</v>
      </c>
      <c r="K862" t="s">
        <v>51</v>
      </c>
      <c r="L862" t="s">
        <v>24</v>
      </c>
      <c r="M862" t="s">
        <v>95</v>
      </c>
      <c r="N862" t="s">
        <v>31</v>
      </c>
      <c r="P862" s="3">
        <v>73</v>
      </c>
      <c r="Q862" t="str">
        <f>LEFT(B862, 4)</f>
        <v>Asus</v>
      </c>
      <c r="R862" t="str">
        <f t="shared" si="68"/>
        <v>Intel Core i5 (11th Gen)</v>
      </c>
      <c r="S862" t="str">
        <f t="shared" si="67"/>
        <v xml:space="preserve">8 GB </v>
      </c>
    </row>
    <row r="863" spans="1:19">
      <c r="A863" t="str">
        <f>LEFT(B863, LEN(B863)-15)</f>
        <v>Asus Vivobook 15X K3504VAB-NJ322WS Laptop (Core i3 13th Gen/8 GB/512 GB SSD/Windows 11)</v>
      </c>
      <c r="B863" t="s">
        <v>1344</v>
      </c>
      <c r="C863" s="1">
        <v>44990</v>
      </c>
      <c r="D863" s="1">
        <v>84</v>
      </c>
      <c r="E863" s="2">
        <v>84</v>
      </c>
      <c r="F863" s="2" t="str" cm="1">
        <f t="array" ref="F863">_xlfn.IFS(AND(101&gt;E863, E863&gt;69), "Top-Tier", AND(70&gt;E863, E863&gt;39), "Mid-Tier", 40&gt;E863, "Low-Tier")</f>
        <v>Top-Tier</v>
      </c>
      <c r="G863" s="4">
        <v>45017</v>
      </c>
      <c r="H863" t="s">
        <v>1336</v>
      </c>
      <c r="I863" t="s">
        <v>33</v>
      </c>
      <c r="J863" t="s">
        <v>50</v>
      </c>
      <c r="K863" t="s">
        <v>51</v>
      </c>
      <c r="L863" t="s">
        <v>24</v>
      </c>
      <c r="M863" t="s">
        <v>95</v>
      </c>
      <c r="N863" t="s">
        <v>31</v>
      </c>
      <c r="P863" s="3">
        <v>73</v>
      </c>
      <c r="Q863" t="str">
        <f>LEFT(B863, 4)</f>
        <v>Asus</v>
      </c>
      <c r="R863" t="str">
        <f t="shared" si="68"/>
        <v>Intel Core i5 (11th Gen)</v>
      </c>
      <c r="S863" t="str">
        <f t="shared" si="67"/>
        <v xml:space="preserve">8 GB </v>
      </c>
    </row>
    <row r="864" spans="1:19">
      <c r="A864" t="str">
        <f>LEFT(B864, LEN(B864)-15)</f>
        <v>Asus VivoBook S15 OLED S5504VA-MA554WS Laptop (Core i5 13th Gen/16 GB/1 TB SSD/Windows 11)</v>
      </c>
      <c r="B864" t="s">
        <v>1345</v>
      </c>
      <c r="C864" s="1">
        <v>88999</v>
      </c>
      <c r="D864" s="1">
        <v>75</v>
      </c>
      <c r="E864" s="2">
        <v>84</v>
      </c>
      <c r="F864" s="2" t="str" cm="1">
        <f t="array" ref="F864">_xlfn.IFS(AND(101&gt;E864, E864&gt;69), "Top-Tier", AND(70&gt;E864, E864&gt;39), "Mid-Tier", 40&gt;E864, "Low-Tier")</f>
        <v>Top-Tier</v>
      </c>
      <c r="G864" s="4">
        <v>45017</v>
      </c>
      <c r="H864" t="s">
        <v>1336</v>
      </c>
      <c r="I864" t="s">
        <v>33</v>
      </c>
      <c r="J864" t="s">
        <v>167</v>
      </c>
      <c r="K864" t="s">
        <v>43</v>
      </c>
      <c r="L864" t="s">
        <v>24</v>
      </c>
      <c r="M864" t="s">
        <v>203</v>
      </c>
      <c r="N864" t="s">
        <v>31</v>
      </c>
      <c r="P864" s="3">
        <v>79</v>
      </c>
      <c r="Q864" t="str">
        <f>LEFT(B864, 4)</f>
        <v>Asus</v>
      </c>
      <c r="R864" t="str">
        <f t="shared" si="68"/>
        <v>Intel Core i5 (11th Gen)</v>
      </c>
      <c r="S864" t="str">
        <f t="shared" si="67"/>
        <v>16 GB</v>
      </c>
    </row>
    <row r="865" spans="1:19">
      <c r="A865" t="str">
        <f>LEFT(B865, LEN(B865)-15)</f>
        <v>Asus Vivobook 15X K3504VAB-NJ321WS Laptop (Core i3 13th Gen/8 GB/512 GB SSD/Windows 11)</v>
      </c>
      <c r="B865" t="s">
        <v>1346</v>
      </c>
      <c r="C865" s="1">
        <v>44999</v>
      </c>
      <c r="D865" s="1">
        <v>28</v>
      </c>
      <c r="E865" s="2">
        <v>84</v>
      </c>
      <c r="F865" s="2" t="str" cm="1">
        <f t="array" ref="F865">_xlfn.IFS(AND(101&gt;E865, E865&gt;69), "Top-Tier", AND(70&gt;E865, E865&gt;39), "Mid-Tier", 40&gt;E865, "Low-Tier")</f>
        <v>Top-Tier</v>
      </c>
      <c r="G865" s="4">
        <v>45017</v>
      </c>
      <c r="H865" t="s">
        <v>1336</v>
      </c>
      <c r="I865" t="s">
        <v>33</v>
      </c>
      <c r="J865" t="s">
        <v>50</v>
      </c>
      <c r="K865" t="s">
        <v>51</v>
      </c>
      <c r="L865" t="s">
        <v>24</v>
      </c>
      <c r="N865" t="s">
        <v>31</v>
      </c>
      <c r="P865" s="3">
        <v>72</v>
      </c>
      <c r="Q865" t="str">
        <f>LEFT(B865, 4)</f>
        <v>Asus</v>
      </c>
      <c r="R865" t="str">
        <f t="shared" si="68"/>
        <v>Intel Core i5 (11th Gen)</v>
      </c>
      <c r="S865" t="str">
        <f t="shared" si="67"/>
        <v xml:space="preserve">8 GB </v>
      </c>
    </row>
    <row r="866" spans="1:19">
      <c r="A866" t="str">
        <f>LEFT(B866, LEN(B866)-15)</f>
        <v>Acer Aspire 5 A515-57 (NX.K3JSI.003) Laptop (Core i5 12th Gen/8 GB/512 GB SSD/Windows 11)</v>
      </c>
      <c r="B866" t="s">
        <v>1347</v>
      </c>
      <c r="C866" s="1">
        <v>35999</v>
      </c>
      <c r="D866" s="1">
        <v>84</v>
      </c>
      <c r="E866" s="2">
        <v>84</v>
      </c>
      <c r="F866" s="2" t="str" cm="1">
        <f t="array" ref="F866">_xlfn.IFS(AND(101&gt;E866, E866&gt;69), "Top-Tier", AND(70&gt;E866, E866&gt;39), "Mid-Tier", 40&gt;E866, "Low-Tier")</f>
        <v>Top-Tier</v>
      </c>
      <c r="G866" s="4">
        <v>45017</v>
      </c>
      <c r="H866" t="s">
        <v>1336</v>
      </c>
      <c r="I866" t="s">
        <v>33</v>
      </c>
      <c r="J866" t="s">
        <v>50</v>
      </c>
      <c r="K866" t="s">
        <v>51</v>
      </c>
      <c r="L866" t="s">
        <v>24</v>
      </c>
      <c r="M866" t="s">
        <v>95</v>
      </c>
      <c r="N866" t="s">
        <v>31</v>
      </c>
      <c r="P866" s="3">
        <v>74</v>
      </c>
      <c r="Q866" t="str">
        <f>LEFT(B866, 4)</f>
        <v>Acer</v>
      </c>
      <c r="R866" t="str">
        <f t="shared" si="68"/>
        <v>Intel Core i5 (11th Gen)</v>
      </c>
      <c r="S866" t="str">
        <f t="shared" si="67"/>
        <v xml:space="preserve">8 GB </v>
      </c>
    </row>
    <row r="867" spans="1:19">
      <c r="A867" t="str">
        <f>LEFT(B867, LEN(B867)-15)</f>
        <v>Asus VivoBook Go 14 E1404GA-NK323WS Laptop (Core i3 12th Gen/8 GB/512 GB SSD/Windows 11)</v>
      </c>
      <c r="B867" t="s">
        <v>1348</v>
      </c>
      <c r="C867" s="1">
        <v>30990</v>
      </c>
      <c r="D867" s="1">
        <v>396</v>
      </c>
      <c r="E867" s="2">
        <v>84</v>
      </c>
      <c r="F867" s="2" t="str" cm="1">
        <f t="array" ref="F867">_xlfn.IFS(AND(101&gt;E867, E867&gt;69), "Top-Tier", AND(70&gt;E867, E867&gt;39), "Mid-Tier", 40&gt;E867, "Low-Tier")</f>
        <v>Top-Tier</v>
      </c>
      <c r="G867" s="4">
        <v>45017</v>
      </c>
      <c r="H867" t="s">
        <v>1336</v>
      </c>
      <c r="I867" t="s">
        <v>33</v>
      </c>
      <c r="J867" t="s">
        <v>50</v>
      </c>
      <c r="K867" t="s">
        <v>149</v>
      </c>
      <c r="L867" t="s">
        <v>24</v>
      </c>
      <c r="M867" t="s">
        <v>95</v>
      </c>
      <c r="N867" t="s">
        <v>31</v>
      </c>
      <c r="P867" s="3">
        <v>78</v>
      </c>
      <c r="Q867" t="str">
        <f>LEFT(B867, 4)</f>
        <v>Asus</v>
      </c>
      <c r="R867" t="str">
        <f t="shared" si="68"/>
        <v>Intel Core i5 (11th Gen)</v>
      </c>
      <c r="S867" t="str">
        <f t="shared" si="67"/>
        <v xml:space="preserve">8 GB </v>
      </c>
    </row>
    <row r="868" spans="1:19">
      <c r="A868" t="str">
        <f>LEFT(B868, LEN(B868)-15)</f>
        <v>Asus VivoBook S14 Flip TN3402YAB-LZ541WS Laptop (AMD Hexa Core Ryzen 5/16 GB/512 GB SSD/Windows 11)</v>
      </c>
      <c r="B868" t="s">
        <v>1349</v>
      </c>
      <c r="C868" s="1">
        <v>57990</v>
      </c>
      <c r="D868" s="1">
        <v>144</v>
      </c>
      <c r="E868" s="2">
        <v>84</v>
      </c>
      <c r="F868" s="2" t="str" cm="1">
        <f t="array" ref="F868">_xlfn.IFS(AND(101&gt;E868, E868&gt;69), "Top-Tier", AND(70&gt;E868, E868&gt;39), "Mid-Tier", 40&gt;E868, "Low-Tier")</f>
        <v>Top-Tier</v>
      </c>
      <c r="G868" s="4">
        <v>44986</v>
      </c>
      <c r="H868" t="s">
        <v>1336</v>
      </c>
      <c r="I868" t="s">
        <v>33</v>
      </c>
      <c r="J868" t="s">
        <v>34</v>
      </c>
      <c r="K868" t="s">
        <v>94</v>
      </c>
      <c r="L868" t="s">
        <v>24</v>
      </c>
      <c r="M868" t="s">
        <v>122</v>
      </c>
      <c r="Q868" t="str">
        <f>LEFT(B868, 4)</f>
        <v>Asus</v>
      </c>
      <c r="R868" t="str">
        <f t="shared" si="68"/>
        <v>Intel Core i5 (11th Gen)</v>
      </c>
      <c r="S868" t="str">
        <f t="shared" si="67"/>
        <v>16 GB</v>
      </c>
    </row>
    <row r="869" spans="1:19">
      <c r="A869" t="str">
        <f>LEFT(B869, LEN(B869)-15)</f>
        <v>MSI Modern 14 C12M-440IN Laptop (Core i5 12th Gen/8 GB/512 GB SSD/Windows 11)</v>
      </c>
      <c r="B869" t="s">
        <v>1350</v>
      </c>
      <c r="C869" s="1">
        <v>39711</v>
      </c>
      <c r="D869" s="1">
        <v>773</v>
      </c>
      <c r="E869" s="2">
        <v>84</v>
      </c>
      <c r="F869" s="2" t="str" cm="1">
        <f t="array" ref="F869">_xlfn.IFS(AND(101&gt;E869, E869&gt;69), "Top-Tier", AND(70&gt;E869, E869&gt;39), "Mid-Tier", 40&gt;E869, "Low-Tier")</f>
        <v>Top-Tier</v>
      </c>
      <c r="G869" s="4">
        <v>44986</v>
      </c>
      <c r="H869" t="s">
        <v>1336</v>
      </c>
      <c r="I869" t="s">
        <v>33</v>
      </c>
      <c r="J869" t="s">
        <v>50</v>
      </c>
      <c r="K869" t="s">
        <v>149</v>
      </c>
      <c r="L869" t="s">
        <v>24</v>
      </c>
      <c r="M869" t="s">
        <v>428</v>
      </c>
      <c r="N869" t="s">
        <v>31</v>
      </c>
      <c r="P869" s="3">
        <v>74</v>
      </c>
      <c r="Q869" t="str">
        <f>LEFT(B869, 3)</f>
        <v>MSI</v>
      </c>
      <c r="R869" t="str">
        <f t="shared" si="68"/>
        <v>Intel Core i5 (11th Gen)</v>
      </c>
      <c r="S869" t="str">
        <f t="shared" si="67"/>
        <v xml:space="preserve">8 GB </v>
      </c>
    </row>
    <row r="870" spans="1:19">
      <c r="A870" t="str">
        <f>LEFT(B870, LEN(B870)-15)</f>
        <v>MSI Modern 14 C11M-030IN Laptop (Core i5 11th Gen/8 GB/512 GB SSD/Windows 11)</v>
      </c>
      <c r="B870" t="s">
        <v>1351</v>
      </c>
      <c r="C870" s="1">
        <v>33999</v>
      </c>
      <c r="D870" s="1">
        <v>1324</v>
      </c>
      <c r="E870" s="2">
        <v>84</v>
      </c>
      <c r="F870" s="2" t="str" cm="1">
        <f t="array" ref="F870">_xlfn.IFS(AND(101&gt;E870, E870&gt;69), "Top-Tier", AND(70&gt;E870, E870&gt;39), "Mid-Tier", 40&gt;E870, "Low-Tier")</f>
        <v>Top-Tier</v>
      </c>
      <c r="G870" s="4">
        <v>44986</v>
      </c>
      <c r="H870" t="s">
        <v>1336</v>
      </c>
      <c r="I870" t="s">
        <v>33</v>
      </c>
      <c r="J870" t="s">
        <v>50</v>
      </c>
      <c r="K870" t="s">
        <v>149</v>
      </c>
      <c r="L870" t="s">
        <v>24</v>
      </c>
      <c r="M870" t="s">
        <v>428</v>
      </c>
      <c r="N870" t="s">
        <v>31</v>
      </c>
      <c r="P870" s="3">
        <v>72</v>
      </c>
      <c r="Q870" t="str">
        <f>LEFT(B870, 3)</f>
        <v>MSI</v>
      </c>
      <c r="R870" t="str">
        <f t="shared" si="68"/>
        <v>Intel Core i5 (11th Gen)</v>
      </c>
      <c r="S870" t="str">
        <f t="shared" si="67"/>
        <v xml:space="preserve">8 GB </v>
      </c>
    </row>
    <row r="871" spans="1:19">
      <c r="A871" t="str">
        <f>LEFT(B871, LEN(B871)-15)</f>
        <v>Dell Vostro 5620 (M552319WIN9S) Laptop (Core i7 12th Gen/16 GB/512 GB SSD/Windows 11/2 GB)</v>
      </c>
      <c r="B871" t="s">
        <v>1352</v>
      </c>
      <c r="C871" s="1">
        <v>93990</v>
      </c>
      <c r="D871" s="1">
        <v>5</v>
      </c>
      <c r="E871" s="2">
        <v>84</v>
      </c>
      <c r="F871" s="2" t="str" cm="1">
        <f t="array" ref="F871">_xlfn.IFS(AND(101&gt;E871, E871&gt;69), "Top-Tier", AND(70&gt;E871, E871&gt;39), "Mid-Tier", 40&gt;E871, "Low-Tier")</f>
        <v>Top-Tier</v>
      </c>
      <c r="G871" s="4">
        <v>44986</v>
      </c>
      <c r="H871" t="s">
        <v>1336</v>
      </c>
      <c r="I871" t="s">
        <v>33</v>
      </c>
      <c r="J871" t="s">
        <v>34</v>
      </c>
      <c r="K871" t="s">
        <v>1110</v>
      </c>
      <c r="L871" t="s">
        <v>24</v>
      </c>
      <c r="M871" t="s">
        <v>36</v>
      </c>
      <c r="P871" s="3">
        <v>80</v>
      </c>
      <c r="Q871" t="str">
        <f>LEFT(B871, 4)</f>
        <v>Dell</v>
      </c>
      <c r="R871" t="str">
        <f t="shared" si="68"/>
        <v>Intel Core i5 (11th Gen)</v>
      </c>
      <c r="S871" t="str">
        <f t="shared" si="67"/>
        <v>16 GB</v>
      </c>
    </row>
    <row r="872" spans="1:19">
      <c r="A872" t="str">
        <f>LEFT(B872, LEN(B872)-15)</f>
        <v>Asus VivoBook Go 15 E1504FA-NJ322WS Laptop (AMD Quad Core Ryzen 3/8 GB/512 GB SSD/Windows 11)</v>
      </c>
      <c r="B872" t="s">
        <v>1353</v>
      </c>
      <c r="C872" s="1">
        <v>29098</v>
      </c>
      <c r="D872" s="1">
        <v>3752</v>
      </c>
      <c r="E872" s="2">
        <v>84</v>
      </c>
      <c r="F872" s="2" t="str" cm="1">
        <f t="array" ref="F872">_xlfn.IFS(AND(101&gt;E872, E872&gt;69), "Top-Tier", AND(70&gt;E872, E872&gt;39), "Mid-Tier", 40&gt;E872, "Low-Tier")</f>
        <v>Top-Tier</v>
      </c>
      <c r="G872" s="4">
        <v>44986</v>
      </c>
      <c r="H872" t="s">
        <v>1354</v>
      </c>
      <c r="I872" t="s">
        <v>33</v>
      </c>
      <c r="J872" t="s">
        <v>162</v>
      </c>
      <c r="K872" t="s">
        <v>51</v>
      </c>
      <c r="L872" t="s">
        <v>24</v>
      </c>
      <c r="M872" t="s">
        <v>95</v>
      </c>
      <c r="N872" t="s">
        <v>31</v>
      </c>
      <c r="P872" s="3">
        <v>74</v>
      </c>
      <c r="Q872" t="str">
        <f>LEFT(B872, 4)</f>
        <v>Asus</v>
      </c>
      <c r="R872" t="str">
        <f t="shared" si="68"/>
        <v>Intel Core i5 (11th Gen)</v>
      </c>
      <c r="S872" t="str">
        <f t="shared" si="67"/>
        <v xml:space="preserve">8 GB </v>
      </c>
    </row>
    <row r="873" spans="1:19">
      <c r="A873" t="str">
        <f>LEFT(B873, LEN(B873)-15)</f>
        <v>Asus VivoBook Go 15 E1504FA-NJ323WS Laptop (AMD Quad Core Ryzen 3/8 GB/512 GB SSD/Windows 11)</v>
      </c>
      <c r="B873" t="s">
        <v>1355</v>
      </c>
      <c r="C873" s="1">
        <v>33749</v>
      </c>
      <c r="D873" s="1">
        <v>3752</v>
      </c>
      <c r="E873" s="2">
        <v>84</v>
      </c>
      <c r="F873" s="2" t="str" cm="1">
        <f t="array" ref="F873">_xlfn.IFS(AND(101&gt;E873, E873&gt;69), "Top-Tier", AND(70&gt;E873, E873&gt;39), "Mid-Tier", 40&gt;E873, "Low-Tier")</f>
        <v>Top-Tier</v>
      </c>
      <c r="G873" s="4">
        <v>44986</v>
      </c>
      <c r="H873" t="s">
        <v>1354</v>
      </c>
      <c r="I873" t="s">
        <v>33</v>
      </c>
      <c r="J873" t="s">
        <v>162</v>
      </c>
      <c r="K873" t="s">
        <v>51</v>
      </c>
      <c r="L873" t="s">
        <v>24</v>
      </c>
      <c r="M873" t="s">
        <v>95</v>
      </c>
      <c r="N873" t="s">
        <v>31</v>
      </c>
      <c r="Q873" t="str">
        <f>LEFT(B873, 4)</f>
        <v>Asus</v>
      </c>
      <c r="R873" t="str">
        <f t="shared" si="68"/>
        <v>Intel Core i5 (11th Gen)</v>
      </c>
      <c r="S873" t="str">
        <f t="shared" si="67"/>
        <v xml:space="preserve">8 GB </v>
      </c>
    </row>
    <row r="874" spans="1:19">
      <c r="A874" t="str">
        <f>LEFT(B874, LEN(B874)-15)</f>
        <v>Primebook 4G Laptop (MediaTek Octa Core/4 GB/64 GB eMMC/Prime OS)</v>
      </c>
      <c r="B874" t="s">
        <v>1356</v>
      </c>
      <c r="C874" s="1">
        <v>24990</v>
      </c>
      <c r="D874" s="1">
        <v>2837</v>
      </c>
      <c r="E874" s="2">
        <v>84</v>
      </c>
      <c r="F874" s="2" t="str" cm="1">
        <f t="array" ref="F874">_xlfn.IFS(AND(101&gt;E874, E874&gt;69), "Top-Tier", AND(70&gt;E874, E874&gt;39), "Mid-Tier", 40&gt;E874, "Low-Tier")</f>
        <v>Top-Tier</v>
      </c>
      <c r="G874" s="4">
        <v>44986</v>
      </c>
      <c r="H874" t="s">
        <v>1354</v>
      </c>
      <c r="I874" t="s">
        <v>1357</v>
      </c>
      <c r="J874" t="s">
        <v>1358</v>
      </c>
      <c r="K874" t="s">
        <v>1359</v>
      </c>
      <c r="L874" t="s">
        <v>24</v>
      </c>
      <c r="M874" t="s">
        <v>428</v>
      </c>
      <c r="N874" t="s">
        <v>31</v>
      </c>
      <c r="O874" t="s">
        <v>261</v>
      </c>
      <c r="Q874" t="str">
        <f>LEFT(B874, 7)</f>
        <v>Primebo</v>
      </c>
      <c r="R874" t="str">
        <f>LEFT(H873, 24)</f>
        <v>Intel Core i5 (11th Gen)</v>
      </c>
      <c r="S874" t="str">
        <f t="shared" si="67"/>
        <v xml:space="preserve">4 GB </v>
      </c>
    </row>
    <row r="875" spans="1:19">
      <c r="A875" t="str">
        <f>LEFT(B875, LEN(B875)-15)</f>
        <v>Primebook 4G Laptop (MediaTek Octa Core/4 GB/128 GB eMMC/Prime OS)</v>
      </c>
      <c r="B875" t="s">
        <v>1360</v>
      </c>
      <c r="C875" s="1">
        <v>15999</v>
      </c>
      <c r="D875" s="1">
        <v>1922</v>
      </c>
      <c r="E875" s="2">
        <v>84</v>
      </c>
      <c r="F875" s="2" t="str" cm="1">
        <f t="array" ref="F875">_xlfn.IFS(AND(101&gt;E875, E875&gt;69), "Top-Tier", AND(70&gt;E875, E875&gt;39), "Mid-Tier", 40&gt;E875, "Low-Tier")</f>
        <v>Top-Tier</v>
      </c>
      <c r="G875" s="4">
        <v>44986</v>
      </c>
      <c r="H875" t="s">
        <v>1354</v>
      </c>
      <c r="I875" t="s">
        <v>1357</v>
      </c>
      <c r="J875" t="s">
        <v>1358</v>
      </c>
      <c r="K875" t="s">
        <v>1359</v>
      </c>
      <c r="L875" t="s">
        <v>24</v>
      </c>
      <c r="M875" t="s">
        <v>428</v>
      </c>
      <c r="N875" t="s">
        <v>31</v>
      </c>
      <c r="O875" t="s">
        <v>261</v>
      </c>
      <c r="Q875" t="str">
        <f>LEFT(B875, 7)</f>
        <v>Primebo</v>
      </c>
      <c r="R875" t="str">
        <f t="shared" si="68"/>
        <v>Intel Core i5 (11th Gen)</v>
      </c>
      <c r="S875" t="str">
        <f t="shared" si="67"/>
        <v xml:space="preserve">4 GB </v>
      </c>
    </row>
    <row r="876" spans="1:19">
      <c r="A876" t="str">
        <f>LEFT(B876, LEN(B876)-15)</f>
        <v>Asus VivoBook 14 X415EA-EK326WS Laptop (Core i3 11th Gen/8 GB/512 GB SSD/Windows 11)</v>
      </c>
      <c r="B876" t="s">
        <v>1361</v>
      </c>
      <c r="C876" s="1">
        <v>39999</v>
      </c>
      <c r="D876" s="1">
        <v>491</v>
      </c>
      <c r="E876" s="2">
        <v>84</v>
      </c>
      <c r="F876" s="2" t="str" cm="1">
        <f t="array" ref="F876">_xlfn.IFS(AND(101&gt;E876, E876&gt;69), "Top-Tier", AND(70&gt;E876, E876&gt;39), "Mid-Tier", 40&gt;E876, "Low-Tier")</f>
        <v>Top-Tier</v>
      </c>
      <c r="G876" s="4">
        <v>44986</v>
      </c>
      <c r="H876" t="s">
        <v>1354</v>
      </c>
      <c r="I876" t="s">
        <v>33</v>
      </c>
      <c r="J876" t="s">
        <v>50</v>
      </c>
      <c r="K876" t="s">
        <v>149</v>
      </c>
      <c r="L876" t="s">
        <v>24</v>
      </c>
      <c r="N876" t="s">
        <v>31</v>
      </c>
      <c r="Q876" t="str">
        <f>LEFT(B876, 4)</f>
        <v>Asus</v>
      </c>
      <c r="R876" t="str">
        <f t="shared" si="68"/>
        <v>Intel Core i5 (11th Gen)</v>
      </c>
      <c r="S876" t="str">
        <f t="shared" si="67"/>
        <v xml:space="preserve">8 GB </v>
      </c>
    </row>
    <row r="877" spans="1:19">
      <c r="A877" t="str">
        <f>LEFT(B877, LEN(B877)-15)</f>
        <v>Infinix INBook Y1 Plus XL28 Laptop (Core i3 10th Gen/8 GB/256 GB SSD/Windows 11)</v>
      </c>
      <c r="B877" t="s">
        <v>1362</v>
      </c>
      <c r="C877" s="1">
        <v>23999</v>
      </c>
      <c r="D877" s="1">
        <v>4516</v>
      </c>
      <c r="E877" s="2">
        <v>84</v>
      </c>
      <c r="F877" s="2" t="str" cm="1">
        <f t="array" ref="F877">_xlfn.IFS(AND(101&gt;E877, E877&gt;69), "Top-Tier", AND(70&gt;E877, E877&gt;39), "Mid-Tier", 40&gt;E877, "Low-Tier")</f>
        <v>Top-Tier</v>
      </c>
      <c r="G877" s="4">
        <v>44958</v>
      </c>
      <c r="H877" t="s">
        <v>1354</v>
      </c>
      <c r="I877" t="s">
        <v>33</v>
      </c>
      <c r="J877" t="s">
        <v>798</v>
      </c>
      <c r="K877" t="s">
        <v>51</v>
      </c>
      <c r="L877" t="s">
        <v>24</v>
      </c>
      <c r="M877" t="s">
        <v>483</v>
      </c>
      <c r="N877" t="s">
        <v>31</v>
      </c>
      <c r="O877" t="s">
        <v>261</v>
      </c>
      <c r="P877" s="3">
        <v>71</v>
      </c>
      <c r="Q877" t="str">
        <f>LEFT(B877, 7)</f>
        <v>Infinix</v>
      </c>
      <c r="R877" t="str">
        <f t="shared" si="68"/>
        <v>Intel Core i5 (11th Gen)</v>
      </c>
      <c r="S877" t="str">
        <f t="shared" si="67"/>
        <v xml:space="preserve">8 GB </v>
      </c>
    </row>
    <row r="878" spans="1:19">
      <c r="A878" t="str">
        <f>LEFT(B878, LEN(B878)-15)</f>
        <v>HP 14s-ef1002TU (6Q121PA) Laptop (Core i3 11th Gen/8 GB/512 GB SSD/Windows 11)</v>
      </c>
      <c r="B878" t="s">
        <v>1363</v>
      </c>
      <c r="C878" s="1">
        <v>41990</v>
      </c>
      <c r="D878" s="1">
        <v>73</v>
      </c>
      <c r="E878" s="2">
        <v>84</v>
      </c>
      <c r="F878" s="2" t="str" cm="1">
        <f t="array" ref="F878">_xlfn.IFS(AND(101&gt;E878, E878&gt;69), "Top-Tier", AND(70&gt;E878, E878&gt;39), "Mid-Tier", 40&gt;E878, "Low-Tier")</f>
        <v>Top-Tier</v>
      </c>
      <c r="G878" s="4">
        <v>44958</v>
      </c>
      <c r="H878" t="s">
        <v>1354</v>
      </c>
      <c r="I878" t="s">
        <v>33</v>
      </c>
      <c r="J878" t="s">
        <v>50</v>
      </c>
      <c r="K878" t="s">
        <v>149</v>
      </c>
      <c r="L878" t="s">
        <v>24</v>
      </c>
      <c r="M878" t="s">
        <v>52</v>
      </c>
      <c r="N878" t="s">
        <v>31</v>
      </c>
      <c r="Q878" t="str">
        <f>LEFT(B878, 2)</f>
        <v>HP</v>
      </c>
      <c r="R878" t="str">
        <f t="shared" si="68"/>
        <v>Intel Core i5 (11th Gen)</v>
      </c>
      <c r="S878" t="str">
        <f t="shared" si="67"/>
        <v xml:space="preserve">8 GB </v>
      </c>
    </row>
    <row r="879" spans="1:19">
      <c r="A879" t="str">
        <f>LEFT(B879, LEN(B879)-15)</f>
        <v>HP Victus 16-d0310TX (7K4X0PA) Laptop (Core i5 11th Gen/8 GB/512 GB SSD/Windows 11/4 GB)</v>
      </c>
      <c r="B879" t="s">
        <v>1364</v>
      </c>
      <c r="C879" s="1">
        <v>57990</v>
      </c>
      <c r="D879" s="1">
        <v>892</v>
      </c>
      <c r="E879" s="2">
        <v>84</v>
      </c>
      <c r="F879" s="2" t="str" cm="1">
        <f t="array" ref="F879">_xlfn.IFS(AND(101&gt;E879, E879&gt;69), "Top-Tier", AND(70&gt;E879, E879&gt;39), "Mid-Tier", 40&gt;E879, "Low-Tier")</f>
        <v>Top-Tier</v>
      </c>
      <c r="G879" s="4">
        <v>44958</v>
      </c>
      <c r="H879" t="s">
        <v>1354</v>
      </c>
      <c r="I879" t="s">
        <v>33</v>
      </c>
      <c r="J879" t="s">
        <v>50</v>
      </c>
      <c r="K879" t="s">
        <v>271</v>
      </c>
      <c r="L879" t="s">
        <v>24</v>
      </c>
      <c r="N879" t="s">
        <v>31</v>
      </c>
      <c r="P879" s="3">
        <v>76</v>
      </c>
      <c r="Q879" t="str">
        <f>LEFT(B879, 2)</f>
        <v>HP</v>
      </c>
      <c r="R879" t="str">
        <f t="shared" si="68"/>
        <v>Intel Core i5 (11th Gen)</v>
      </c>
      <c r="S879" t="str">
        <f t="shared" si="67"/>
        <v xml:space="preserve">8 GB </v>
      </c>
    </row>
    <row r="880" spans="1:19">
      <c r="A880" t="str">
        <f>LEFT(B880, LEN(B880)-15)</f>
        <v>HP Victus 16-e0333TX (7K4H5PA) Laptop (AMD Hexa Core Ryzen 5/16 GB/512 GB SSD/Windows 11/6 GB)</v>
      </c>
      <c r="B880" t="s">
        <v>1365</v>
      </c>
      <c r="C880" s="1">
        <v>68990</v>
      </c>
      <c r="D880" s="1">
        <v>25</v>
      </c>
      <c r="E880" s="2">
        <v>84</v>
      </c>
      <c r="F880" s="2" t="str" cm="1">
        <f t="array" ref="F880">_xlfn.IFS(AND(101&gt;E880, E880&gt;69), "Top-Tier", AND(70&gt;E880, E880&gt;39), "Mid-Tier", 40&gt;E880, "Low-Tier")</f>
        <v>Top-Tier</v>
      </c>
      <c r="G880" s="4">
        <v>44958</v>
      </c>
      <c r="H880" t="s">
        <v>1366</v>
      </c>
      <c r="I880" t="s">
        <v>33</v>
      </c>
      <c r="J880" t="s">
        <v>34</v>
      </c>
      <c r="K880" t="s">
        <v>271</v>
      </c>
      <c r="L880" t="s">
        <v>24</v>
      </c>
      <c r="N880" t="s">
        <v>31</v>
      </c>
      <c r="P880" s="3">
        <v>82</v>
      </c>
      <c r="Q880" t="str">
        <f>LEFT(B880, 2)</f>
        <v>HP</v>
      </c>
      <c r="R880" t="str">
        <f t="shared" si="68"/>
        <v>Intel Core i5 (11th Gen)</v>
      </c>
      <c r="S880" t="str">
        <f t="shared" si="67"/>
        <v>16 GB</v>
      </c>
    </row>
    <row r="881" spans="1:19">
      <c r="A881" t="str">
        <f>LEFT(B881, LEN(B881)-15)</f>
        <v>MSI Katana 17 B13VFK-253IN Laptop (Core i7 13th Gen/16 GB/1 TB SSD/Windows 11/8 GB)</v>
      </c>
      <c r="B881" t="s">
        <v>1367</v>
      </c>
      <c r="C881" s="1">
        <v>104990</v>
      </c>
      <c r="D881" s="1">
        <v>32</v>
      </c>
      <c r="E881" s="2">
        <v>84</v>
      </c>
      <c r="F881" s="2" t="str" cm="1">
        <f t="array" ref="F881">_xlfn.IFS(AND(101&gt;E881, E881&gt;69), "Top-Tier", AND(70&gt;E881, E881&gt;39), "Mid-Tier", 40&gt;E881, "Low-Tier")</f>
        <v>Top-Tier</v>
      </c>
      <c r="G881" s="4">
        <v>44958</v>
      </c>
      <c r="H881" t="s">
        <v>1366</v>
      </c>
      <c r="I881" t="s">
        <v>33</v>
      </c>
      <c r="J881" t="s">
        <v>72</v>
      </c>
      <c r="K881" t="s">
        <v>565</v>
      </c>
      <c r="L881" t="s">
        <v>24</v>
      </c>
      <c r="N881" t="s">
        <v>31</v>
      </c>
      <c r="Q881" t="str">
        <f>LEFT(B881, 3)</f>
        <v>MSI</v>
      </c>
      <c r="R881" t="str">
        <f t="shared" si="68"/>
        <v>Intel Core i5 (11th Gen)</v>
      </c>
      <c r="S881" t="str">
        <f t="shared" si="67"/>
        <v>16 GB</v>
      </c>
    </row>
    <row r="882" spans="1:19">
      <c r="A882" t="str">
        <f>LEFT(B882, LEN(B882)-15)</f>
        <v>Infinix Zero Book ZL12 Laptop (Core i5 12th Gen/16 GB/512 GB SSD/Windows 11)</v>
      </c>
      <c r="B882" t="s">
        <v>1368</v>
      </c>
      <c r="C882" s="1">
        <v>51999</v>
      </c>
      <c r="D882" s="1">
        <v>123</v>
      </c>
      <c r="E882" s="2">
        <v>84</v>
      </c>
      <c r="F882" s="2" t="str" cm="1">
        <f t="array" ref="F882">_xlfn.IFS(AND(101&gt;E882, E882&gt;69), "Top-Tier", AND(70&gt;E882, E882&gt;39), "Mid-Tier", 40&gt;E882, "Low-Tier")</f>
        <v>Top-Tier</v>
      </c>
      <c r="G882" s="4">
        <v>44958</v>
      </c>
      <c r="H882" t="s">
        <v>1366</v>
      </c>
      <c r="I882" t="s">
        <v>33</v>
      </c>
      <c r="J882" t="s">
        <v>121</v>
      </c>
      <c r="K882" t="s">
        <v>51</v>
      </c>
      <c r="L882" t="s">
        <v>24</v>
      </c>
      <c r="M882" t="s">
        <v>178</v>
      </c>
      <c r="N882" t="s">
        <v>31</v>
      </c>
      <c r="O882" t="s">
        <v>261</v>
      </c>
      <c r="P882" s="3">
        <v>77</v>
      </c>
      <c r="Q882" t="str">
        <f>LEFT(B882, 7)</f>
        <v>Infinix</v>
      </c>
      <c r="R882" t="str">
        <f t="shared" si="68"/>
        <v>Intel Core i5 (11th Gen)</v>
      </c>
      <c r="S882" t="str">
        <f t="shared" si="67"/>
        <v>16 GB</v>
      </c>
    </row>
    <row r="883" spans="1:19">
      <c r="A883" t="str">
        <f>LEFT(B883, LEN(B883)-15)</f>
        <v>Infinix Zero Book Ultra ZL12 Laptop (Core i9 12th Gen/32 GB/1 TB SSD/Windows 11)</v>
      </c>
      <c r="B883" t="s">
        <v>1369</v>
      </c>
      <c r="C883" s="1">
        <v>95990</v>
      </c>
      <c r="D883" s="1">
        <v>66</v>
      </c>
      <c r="E883" s="2">
        <v>84</v>
      </c>
      <c r="F883" s="2" t="str" cm="1">
        <f t="array" ref="F883">_xlfn.IFS(AND(101&gt;E883, E883&gt;69), "Top-Tier", AND(70&gt;E883, E883&gt;39), "Mid-Tier", 40&gt;E883, "Low-Tier")</f>
        <v>Top-Tier</v>
      </c>
      <c r="G883" s="4">
        <v>44958</v>
      </c>
      <c r="H883" t="s">
        <v>1366</v>
      </c>
      <c r="I883" t="s">
        <v>33</v>
      </c>
      <c r="J883" t="s">
        <v>457</v>
      </c>
      <c r="K883" t="s">
        <v>51</v>
      </c>
      <c r="L883" t="s">
        <v>24</v>
      </c>
      <c r="M883" t="s">
        <v>178</v>
      </c>
      <c r="N883" t="s">
        <v>31</v>
      </c>
      <c r="O883" t="s">
        <v>261</v>
      </c>
      <c r="P883" s="3">
        <v>80</v>
      </c>
      <c r="Q883" t="str">
        <f>LEFT(B883, 7)</f>
        <v>Infinix</v>
      </c>
      <c r="R883" t="str">
        <f t="shared" si="68"/>
        <v>Intel Core i5 (11th Gen)</v>
      </c>
      <c r="S883" t="str">
        <f t="shared" si="67"/>
        <v>32 GB</v>
      </c>
    </row>
    <row r="884" spans="1:19">
      <c r="A884" t="str">
        <f>LEFT(B884, LEN(B884)-15)</f>
        <v>Asus VivoBook Go 14 E1404FA-NK331W Laptop (AMD Quad Core Ryzen 3/8 GB/1 TB SSD/Windows 11)</v>
      </c>
      <c r="B884" t="s">
        <v>1370</v>
      </c>
      <c r="C884" s="1">
        <v>32490</v>
      </c>
      <c r="D884" s="1">
        <v>23</v>
      </c>
      <c r="E884" s="2">
        <v>84</v>
      </c>
      <c r="F884" s="2" t="str" cm="1">
        <f t="array" ref="F884">_xlfn.IFS(AND(101&gt;E884, E884&gt;69), "Top-Tier", AND(70&gt;E884, E884&gt;39), "Mid-Tier", 40&gt;E884, "Low-Tier")</f>
        <v>Top-Tier</v>
      </c>
      <c r="G884" s="4">
        <v>44958</v>
      </c>
      <c r="H884" t="s">
        <v>1366</v>
      </c>
      <c r="I884" t="s">
        <v>33</v>
      </c>
      <c r="J884" t="s">
        <v>1259</v>
      </c>
      <c r="K884" t="s">
        <v>149</v>
      </c>
      <c r="L884" t="s">
        <v>24</v>
      </c>
      <c r="M884" t="s">
        <v>95</v>
      </c>
      <c r="N884" t="s">
        <v>31</v>
      </c>
      <c r="P884" s="3">
        <v>77</v>
      </c>
      <c r="Q884" t="str">
        <f>LEFT(B884, 4)</f>
        <v>Asus</v>
      </c>
      <c r="R884" t="str">
        <f t="shared" si="68"/>
        <v>Intel Core i5 (11th Gen)</v>
      </c>
      <c r="S884" t="str">
        <f t="shared" si="67"/>
        <v xml:space="preserve">8 GB </v>
      </c>
    </row>
    <row r="885" spans="1:19">
      <c r="A885" t="str">
        <f>LEFT(B885, LEN(B885)-15)</f>
        <v>Samsung Galaxy Book 3 Pro 360 NP960QFG-KA1IN Laptop (Core i7 13th Gen/16 GB/512 GB SSD/Windows 11)</v>
      </c>
      <c r="B885" t="s">
        <v>1371</v>
      </c>
      <c r="C885" s="1">
        <v>112990</v>
      </c>
      <c r="D885" s="1">
        <v>25</v>
      </c>
      <c r="E885" s="2">
        <v>84</v>
      </c>
      <c r="F885" s="2" t="str" cm="1">
        <f t="array" ref="F885">_xlfn.IFS(AND(101&gt;E885, E885&gt;69), "Top-Tier", AND(70&gt;E885, E885&gt;39), "Mid-Tier", 40&gt;E885, "Low-Tier")</f>
        <v>Top-Tier</v>
      </c>
      <c r="G885" s="4">
        <v>44958</v>
      </c>
      <c r="H885" t="s">
        <v>1366</v>
      </c>
      <c r="I885" t="s">
        <v>33</v>
      </c>
      <c r="J885" t="s">
        <v>208</v>
      </c>
      <c r="K885" t="s">
        <v>169</v>
      </c>
      <c r="L885" t="s">
        <v>24</v>
      </c>
      <c r="M885" t="s">
        <v>1372</v>
      </c>
      <c r="N885" t="s">
        <v>31</v>
      </c>
      <c r="P885" s="3">
        <v>77</v>
      </c>
      <c r="Q885" t="str">
        <f>LEFT(B885, 7)</f>
        <v>Samsung</v>
      </c>
      <c r="R885" t="str">
        <f t="shared" si="68"/>
        <v>Intel Core i5 (11th Gen)</v>
      </c>
      <c r="S885" t="str">
        <f t="shared" si="67"/>
        <v>16 GB</v>
      </c>
    </row>
    <row r="886" spans="1:19">
      <c r="A886" t="str">
        <f>LEFT(B886, LEN(B886)-15)</f>
        <v>Samsung Galaxy Book 3 Pro 360 NP960QFG-KA2IN Laptop (Core i5 13th Gen/16 GB/512 GB SSD/Windows 11)</v>
      </c>
      <c r="B886" t="s">
        <v>1373</v>
      </c>
      <c r="C886" s="1">
        <v>99999</v>
      </c>
      <c r="D886" s="1">
        <v>25</v>
      </c>
      <c r="E886" s="2">
        <v>84</v>
      </c>
      <c r="F886" s="2" t="str" cm="1">
        <f t="array" ref="F886">_xlfn.IFS(AND(101&gt;E886, E886&gt;69), "Top-Tier", AND(70&gt;E886, E886&gt;39), "Mid-Tier", 40&gt;E886, "Low-Tier")</f>
        <v>Top-Tier</v>
      </c>
      <c r="G886" s="4">
        <v>44958</v>
      </c>
      <c r="H886" t="s">
        <v>1366</v>
      </c>
      <c r="I886" t="s">
        <v>33</v>
      </c>
      <c r="J886" t="s">
        <v>208</v>
      </c>
      <c r="K886" t="s">
        <v>169</v>
      </c>
      <c r="L886" t="s">
        <v>24</v>
      </c>
      <c r="M886" t="s">
        <v>1181</v>
      </c>
      <c r="N886" t="s">
        <v>31</v>
      </c>
      <c r="P886" s="3">
        <v>75</v>
      </c>
      <c r="Q886" t="str">
        <f>LEFT(B886, 7)</f>
        <v>Samsung</v>
      </c>
      <c r="R886" t="str">
        <f t="shared" si="68"/>
        <v>Intel Core i5 (11th Gen)</v>
      </c>
      <c r="S886" t="str">
        <f t="shared" si="67"/>
        <v>16 GB</v>
      </c>
    </row>
    <row r="887" spans="1:19">
      <c r="A887" t="str">
        <f>LEFT(B887, LEN(B887)-15)</f>
        <v>HP 14s-dq5007TU (695R9PA) Laptop (Core i5 12th Gen/8 GB/512 GB SSD/Windows 11)</v>
      </c>
      <c r="B887" t="s">
        <v>1374</v>
      </c>
      <c r="C887" s="1">
        <v>61990</v>
      </c>
      <c r="D887" s="1">
        <v>918</v>
      </c>
      <c r="E887" s="2">
        <v>84</v>
      </c>
      <c r="F887" s="2" t="str" cm="1">
        <f t="array" ref="F887">_xlfn.IFS(AND(101&gt;E887, E887&gt;69), "Top-Tier", AND(70&gt;E887, E887&gt;39), "Mid-Tier", 40&gt;E887, "Low-Tier")</f>
        <v>Top-Tier</v>
      </c>
      <c r="G887" s="4">
        <v>44927</v>
      </c>
      <c r="H887" t="s">
        <v>1366</v>
      </c>
      <c r="I887" t="s">
        <v>33</v>
      </c>
      <c r="J887" t="s">
        <v>50</v>
      </c>
      <c r="K887" t="s">
        <v>149</v>
      </c>
      <c r="L887" t="s">
        <v>24</v>
      </c>
      <c r="M887" t="s">
        <v>95</v>
      </c>
      <c r="N887" t="s">
        <v>31</v>
      </c>
      <c r="P887" s="3">
        <v>76</v>
      </c>
      <c r="Q887" t="str">
        <f>LEFT(B887, 2)</f>
        <v>HP</v>
      </c>
      <c r="R887" t="str">
        <f t="shared" si="68"/>
        <v>Intel Core i5 (11th Gen)</v>
      </c>
      <c r="S887" t="str">
        <f t="shared" ref="S887:S950" si="69">LEFT(J887, 5)</f>
        <v xml:space="preserve">8 GB </v>
      </c>
    </row>
    <row r="888" spans="1:19">
      <c r="A888" t="str">
        <f>LEFT(B888, LEN(B888)-15)</f>
        <v>Infinix Zero Book Ultra Laptop (Core i9 12th Gen/16 GB/512 GB SSD/Windows 11)</v>
      </c>
      <c r="B888" t="s">
        <v>1375</v>
      </c>
      <c r="C888" s="1">
        <v>72999</v>
      </c>
      <c r="D888" s="1">
        <v>66</v>
      </c>
      <c r="E888" s="2">
        <v>84</v>
      </c>
      <c r="F888" s="2" t="str" cm="1">
        <f t="array" ref="F888">_xlfn.IFS(AND(101&gt;E888, E888&gt;69), "Top-Tier", AND(70&gt;E888, E888&gt;39), "Mid-Tier", 40&gt;E888, "Low-Tier")</f>
        <v>Top-Tier</v>
      </c>
      <c r="G888" s="4">
        <v>44927</v>
      </c>
      <c r="H888" t="s">
        <v>1366</v>
      </c>
      <c r="I888" t="s">
        <v>33</v>
      </c>
      <c r="J888" t="s">
        <v>121</v>
      </c>
      <c r="K888" t="s">
        <v>51</v>
      </c>
      <c r="L888" t="s">
        <v>24</v>
      </c>
      <c r="M888" t="s">
        <v>178</v>
      </c>
      <c r="N888" t="s">
        <v>31</v>
      </c>
      <c r="O888" t="s">
        <v>261</v>
      </c>
      <c r="P888" s="3">
        <v>79</v>
      </c>
      <c r="Q888" t="str">
        <f>LEFT(B888, 7)</f>
        <v>Infinix</v>
      </c>
      <c r="R888" t="str">
        <f t="shared" si="68"/>
        <v>Intel Core i5 (11th Gen)</v>
      </c>
      <c r="S888" t="str">
        <f t="shared" si="69"/>
        <v>16 GB</v>
      </c>
    </row>
    <row r="889" spans="1:19">
      <c r="A889" t="str">
        <f>LEFT(B889, LEN(B889)-15)</f>
        <v>Asus VivoBook 15 X515EA-EJ701WS Laptop (Core i7 11th Gen/16 GB/512 GB SSD/Windows 11)</v>
      </c>
      <c r="B889" t="s">
        <v>1376</v>
      </c>
      <c r="C889" s="1">
        <v>65999</v>
      </c>
      <c r="D889" s="1">
        <v>567</v>
      </c>
      <c r="E889" s="2">
        <v>84</v>
      </c>
      <c r="F889" s="2" t="str" cm="1">
        <f t="array" ref="F889">_xlfn.IFS(AND(101&gt;E889, E889&gt;69), "Top-Tier", AND(70&gt;E889, E889&gt;39), "Mid-Tier", 40&gt;E889, "Low-Tier")</f>
        <v>Top-Tier</v>
      </c>
      <c r="G889" s="4">
        <v>44927</v>
      </c>
      <c r="H889" t="s">
        <v>1366</v>
      </c>
      <c r="I889" t="s">
        <v>33</v>
      </c>
      <c r="J889" t="s">
        <v>34</v>
      </c>
      <c r="K889" t="s">
        <v>51</v>
      </c>
      <c r="L889" t="s">
        <v>24</v>
      </c>
      <c r="M889" t="s">
        <v>52</v>
      </c>
      <c r="N889" t="s">
        <v>31</v>
      </c>
      <c r="P889" s="3">
        <v>73</v>
      </c>
      <c r="Q889" t="str">
        <f>LEFT(B889, 4)</f>
        <v>Asus</v>
      </c>
      <c r="R889" t="str">
        <f t="shared" si="68"/>
        <v>Intel Core i5 (11th Gen)</v>
      </c>
      <c r="S889" t="str">
        <f t="shared" si="69"/>
        <v>16 GB</v>
      </c>
    </row>
    <row r="890" spans="1:19">
      <c r="A890" t="str">
        <f>LEFT(B890, LEN(B890)-15)</f>
        <v>HP 15s-fq2717TU (7G6H3PA) Laptop (Core i3 11th Gen/8 GB/512 GB SSD/Windows 11)</v>
      </c>
      <c r="B890" t="s">
        <v>1377</v>
      </c>
      <c r="C890" s="1">
        <v>37700</v>
      </c>
      <c r="D890" s="1">
        <v>1278</v>
      </c>
      <c r="E890" s="2">
        <v>84</v>
      </c>
      <c r="F890" s="2" t="str" cm="1">
        <f t="array" ref="F890">_xlfn.IFS(AND(101&gt;E890, E890&gt;69), "Top-Tier", AND(70&gt;E890, E890&gt;39), "Mid-Tier", 40&gt;E890, "Low-Tier")</f>
        <v>Top-Tier</v>
      </c>
      <c r="G890" s="4">
        <v>44927</v>
      </c>
      <c r="H890" t="s">
        <v>1366</v>
      </c>
      <c r="I890" t="s">
        <v>33</v>
      </c>
      <c r="J890" t="s">
        <v>50</v>
      </c>
      <c r="K890" t="s">
        <v>51</v>
      </c>
      <c r="L890" t="s">
        <v>24</v>
      </c>
      <c r="M890" t="s">
        <v>95</v>
      </c>
      <c r="N890" t="s">
        <v>31</v>
      </c>
      <c r="P890" s="3">
        <v>74</v>
      </c>
      <c r="Q890" t="str">
        <f>LEFT(B890, 2)</f>
        <v>HP</v>
      </c>
      <c r="R890" t="str">
        <f t="shared" si="68"/>
        <v>Intel Core i5 (11th Gen)</v>
      </c>
      <c r="S890" t="str">
        <f t="shared" si="69"/>
        <v xml:space="preserve">8 GB </v>
      </c>
    </row>
    <row r="891" spans="1:19">
      <c r="A891" t="str">
        <f>LEFT(B891, LEN(B891)-15)</f>
        <v>HP Victus 16-d0311TX (7K4X1PA) Laptop (Core i5 11th Gen/16 GB/512 GB SSD/Windows 11/4 GB)</v>
      </c>
      <c r="B891" t="s">
        <v>1378</v>
      </c>
      <c r="C891" s="1">
        <v>60990</v>
      </c>
      <c r="D891" s="1">
        <v>892</v>
      </c>
      <c r="E891" s="2">
        <v>84</v>
      </c>
      <c r="F891" s="2" t="str" cm="1">
        <f t="array" ref="F891">_xlfn.IFS(AND(101&gt;E891, E891&gt;69), "Top-Tier", AND(70&gt;E891, E891&gt;39), "Mid-Tier", 40&gt;E891, "Low-Tier")</f>
        <v>Top-Tier</v>
      </c>
      <c r="G891" s="4">
        <v>44927</v>
      </c>
      <c r="H891" t="s">
        <v>1366</v>
      </c>
      <c r="I891" t="s">
        <v>33</v>
      </c>
      <c r="J891" t="s">
        <v>34</v>
      </c>
      <c r="K891" t="s">
        <v>271</v>
      </c>
      <c r="L891" t="s">
        <v>24</v>
      </c>
      <c r="N891" t="s">
        <v>31</v>
      </c>
      <c r="P891" s="3">
        <v>77</v>
      </c>
      <c r="Q891" t="str">
        <f>LEFT(B891, 2)</f>
        <v>HP</v>
      </c>
      <c r="R891" t="str">
        <f t="shared" si="68"/>
        <v>Intel Core i5 (11th Gen)</v>
      </c>
      <c r="S891" t="str">
        <f t="shared" si="69"/>
        <v>16 GB</v>
      </c>
    </row>
    <row r="892" spans="1:19">
      <c r="A892" t="str">
        <f>LEFT(B892, LEN(B892)-15)</f>
        <v>HP Envy x360 Intel Evo 15-ew0040TU (7G6F2PA) Laptop (Core i5 12th Gen/16 GB/512 GB SSD/Windows 11)</v>
      </c>
      <c r="B892" t="s">
        <v>1379</v>
      </c>
      <c r="C892" s="1">
        <v>83990</v>
      </c>
      <c r="D892" s="1">
        <v>26</v>
      </c>
      <c r="E892" s="2">
        <v>84</v>
      </c>
      <c r="F892" s="2" t="str" cm="1">
        <f t="array" ref="F892">_xlfn.IFS(AND(101&gt;E892, E892&gt;69), "Top-Tier", AND(70&gt;E892, E892&gt;39), "Mid-Tier", 40&gt;E892, "Low-Tier")</f>
        <v>Top-Tier</v>
      </c>
      <c r="G892" s="4">
        <v>44927</v>
      </c>
      <c r="H892" t="s">
        <v>1366</v>
      </c>
      <c r="I892" t="s">
        <v>33</v>
      </c>
      <c r="J892" t="s">
        <v>34</v>
      </c>
      <c r="K892" t="s">
        <v>51</v>
      </c>
      <c r="L892" t="s">
        <v>24</v>
      </c>
      <c r="M892" t="s">
        <v>99</v>
      </c>
      <c r="N892" t="s">
        <v>31</v>
      </c>
      <c r="P892" s="3">
        <v>75</v>
      </c>
      <c r="Q892" t="str">
        <f>LEFT(B892, 2)</f>
        <v>HP</v>
      </c>
      <c r="R892" t="str">
        <f t="shared" si="68"/>
        <v>Intel Core i5 (11th Gen)</v>
      </c>
      <c r="S892" t="str">
        <f t="shared" si="69"/>
        <v>16 GB</v>
      </c>
    </row>
    <row r="893" spans="1:19">
      <c r="A893" t="str">
        <f>LEFT(B893, LEN(B893)-15)</f>
        <v>Dell Inspiron 15 3520 (D560869WIN9B) Laptop (Core i3 12th Gen/8 GB/256 GB SSD/Windows 11)</v>
      </c>
      <c r="B893" t="s">
        <v>1380</v>
      </c>
      <c r="C893" s="1">
        <v>34200</v>
      </c>
      <c r="D893" s="1">
        <v>26</v>
      </c>
      <c r="E893" s="2">
        <v>84</v>
      </c>
      <c r="F893" s="2" t="str" cm="1">
        <f t="array" ref="F893">_xlfn.IFS(AND(101&gt;E893, E893&gt;69), "Top-Tier", AND(70&gt;E893, E893&gt;39), "Mid-Tier", 40&gt;E893, "Low-Tier")</f>
        <v>Top-Tier</v>
      </c>
      <c r="G893" s="4">
        <v>44896</v>
      </c>
      <c r="H893" t="s">
        <v>1381</v>
      </c>
      <c r="I893" t="s">
        <v>33</v>
      </c>
      <c r="J893" t="s">
        <v>338</v>
      </c>
      <c r="K893" t="s">
        <v>51</v>
      </c>
      <c r="L893" t="s">
        <v>24</v>
      </c>
      <c r="M893" t="s">
        <v>203</v>
      </c>
      <c r="N893" t="s">
        <v>31</v>
      </c>
      <c r="O893" t="s">
        <v>291</v>
      </c>
      <c r="P893" s="3">
        <v>71</v>
      </c>
      <c r="Q893" t="str">
        <f>LEFT(B893, 4)</f>
        <v>Dell</v>
      </c>
      <c r="R893" t="str">
        <f t="shared" si="68"/>
        <v>Intel Core i5 (11th Gen)</v>
      </c>
      <c r="S893" t="str">
        <f t="shared" si="69"/>
        <v xml:space="preserve">8 GB </v>
      </c>
    </row>
    <row r="894" spans="1:19">
      <c r="A894" t="str">
        <f>LEFT(B894, LEN(B894)-15)</f>
        <v>Lenovo V15 (82KBA03HIH) Laptop (Core i3 11th Gen/8 GB/1 TB 256 GB SSD/Windows 11)</v>
      </c>
      <c r="B894" t="s">
        <v>1382</v>
      </c>
      <c r="C894" s="1">
        <v>40490</v>
      </c>
      <c r="D894" s="1">
        <v>224</v>
      </c>
      <c r="E894" s="2">
        <v>84</v>
      </c>
      <c r="F894" s="2" t="str" cm="1">
        <f t="array" ref="F894">_xlfn.IFS(AND(101&gt;E894, E894&gt;69), "Top-Tier", AND(70&gt;E894, E894&gt;39), "Mid-Tier", 40&gt;E894, "Low-Tier")</f>
        <v>Top-Tier</v>
      </c>
      <c r="G894" s="4">
        <v>44896</v>
      </c>
      <c r="H894" t="s">
        <v>1381</v>
      </c>
      <c r="I894" t="s">
        <v>33</v>
      </c>
      <c r="J894" t="s">
        <v>332</v>
      </c>
      <c r="K894" t="s">
        <v>51</v>
      </c>
      <c r="L894" t="s">
        <v>24</v>
      </c>
      <c r="M894" t="s">
        <v>52</v>
      </c>
      <c r="N894" t="s">
        <v>31</v>
      </c>
      <c r="Q894" t="str">
        <f>LEFT(B894, 6)</f>
        <v>Lenovo</v>
      </c>
      <c r="R894" t="str">
        <f t="shared" si="68"/>
        <v>Intel Core i5 (11th Gen)</v>
      </c>
      <c r="S894" t="str">
        <f t="shared" si="69"/>
        <v xml:space="preserve">8 GB </v>
      </c>
    </row>
    <row r="895" spans="1:19">
      <c r="A895" t="str">
        <f>LEFT(B895, LEN(B895)-15)</f>
        <v>HP 15s-fq5007TU (67V50PA) Laptop (Core i3 12th Gen/8 GB/512 GB SSD/Windows 11)</v>
      </c>
      <c r="B895" t="s">
        <v>1383</v>
      </c>
      <c r="C895" s="1">
        <v>35750</v>
      </c>
      <c r="D895" s="1">
        <v>6051</v>
      </c>
      <c r="E895" s="2">
        <v>84</v>
      </c>
      <c r="F895" s="2" t="str" cm="1">
        <f t="array" ref="F895">_xlfn.IFS(AND(101&gt;E895, E895&gt;69), "Top-Tier", AND(70&gt;E895, E895&gt;39), "Mid-Tier", 40&gt;E895, "Low-Tier")</f>
        <v>Top-Tier</v>
      </c>
      <c r="G895" s="4">
        <v>44896</v>
      </c>
      <c r="H895" t="s">
        <v>1384</v>
      </c>
      <c r="I895" t="s">
        <v>33</v>
      </c>
      <c r="J895" t="s">
        <v>50</v>
      </c>
      <c r="K895" t="s">
        <v>51</v>
      </c>
      <c r="L895" t="s">
        <v>24</v>
      </c>
      <c r="M895" t="s">
        <v>95</v>
      </c>
      <c r="N895" t="s">
        <v>31</v>
      </c>
      <c r="P895" s="3">
        <v>77</v>
      </c>
      <c r="Q895" t="str">
        <f>LEFT(B895, 2)</f>
        <v>HP</v>
      </c>
      <c r="R895" t="str">
        <f t="shared" si="68"/>
        <v>Intel Core i5 (11th Gen)</v>
      </c>
      <c r="S895" t="str">
        <f t="shared" si="69"/>
        <v xml:space="preserve">8 GB </v>
      </c>
    </row>
    <row r="896" spans="1:19">
      <c r="A896" t="str">
        <f>LEFT(B896, LEN(B896)-15)</f>
        <v>HP Envy x360 Intel Evo 13-bf0085TU (726X6PA) Laptop (Core i5 12th Gen/8 GB/512 GB SSD/Windows 11)</v>
      </c>
      <c r="B896" t="s">
        <v>1385</v>
      </c>
      <c r="C896" s="1">
        <v>83990</v>
      </c>
      <c r="D896" s="1">
        <v>112</v>
      </c>
      <c r="E896" s="2">
        <v>84</v>
      </c>
      <c r="F896" s="2" t="str" cm="1">
        <f t="array" ref="F896">_xlfn.IFS(AND(101&gt;E896, E896&gt;69), "Top-Tier", AND(70&gt;E896, E896&gt;39), "Mid-Tier", 40&gt;E896, "Low-Tier")</f>
        <v>Top-Tier</v>
      </c>
      <c r="G896" s="4">
        <v>44896</v>
      </c>
      <c r="H896" t="s">
        <v>1386</v>
      </c>
      <c r="I896" t="s">
        <v>33</v>
      </c>
      <c r="J896" t="s">
        <v>494</v>
      </c>
      <c r="K896" t="s">
        <v>806</v>
      </c>
      <c r="L896" t="s">
        <v>24</v>
      </c>
      <c r="M896" t="s">
        <v>1387</v>
      </c>
      <c r="N896" t="s">
        <v>31</v>
      </c>
      <c r="O896" t="s">
        <v>261</v>
      </c>
      <c r="P896" s="3">
        <v>75</v>
      </c>
      <c r="Q896" t="str">
        <f>LEFT(B896, 2)</f>
        <v>HP</v>
      </c>
      <c r="R896" t="str">
        <f t="shared" si="68"/>
        <v>Intel Core i5 (11th Gen)</v>
      </c>
      <c r="S896" t="str">
        <f t="shared" si="69"/>
        <v xml:space="preserve">8 GB </v>
      </c>
    </row>
    <row r="897" spans="1:19">
      <c r="A897" t="str">
        <f>LEFT(B897, LEN(B897)-15)</f>
        <v>Acer Aspire 5 A515-56 (NX.A1GSI.00D) Laptop (Core i5 11th Gen/8 GB/512 GB SSD/Windows 11)</v>
      </c>
      <c r="B897" t="s">
        <v>1388</v>
      </c>
      <c r="C897" s="1">
        <v>54990</v>
      </c>
      <c r="D897" s="1">
        <v>369</v>
      </c>
      <c r="E897" s="2">
        <v>84</v>
      </c>
      <c r="F897" s="2" t="str" cm="1">
        <f t="array" ref="F897">_xlfn.IFS(AND(101&gt;E897, E897&gt;69), "Top-Tier", AND(70&gt;E897, E897&gt;39), "Mid-Tier", 40&gt;E897, "Low-Tier")</f>
        <v>Top-Tier</v>
      </c>
      <c r="G897" s="4">
        <v>44866</v>
      </c>
      <c r="H897" t="s">
        <v>1386</v>
      </c>
      <c r="I897" t="s">
        <v>33</v>
      </c>
      <c r="J897" t="s">
        <v>50</v>
      </c>
      <c r="K897" t="s">
        <v>249</v>
      </c>
      <c r="L897" t="s">
        <v>24</v>
      </c>
      <c r="M897" t="s">
        <v>95</v>
      </c>
      <c r="N897" t="s">
        <v>31</v>
      </c>
      <c r="O897" t="s">
        <v>291</v>
      </c>
      <c r="P897" s="3">
        <v>71</v>
      </c>
      <c r="Q897" t="str">
        <f>LEFT(B897, 4)</f>
        <v>Acer</v>
      </c>
      <c r="R897" t="str">
        <f t="shared" si="68"/>
        <v>Intel Core i5 (11th Gen)</v>
      </c>
      <c r="S897" t="str">
        <f t="shared" si="69"/>
        <v xml:space="preserve">8 GB </v>
      </c>
    </row>
    <row r="898" spans="1:19">
      <c r="A898" t="str">
        <f>LEFT(B898, LEN(B898)-15)</f>
        <v>Asus TUF Gaming F15 FX566HM-AZ096TS Laptop (Core i9 11th Gen/16 GB/1 TB SSD/Windows 10/6 GB)</v>
      </c>
      <c r="B898" t="s">
        <v>1389</v>
      </c>
      <c r="C898" s="1">
        <v>144990</v>
      </c>
      <c r="D898" s="1">
        <v>26</v>
      </c>
      <c r="E898" s="2">
        <v>84</v>
      </c>
      <c r="F898" s="2" t="str" cm="1">
        <f t="array" ref="F898">_xlfn.IFS(AND(101&gt;E898, E898&gt;69), "Top-Tier", AND(70&gt;E898, E898&gt;39), "Mid-Tier", 40&gt;E898, "Low-Tier")</f>
        <v>Top-Tier</v>
      </c>
      <c r="G898" s="4">
        <v>44866</v>
      </c>
      <c r="H898" t="s">
        <v>1386</v>
      </c>
      <c r="I898" t="s">
        <v>248</v>
      </c>
      <c r="J898" t="s">
        <v>184</v>
      </c>
      <c r="K898" t="s">
        <v>249</v>
      </c>
      <c r="L898" t="s">
        <v>24</v>
      </c>
      <c r="N898" t="s">
        <v>31</v>
      </c>
      <c r="O898" t="s">
        <v>152</v>
      </c>
      <c r="P898" s="3">
        <v>82</v>
      </c>
      <c r="Q898" t="str">
        <f>LEFT(B898, 4)</f>
        <v>Asus</v>
      </c>
      <c r="R898" t="str">
        <f t="shared" si="68"/>
        <v>Intel Core i5 (11th Gen)</v>
      </c>
      <c r="S898" t="str">
        <f t="shared" si="69"/>
        <v>16 GB</v>
      </c>
    </row>
    <row r="899" spans="1:19">
      <c r="A899" t="str">
        <f>LEFT(B899, LEN(B899)-15)</f>
        <v>Lenovo Legion 5 Pro 16ACH6H (82JQ011EIN) Laptop (AMD Octa Core Ryzen 7/32 GB/1 TB SSD/Windows 11/8 GB)</v>
      </c>
      <c r="B899" t="s">
        <v>1390</v>
      </c>
      <c r="C899" s="1">
        <v>120190</v>
      </c>
      <c r="D899" s="1">
        <v>111</v>
      </c>
      <c r="E899" s="2">
        <v>84</v>
      </c>
      <c r="F899" s="2" t="str" cm="1">
        <f t="array" ref="F899">_xlfn.IFS(AND(101&gt;E899, E899&gt;69), "Top-Tier", AND(70&gt;E899, E899&gt;39), "Mid-Tier", 40&gt;E899, "Low-Tier")</f>
        <v>Top-Tier</v>
      </c>
      <c r="G899" s="4">
        <v>44866</v>
      </c>
      <c r="H899" t="s">
        <v>1386</v>
      </c>
      <c r="I899" t="s">
        <v>33</v>
      </c>
      <c r="J899" t="s">
        <v>1391</v>
      </c>
      <c r="K899" t="s">
        <v>117</v>
      </c>
      <c r="L899" t="s">
        <v>24</v>
      </c>
      <c r="N899" t="s">
        <v>31</v>
      </c>
      <c r="P899" s="3">
        <v>84</v>
      </c>
      <c r="Q899" t="str">
        <f>LEFT(B899, 6)</f>
        <v>Lenovo</v>
      </c>
      <c r="R899" t="str">
        <f t="shared" si="68"/>
        <v>Intel Core i5 (11th Gen)</v>
      </c>
      <c r="S899" t="str">
        <f t="shared" si="69"/>
        <v>32 GB</v>
      </c>
    </row>
    <row r="900" spans="1:19">
      <c r="A900" t="str">
        <f>LEFT(B900, LEN(B900)-15)</f>
        <v>Asus VivoBook Pro 15 OLED M3500QC-L1502WS Laptop (AMD Hexa Core Ryzen 5/16 GB/512 SSD/Windows 11)</v>
      </c>
      <c r="B900" t="s">
        <v>1392</v>
      </c>
      <c r="C900" s="1">
        <v>77990</v>
      </c>
      <c r="D900" s="1">
        <v>63</v>
      </c>
      <c r="E900" s="2">
        <v>84</v>
      </c>
      <c r="F900" s="2" t="str" cm="1">
        <f t="array" ref="F900">_xlfn.IFS(AND(101&gt;E900, E900&gt;69), "Top-Tier", AND(70&gt;E900, E900&gt;39), "Mid-Tier", 40&gt;E900, "Low-Tier")</f>
        <v>Top-Tier</v>
      </c>
      <c r="G900" s="4">
        <v>44866</v>
      </c>
      <c r="H900" t="s">
        <v>1386</v>
      </c>
      <c r="I900" t="s">
        <v>33</v>
      </c>
      <c r="J900" t="s">
        <v>1393</v>
      </c>
      <c r="K900" t="s">
        <v>215</v>
      </c>
      <c r="L900" t="s">
        <v>24</v>
      </c>
      <c r="M900" t="s">
        <v>52</v>
      </c>
      <c r="N900" t="s">
        <v>31</v>
      </c>
      <c r="O900" t="s">
        <v>254</v>
      </c>
      <c r="Q900" t="str">
        <f>LEFT(B900, 4)</f>
        <v>Asus</v>
      </c>
      <c r="R900" t="str">
        <f t="shared" si="68"/>
        <v>Intel Core i5 (11th Gen)</v>
      </c>
      <c r="S900" t="str">
        <f t="shared" si="69"/>
        <v>16 GB</v>
      </c>
    </row>
    <row r="901" spans="1:19">
      <c r="A901" t="str">
        <f>LEFT(B901, LEN(B901)-15)</f>
        <v>Lenovo V15 Gen 2 (82KBA02UIH) Laptop (Core i3 11th Gen/8 GB/256 GB SSD/Windows 11)</v>
      </c>
      <c r="B901" t="s">
        <v>1394</v>
      </c>
      <c r="C901" s="1">
        <v>30950</v>
      </c>
      <c r="D901" s="1">
        <v>20</v>
      </c>
      <c r="E901" s="2">
        <v>84</v>
      </c>
      <c r="F901" s="2" t="str" cm="1">
        <f t="array" ref="F901">_xlfn.IFS(AND(101&gt;E901, E901&gt;69), "Top-Tier", AND(70&gt;E901, E901&gt;39), "Mid-Tier", 40&gt;E901, "Low-Tier")</f>
        <v>Top-Tier</v>
      </c>
      <c r="G901" s="4">
        <v>44866</v>
      </c>
      <c r="H901" t="s">
        <v>1395</v>
      </c>
      <c r="I901" t="s">
        <v>33</v>
      </c>
      <c r="J901" t="s">
        <v>338</v>
      </c>
      <c r="K901" t="s">
        <v>217</v>
      </c>
      <c r="L901" t="s">
        <v>24</v>
      </c>
      <c r="M901" t="s">
        <v>253</v>
      </c>
      <c r="N901" t="s">
        <v>31</v>
      </c>
      <c r="Q901" t="str">
        <f>LEFT(B901, 6)</f>
        <v>Lenovo</v>
      </c>
      <c r="R901" t="str">
        <f t="shared" si="68"/>
        <v>Intel Core i5 (11th Gen)</v>
      </c>
      <c r="S901" t="str">
        <f t="shared" si="69"/>
        <v xml:space="preserve">8 GB </v>
      </c>
    </row>
    <row r="902" spans="1:19">
      <c r="A902" t="str">
        <f>LEFT(B902, LEN(B902)-15)</f>
        <v>Asus ROG Zephyrus G14 GA401QM-K2330TS Laptop (AMD Octa Core Ryzen 9/16 GB/1 TB SSD/Windows 10/6 GB)</v>
      </c>
      <c r="B902" t="s">
        <v>1396</v>
      </c>
      <c r="C902" s="1">
        <v>213990</v>
      </c>
      <c r="D902" s="1">
        <v>23</v>
      </c>
      <c r="E902" s="2">
        <v>84</v>
      </c>
      <c r="F902" s="2" t="str" cm="1">
        <f t="array" ref="F902">_xlfn.IFS(AND(101&gt;E902, E902&gt;69), "Top-Tier", AND(70&gt;E902, E902&gt;39), "Mid-Tier", 40&gt;E902, "Low-Tier")</f>
        <v>Top-Tier</v>
      </c>
      <c r="G902" s="4">
        <v>44866</v>
      </c>
      <c r="H902" t="s">
        <v>1395</v>
      </c>
      <c r="I902" t="s">
        <v>248</v>
      </c>
      <c r="J902" t="s">
        <v>184</v>
      </c>
      <c r="K902" t="s">
        <v>1397</v>
      </c>
      <c r="M902" t="s">
        <v>52</v>
      </c>
      <c r="N902" t="s">
        <v>31</v>
      </c>
      <c r="O902" t="s">
        <v>152</v>
      </c>
      <c r="P902" s="3">
        <v>84</v>
      </c>
      <c r="Q902" t="str">
        <f>LEFT(B902, 4)</f>
        <v>Asus</v>
      </c>
      <c r="R902" t="str">
        <f t="shared" ref="R902:R965" si="70">LEFT(H901, 24)</f>
        <v>Intel Core i5 (11th Gen)</v>
      </c>
      <c r="S902" t="str">
        <f t="shared" si="69"/>
        <v>16 GB</v>
      </c>
    </row>
    <row r="903" spans="1:19">
      <c r="A903" t="str">
        <f>LEFT(B903, LEN(B903)-15)</f>
        <v>Acer Swift Go SFG14-41 (NX.KG3SI.002) Laptop (AMD Hexa Core Ryzen 5/8 GB/512 GB SSD/Windows 11)</v>
      </c>
      <c r="B903" t="s">
        <v>1398</v>
      </c>
      <c r="C903" s="1">
        <v>70999</v>
      </c>
      <c r="D903" s="1">
        <v>34</v>
      </c>
      <c r="E903" s="2">
        <v>84</v>
      </c>
      <c r="F903" s="2" t="str" cm="1">
        <f t="array" ref="F903">_xlfn.IFS(AND(101&gt;E903, E903&gt;69), "Top-Tier", AND(70&gt;E903, E903&gt;39), "Mid-Tier", 40&gt;E903, "Low-Tier")</f>
        <v>Top-Tier</v>
      </c>
      <c r="G903" s="4">
        <v>44835</v>
      </c>
      <c r="H903" t="s">
        <v>1395</v>
      </c>
      <c r="I903" t="s">
        <v>33</v>
      </c>
      <c r="J903" t="s">
        <v>494</v>
      </c>
      <c r="K903" t="s">
        <v>149</v>
      </c>
      <c r="L903" t="s">
        <v>24</v>
      </c>
      <c r="M903" t="s">
        <v>44</v>
      </c>
      <c r="N903" t="s">
        <v>31</v>
      </c>
      <c r="Q903" t="str">
        <f>LEFT(B903, 4)</f>
        <v>Acer</v>
      </c>
      <c r="R903" t="str">
        <f t="shared" si="70"/>
        <v>Intel Core i5 (11th Gen)</v>
      </c>
      <c r="S903" t="str">
        <f t="shared" si="69"/>
        <v xml:space="preserve">8 GB </v>
      </c>
    </row>
    <row r="904" spans="1:19">
      <c r="A904" t="str">
        <f>LEFT(B904, LEN(B904)-15)</f>
        <v>Infinix INBook X2 Plus XL25 Laptop (Core i3 11th Gen/8 GB/256 GB SSD/Windows 11)</v>
      </c>
      <c r="B904" t="s">
        <v>1399</v>
      </c>
      <c r="C904" s="1">
        <v>30999</v>
      </c>
      <c r="D904" s="1">
        <v>618</v>
      </c>
      <c r="E904" s="2">
        <v>84</v>
      </c>
      <c r="F904" s="2" t="str" cm="1">
        <f t="array" ref="F904">_xlfn.IFS(AND(101&gt;E904, E904&gt;69), "Top-Tier", AND(70&gt;E904, E904&gt;39), "Mid-Tier", 40&gt;E904, "Low-Tier")</f>
        <v>Top-Tier</v>
      </c>
      <c r="G904" s="4">
        <v>44835</v>
      </c>
      <c r="H904" t="s">
        <v>1400</v>
      </c>
      <c r="I904" t="s">
        <v>33</v>
      </c>
      <c r="J904" t="s">
        <v>798</v>
      </c>
      <c r="K904" t="s">
        <v>51</v>
      </c>
      <c r="L904" t="s">
        <v>24</v>
      </c>
      <c r="N904" t="s">
        <v>31</v>
      </c>
      <c r="O904" t="s">
        <v>261</v>
      </c>
      <c r="Q904" t="str">
        <f>LEFT(B904, 7)</f>
        <v>Infinix</v>
      </c>
      <c r="R904" t="str">
        <f t="shared" si="70"/>
        <v>Intel Core i5 (11th Gen)</v>
      </c>
      <c r="S904" t="str">
        <f t="shared" si="69"/>
        <v xml:space="preserve">8 GB </v>
      </c>
    </row>
    <row r="905" spans="1:19">
      <c r="A905" t="str">
        <f>LEFT(B905, LEN(B905)-15)</f>
        <v>Dell Vostro 3425 (D552306WIN9BE) Laptop (AMD Hexa Core Ryzen 5/8 GB/512 GB SSD/Windows 11)</v>
      </c>
      <c r="B905" t="s">
        <v>1401</v>
      </c>
      <c r="C905" s="1">
        <v>39253</v>
      </c>
      <c r="D905" s="1">
        <v>34</v>
      </c>
      <c r="E905" s="2">
        <v>84</v>
      </c>
      <c r="F905" s="2" t="str" cm="1">
        <f t="array" ref="F905">_xlfn.IFS(AND(101&gt;E905, E905&gt;69), "Top-Tier", AND(70&gt;E905, E905&gt;39), "Mid-Tier", 40&gt;E905, "Low-Tier")</f>
        <v>Top-Tier</v>
      </c>
      <c r="G905" s="4">
        <v>44835</v>
      </c>
      <c r="H905" t="s">
        <v>1400</v>
      </c>
      <c r="I905" t="s">
        <v>33</v>
      </c>
      <c r="J905" t="s">
        <v>50</v>
      </c>
      <c r="K905" t="s">
        <v>149</v>
      </c>
      <c r="L905" t="s">
        <v>24</v>
      </c>
      <c r="N905" t="s">
        <v>31</v>
      </c>
      <c r="Q905" t="str">
        <f>LEFT(B905, 4)</f>
        <v>Dell</v>
      </c>
      <c r="R905" t="str">
        <f t="shared" si="70"/>
        <v>Intel Core i5 (11th Gen)</v>
      </c>
      <c r="S905" t="str">
        <f t="shared" si="69"/>
        <v xml:space="preserve">8 GB </v>
      </c>
    </row>
    <row r="906" spans="1:19">
      <c r="A906" t="str">
        <f>LEFT(B906, LEN(B906)-15)</f>
        <v>Dell Vostro 5625 (D552295WIN9S) Laptop (AMD Hexa Core Ryzen 5/8 GB/512 GB SSD/Windows 11)</v>
      </c>
      <c r="B906" t="s">
        <v>1402</v>
      </c>
      <c r="C906" s="1">
        <v>63331</v>
      </c>
      <c r="D906" s="1">
        <v>4</v>
      </c>
      <c r="E906" s="2">
        <v>84</v>
      </c>
      <c r="F906" s="2" t="str" cm="1">
        <f t="array" ref="F906">_xlfn.IFS(AND(101&gt;E906, E906&gt;69), "Top-Tier", AND(70&gt;E906, E906&gt;39), "Mid-Tier", 40&gt;E906, "Low-Tier")</f>
        <v>Top-Tier</v>
      </c>
      <c r="G906" s="4">
        <v>44835</v>
      </c>
      <c r="H906" t="s">
        <v>1400</v>
      </c>
      <c r="I906" t="s">
        <v>33</v>
      </c>
      <c r="J906" t="s">
        <v>50</v>
      </c>
      <c r="K906" t="s">
        <v>1110</v>
      </c>
      <c r="L906" t="s">
        <v>24</v>
      </c>
      <c r="M906" t="s">
        <v>74</v>
      </c>
      <c r="N906" t="s">
        <v>31</v>
      </c>
      <c r="Q906" t="str">
        <f>LEFT(B906, 4)</f>
        <v>Dell</v>
      </c>
      <c r="R906" t="str">
        <f t="shared" si="70"/>
        <v>Intel Core i5 (11th Gen)</v>
      </c>
      <c r="S906" t="str">
        <f t="shared" si="69"/>
        <v xml:space="preserve">8 GB </v>
      </c>
    </row>
    <row r="907" spans="1:19">
      <c r="A907" t="str">
        <f>LEFT(B907, LEN(B907)-15)</f>
        <v>Gigabyte G5 GD-51IN123SE (RC45GD) Laptop (Core i5 11th Gen/16 GB/512 GB SSD/Windows 11/4 GB)</v>
      </c>
      <c r="B907" t="s">
        <v>1403</v>
      </c>
      <c r="C907" s="1">
        <v>49999</v>
      </c>
      <c r="D907" s="1">
        <v>60</v>
      </c>
      <c r="E907" s="2">
        <v>84</v>
      </c>
      <c r="F907" s="2" t="str" cm="1">
        <f t="array" ref="F907">_xlfn.IFS(AND(101&gt;E907, E907&gt;69), "Top-Tier", AND(70&gt;E907, E907&gt;39), "Mid-Tier", 40&gt;E907, "Low-Tier")</f>
        <v>Top-Tier</v>
      </c>
      <c r="G907" s="4">
        <v>44835</v>
      </c>
      <c r="H907" t="s">
        <v>1400</v>
      </c>
      <c r="I907" t="s">
        <v>33</v>
      </c>
      <c r="J907" t="s">
        <v>34</v>
      </c>
      <c r="K907" t="s">
        <v>51</v>
      </c>
      <c r="L907" t="s">
        <v>24</v>
      </c>
      <c r="N907" t="s">
        <v>31</v>
      </c>
      <c r="P907" s="3">
        <v>78</v>
      </c>
      <c r="Q907" t="str">
        <f>LEFT(B907, 8)</f>
        <v>Gigabyte</v>
      </c>
      <c r="R907" t="str">
        <f t="shared" si="70"/>
        <v>Intel Core i5 (11th Gen)</v>
      </c>
      <c r="S907" t="str">
        <f t="shared" si="69"/>
        <v>16 GB</v>
      </c>
    </row>
    <row r="908" spans="1:19">
      <c r="A908" t="str">
        <f>LEFT(B908, LEN(B908)-15)</f>
        <v>Dell Inspiron 15 3521 (D560757WIN9S) Laptop (Intel Pentium Quad Core/8 GB/256 GB SSD/Windows 11)</v>
      </c>
      <c r="B908" t="s">
        <v>1404</v>
      </c>
      <c r="C908" s="1">
        <v>36990</v>
      </c>
      <c r="D908" s="1">
        <v>22</v>
      </c>
      <c r="E908" s="2">
        <v>84</v>
      </c>
      <c r="F908" s="2" t="str" cm="1">
        <f t="array" ref="F908">_xlfn.IFS(AND(101&gt;E908, E908&gt;69), "Top-Tier", AND(70&gt;E908, E908&gt;39), "Mid-Tier", 40&gt;E908, "Low-Tier")</f>
        <v>Top-Tier</v>
      </c>
      <c r="G908" s="4">
        <v>44835</v>
      </c>
      <c r="H908" t="s">
        <v>1400</v>
      </c>
      <c r="I908" t="s">
        <v>33</v>
      </c>
      <c r="J908" t="s">
        <v>338</v>
      </c>
      <c r="K908" t="s">
        <v>674</v>
      </c>
      <c r="L908" t="s">
        <v>24</v>
      </c>
      <c r="M908" t="s">
        <v>122</v>
      </c>
      <c r="N908" t="s">
        <v>31</v>
      </c>
      <c r="Q908" t="str">
        <f>LEFT(B908, 4)</f>
        <v>Dell</v>
      </c>
      <c r="R908" t="str">
        <f t="shared" si="70"/>
        <v>Intel Core i5 (11th Gen)</v>
      </c>
      <c r="S908" t="str">
        <f t="shared" si="69"/>
        <v xml:space="preserve">8 GB </v>
      </c>
    </row>
    <row r="909" spans="1:19">
      <c r="A909" t="str">
        <f>LEFT(B909, LEN(B909)-15)</f>
        <v>Fujitsu UH-X 4ZR1K06212 Laptop (Core i7 12th Gen/16 GB/512 GB SSD/Windows 11)</v>
      </c>
      <c r="B909" t="s">
        <v>1405</v>
      </c>
      <c r="C909" s="1">
        <v>79990</v>
      </c>
      <c r="D909" s="1">
        <v>148</v>
      </c>
      <c r="E909" s="2">
        <v>84</v>
      </c>
      <c r="F909" s="2" t="str" cm="1">
        <f t="array" ref="F909">_xlfn.IFS(AND(101&gt;E909, E909&gt;69), "Top-Tier", AND(70&gt;E909, E909&gt;39), "Mid-Tier", 40&gt;E909, "Low-Tier")</f>
        <v>Top-Tier</v>
      </c>
      <c r="G909" s="4">
        <v>44835</v>
      </c>
      <c r="H909" t="s">
        <v>1400</v>
      </c>
      <c r="I909" t="s">
        <v>33</v>
      </c>
      <c r="J909" t="s">
        <v>214</v>
      </c>
      <c r="K909" t="s">
        <v>1406</v>
      </c>
      <c r="L909" t="s">
        <v>24</v>
      </c>
      <c r="M909" t="s">
        <v>30</v>
      </c>
      <c r="N909" t="s">
        <v>31</v>
      </c>
      <c r="P909" s="3">
        <v>77</v>
      </c>
      <c r="Q909" t="str">
        <f>LEFT(B909, 7)</f>
        <v>Fujitsu</v>
      </c>
      <c r="R909" t="str">
        <f t="shared" si="70"/>
        <v>Intel Core i5 (11th Gen)</v>
      </c>
      <c r="S909" t="str">
        <f t="shared" si="69"/>
        <v>16 GB</v>
      </c>
    </row>
    <row r="910" spans="1:19">
      <c r="A910" t="str">
        <f>LEFT(B910, LEN(B910)-15)</f>
        <v>Dell Inspiron 15 3520 (D560879WIN9S) Laptop (Core i5 12th Gen/16 GB/512 GB SSD/Windows 11)</v>
      </c>
      <c r="B910" t="s">
        <v>1407</v>
      </c>
      <c r="C910" s="1">
        <v>51999</v>
      </c>
      <c r="D910" s="1">
        <v>189</v>
      </c>
      <c r="E910" s="2">
        <v>84</v>
      </c>
      <c r="F910" s="2" t="str" cm="1">
        <f t="array" ref="F910">_xlfn.IFS(AND(101&gt;E910, E910&gt;69), "Top-Tier", AND(70&gt;E910, E910&gt;39), "Mid-Tier", 40&gt;E910, "Low-Tier")</f>
        <v>Top-Tier</v>
      </c>
      <c r="G910" s="4">
        <v>44805</v>
      </c>
      <c r="H910" t="s">
        <v>1400</v>
      </c>
      <c r="I910" t="s">
        <v>33</v>
      </c>
      <c r="J910" t="s">
        <v>34</v>
      </c>
      <c r="K910" t="s">
        <v>159</v>
      </c>
      <c r="L910" t="s">
        <v>24</v>
      </c>
      <c r="M910" t="s">
        <v>138</v>
      </c>
      <c r="N910" t="s">
        <v>31</v>
      </c>
      <c r="P910" s="3">
        <v>75</v>
      </c>
      <c r="Q910" t="str">
        <f>LEFT(B910, 4)</f>
        <v>Dell</v>
      </c>
      <c r="R910" t="str">
        <f t="shared" si="70"/>
        <v>Intel Core i5 (11th Gen)</v>
      </c>
      <c r="S910" t="str">
        <f t="shared" si="69"/>
        <v>16 GB</v>
      </c>
    </row>
    <row r="911" spans="1:19">
      <c r="A911" t="str">
        <f>LEFT(B911, LEN(B911)-15)</f>
        <v>Lenovo V14 (82KA00LKIH) Laptop (Core i5 11th Gen/8 GB/256 GB SSD/Windows 10)</v>
      </c>
      <c r="B911" t="s">
        <v>1408</v>
      </c>
      <c r="C911" s="1">
        <v>41980</v>
      </c>
      <c r="D911" s="1">
        <v>18</v>
      </c>
      <c r="E911" s="2">
        <v>84</v>
      </c>
      <c r="F911" s="2" t="str" cm="1">
        <f t="array" ref="F911">_xlfn.IFS(AND(101&gt;E911, E911&gt;69), "Top-Tier", AND(70&gt;E911, E911&gt;39), "Mid-Tier", 40&gt;E911, "Low-Tier")</f>
        <v>Top-Tier</v>
      </c>
      <c r="G911" s="4">
        <v>44805</v>
      </c>
      <c r="H911" t="s">
        <v>1400</v>
      </c>
      <c r="I911" t="s">
        <v>248</v>
      </c>
      <c r="J911" t="s">
        <v>338</v>
      </c>
      <c r="K911" t="s">
        <v>439</v>
      </c>
      <c r="L911" t="s">
        <v>24</v>
      </c>
      <c r="M911" t="s">
        <v>52</v>
      </c>
      <c r="N911" t="s">
        <v>31</v>
      </c>
      <c r="Q911" t="str">
        <f>LEFT(B911, 6)</f>
        <v>Lenovo</v>
      </c>
      <c r="R911" t="str">
        <f t="shared" si="70"/>
        <v>Intel Core i5 (11th Gen)</v>
      </c>
      <c r="S911" t="str">
        <f t="shared" si="69"/>
        <v xml:space="preserve">8 GB </v>
      </c>
    </row>
    <row r="912" spans="1:19">
      <c r="A912" t="str">
        <f>LEFT(B912, LEN(B912)-15)</f>
        <v>Dell Vostro 3401 (D552224WIN9D) Laptop (Core i3 10th Gen/8 GB/512 GB SSD/Windows 11)</v>
      </c>
      <c r="B912" t="s">
        <v>1409</v>
      </c>
      <c r="C912" s="1">
        <v>43325</v>
      </c>
      <c r="D912" s="1">
        <v>80</v>
      </c>
      <c r="E912" s="2">
        <v>84</v>
      </c>
      <c r="F912" s="2" t="str" cm="1">
        <f t="array" ref="F912">_xlfn.IFS(AND(101&gt;E912, E912&gt;69), "Top-Tier", AND(70&gt;E912, E912&gt;39), "Mid-Tier", 40&gt;E912, "Low-Tier")</f>
        <v>Top-Tier</v>
      </c>
      <c r="G912" s="4">
        <v>44805</v>
      </c>
      <c r="H912" t="s">
        <v>1400</v>
      </c>
      <c r="I912" t="s">
        <v>33</v>
      </c>
      <c r="J912" t="s">
        <v>50</v>
      </c>
      <c r="K912" t="s">
        <v>149</v>
      </c>
      <c r="L912" t="s">
        <v>24</v>
      </c>
      <c r="M912" t="s">
        <v>52</v>
      </c>
      <c r="N912" t="s">
        <v>31</v>
      </c>
      <c r="Q912" t="str">
        <f>LEFT(B912, 4)</f>
        <v>Dell</v>
      </c>
      <c r="R912" t="str">
        <f t="shared" si="70"/>
        <v>Intel Core i5 (11th Gen)</v>
      </c>
      <c r="S912" t="str">
        <f t="shared" si="69"/>
        <v xml:space="preserve">8 GB </v>
      </c>
    </row>
    <row r="913" spans="1:19">
      <c r="A913" t="str">
        <f>LEFT(B913, LEN(B913)-15)</f>
        <v>MSI CreatorPro M16 A12UIS-634IN Laptop (Core i7 12th Gen/16 GB/1 TB SSD/Windows 11/4 GB)</v>
      </c>
      <c r="B913" t="s">
        <v>1410</v>
      </c>
      <c r="C913" s="1">
        <v>86700</v>
      </c>
      <c r="D913" s="1">
        <v>45</v>
      </c>
      <c r="E913" s="2">
        <v>84</v>
      </c>
      <c r="F913" s="2" t="str" cm="1">
        <f t="array" ref="F913">_xlfn.IFS(AND(101&gt;E913, E913&gt;69), "Top-Tier", AND(70&gt;E913, E913&gt;39), "Mid-Tier", 40&gt;E913, "Low-Tier")</f>
        <v>Top-Tier</v>
      </c>
      <c r="G913" s="4">
        <v>44805</v>
      </c>
      <c r="H913" t="s">
        <v>1400</v>
      </c>
      <c r="I913" t="s">
        <v>33</v>
      </c>
      <c r="J913" t="s">
        <v>184</v>
      </c>
      <c r="K913" t="s">
        <v>1411</v>
      </c>
      <c r="L913" t="s">
        <v>24</v>
      </c>
      <c r="N913" t="s">
        <v>31</v>
      </c>
      <c r="P913" s="3">
        <v>83</v>
      </c>
      <c r="Q913" t="str">
        <f>LEFT(B913, 3)</f>
        <v>MSI</v>
      </c>
      <c r="R913" t="str">
        <f t="shared" si="70"/>
        <v>Intel Core i5 (11th Gen)</v>
      </c>
      <c r="S913" t="str">
        <f t="shared" si="69"/>
        <v>16 GB</v>
      </c>
    </row>
    <row r="914" spans="1:19">
      <c r="A914" t="str">
        <f>LEFT(B914, LEN(B914)-15)</f>
        <v>MSI Vector GP76 12UGSO-868IN Laptop (Core i7 12th Gen/16 GB/1 TB SSD/Windows 11/8 GB)</v>
      </c>
      <c r="B914" t="s">
        <v>1412</v>
      </c>
      <c r="C914" s="1">
        <v>144711</v>
      </c>
      <c r="D914" s="1">
        <v>13</v>
      </c>
      <c r="E914" s="2">
        <v>84</v>
      </c>
      <c r="F914" s="2" t="str" cm="1">
        <f t="array" ref="F914">_xlfn.IFS(AND(101&gt;E914, E914&gt;69), "Top-Tier", AND(70&gt;E914, E914&gt;39), "Mid-Tier", 40&gt;E914, "Low-Tier")</f>
        <v>Top-Tier</v>
      </c>
      <c r="G914" s="4">
        <v>44805</v>
      </c>
      <c r="H914" t="s">
        <v>1400</v>
      </c>
      <c r="I914" t="s">
        <v>33</v>
      </c>
      <c r="J914" t="s">
        <v>72</v>
      </c>
      <c r="K914" t="s">
        <v>565</v>
      </c>
      <c r="L914" t="s">
        <v>24</v>
      </c>
      <c r="N914" t="s">
        <v>31</v>
      </c>
      <c r="P914" s="3">
        <v>86</v>
      </c>
      <c r="Q914" t="str">
        <f>LEFT(B914, 3)</f>
        <v>MSI</v>
      </c>
      <c r="R914" t="str">
        <f t="shared" si="70"/>
        <v>Intel Core i5 (11th Gen)</v>
      </c>
      <c r="S914" t="str">
        <f t="shared" si="69"/>
        <v>16 GB</v>
      </c>
    </row>
    <row r="915" spans="1:19">
      <c r="A915" t="str">
        <f>LEFT(B915, LEN(B915)-15)</f>
        <v>Lenovo Thinkpad E14 (21E3S04W00) Laptop (Core i5 12th Gen/16 GB/512 GB SSD/Windows 11)</v>
      </c>
      <c r="B915" t="s">
        <v>1413</v>
      </c>
      <c r="C915" s="1">
        <v>74700</v>
      </c>
      <c r="D915" s="1">
        <v>184</v>
      </c>
      <c r="E915" s="2">
        <v>84</v>
      </c>
      <c r="F915" s="2" t="str" cm="1">
        <f t="array" ref="F915">_xlfn.IFS(AND(101&gt;E915, E915&gt;69), "Top-Tier", AND(70&gt;E915, E915&gt;39), "Mid-Tier", 40&gt;E915, "Low-Tier")</f>
        <v>Top-Tier</v>
      </c>
      <c r="G915" s="4">
        <v>44805</v>
      </c>
      <c r="H915" t="s">
        <v>1400</v>
      </c>
      <c r="I915" t="s">
        <v>33</v>
      </c>
      <c r="J915" t="s">
        <v>34</v>
      </c>
      <c r="K915" t="s">
        <v>149</v>
      </c>
      <c r="L915" t="s">
        <v>24</v>
      </c>
      <c r="M915" t="s">
        <v>135</v>
      </c>
      <c r="N915" t="s">
        <v>31</v>
      </c>
      <c r="Q915" t="str">
        <f>LEFT(B915, 6)</f>
        <v>Lenovo</v>
      </c>
      <c r="R915" t="str">
        <f t="shared" si="70"/>
        <v>Intel Core i5 (11th Gen)</v>
      </c>
      <c r="S915" t="str">
        <f t="shared" si="69"/>
        <v>16 GB</v>
      </c>
    </row>
    <row r="916" spans="1:19">
      <c r="A916" t="str">
        <f>LEFT(B916, LEN(B916)-15)</f>
        <v>Lenovo Thinkpad E14 Gen 4 (21E3S04U00) Laptop (Core i5 12th Gen/16 GB/1 TB SSD/Windows 11)</v>
      </c>
      <c r="B916" t="s">
        <v>1414</v>
      </c>
      <c r="C916" s="1">
        <v>78000</v>
      </c>
      <c r="D916" s="1">
        <v>166</v>
      </c>
      <c r="E916" s="2">
        <v>84</v>
      </c>
      <c r="F916" s="2" t="str" cm="1">
        <f t="array" ref="F916">_xlfn.IFS(AND(101&gt;E916, E916&gt;69), "Top-Tier", AND(70&gt;E916, E916&gt;39), "Mid-Tier", 40&gt;E916, "Low-Tier")</f>
        <v>Top-Tier</v>
      </c>
      <c r="G916" s="4">
        <v>44805</v>
      </c>
      <c r="H916" t="s">
        <v>1415</v>
      </c>
      <c r="I916" t="s">
        <v>33</v>
      </c>
      <c r="J916" t="s">
        <v>184</v>
      </c>
      <c r="K916" t="s">
        <v>1140</v>
      </c>
      <c r="L916" t="s">
        <v>24</v>
      </c>
      <c r="M916" t="s">
        <v>135</v>
      </c>
      <c r="N916" t="s">
        <v>31</v>
      </c>
      <c r="P916" s="3">
        <v>80</v>
      </c>
      <c r="Q916" t="str">
        <f>LEFT(B916, 6)</f>
        <v>Lenovo</v>
      </c>
      <c r="R916" t="str">
        <f t="shared" si="70"/>
        <v>Intel Core i5 (11th Gen)</v>
      </c>
      <c r="S916" t="str">
        <f t="shared" si="69"/>
        <v>16 GB</v>
      </c>
    </row>
    <row r="917" spans="1:19">
      <c r="A917" t="str">
        <f>LEFT(B917, LEN(B917)-15)</f>
        <v>Lenovo Ideapad Gaming 3 (82SA00B2IN) Laptop (Core i7 12th Gen/16 GB/512 GB SSD/Windows 11/6 GB)</v>
      </c>
      <c r="B917" t="s">
        <v>1416</v>
      </c>
      <c r="C917" s="1">
        <v>96990</v>
      </c>
      <c r="D917" s="1">
        <v>46</v>
      </c>
      <c r="E917" s="2">
        <v>84</v>
      </c>
      <c r="F917" s="2" t="str" cm="1">
        <f t="array" ref="F917">_xlfn.IFS(AND(101&gt;E917, E917&gt;69), "Top-Tier", AND(70&gt;E917, E917&gt;39), "Mid-Tier", 40&gt;E917, "Low-Tier")</f>
        <v>Top-Tier</v>
      </c>
      <c r="G917" s="4">
        <v>44805</v>
      </c>
      <c r="H917" t="s">
        <v>1415</v>
      </c>
      <c r="I917" t="s">
        <v>33</v>
      </c>
      <c r="J917" t="s">
        <v>34</v>
      </c>
      <c r="K917" t="s">
        <v>1417</v>
      </c>
      <c r="L917" t="s">
        <v>24</v>
      </c>
      <c r="M917" t="s">
        <v>237</v>
      </c>
      <c r="N917" t="s">
        <v>31</v>
      </c>
      <c r="O917" t="s">
        <v>261</v>
      </c>
      <c r="P917" s="3">
        <v>83</v>
      </c>
      <c r="Q917" t="str">
        <f>LEFT(B917, 6)</f>
        <v>Lenovo</v>
      </c>
      <c r="R917" t="str">
        <f t="shared" si="70"/>
        <v>Intel Core i5 (11th Gen)</v>
      </c>
      <c r="S917" t="str">
        <f t="shared" si="69"/>
        <v>16 GB</v>
      </c>
    </row>
    <row r="918" spans="1:19">
      <c r="A918" t="str">
        <f>LEFT(B918, LEN(B918)-15)</f>
        <v>Asus VivoBook 14 X1402ZA-MW311WS Laptop (Core i3 12th Gen/8 GB/512 GB SSD/Windows 11)</v>
      </c>
      <c r="B918" t="s">
        <v>1418</v>
      </c>
      <c r="C918" s="1">
        <v>35990</v>
      </c>
      <c r="D918" s="1">
        <v>245</v>
      </c>
      <c r="E918" s="2">
        <v>84</v>
      </c>
      <c r="F918" s="2" t="str" cm="1">
        <f t="array" ref="F918">_xlfn.IFS(AND(101&gt;E918, E918&gt;69), "Top-Tier", AND(70&gt;E918, E918&gt;39), "Mid-Tier", 40&gt;E918, "Low-Tier")</f>
        <v>Top-Tier</v>
      </c>
      <c r="G918" s="4">
        <v>44805</v>
      </c>
      <c r="H918" t="s">
        <v>1415</v>
      </c>
      <c r="I918" t="s">
        <v>33</v>
      </c>
      <c r="J918" t="s">
        <v>50</v>
      </c>
      <c r="K918" t="s">
        <v>149</v>
      </c>
      <c r="L918" t="s">
        <v>24</v>
      </c>
      <c r="M918" t="s">
        <v>52</v>
      </c>
      <c r="N918" t="s">
        <v>31</v>
      </c>
      <c r="P918" s="3">
        <v>73</v>
      </c>
      <c r="Q918" t="str">
        <f>LEFT(B918, 4)</f>
        <v>Asus</v>
      </c>
      <c r="R918" t="str">
        <f t="shared" si="70"/>
        <v>Intel Core i5 (11th Gen)</v>
      </c>
      <c r="S918" t="str">
        <f t="shared" si="69"/>
        <v xml:space="preserve">8 GB </v>
      </c>
    </row>
    <row r="919" spans="1:19">
      <c r="A919" t="str">
        <f>LEFT(B919, LEN(B919)-15)</f>
        <v>Lenovo Ideapad Slim 5 Gen 6 (82LN00JSIN) Laptop (AMD Octa Core Ryzen 7/16 GB/512 GB SSD/Windows 11)</v>
      </c>
      <c r="B919" t="s">
        <v>1419</v>
      </c>
      <c r="C919" s="1">
        <v>61500</v>
      </c>
      <c r="D919" s="1">
        <v>141</v>
      </c>
      <c r="E919" s="2">
        <v>84</v>
      </c>
      <c r="F919" s="2" t="str" cm="1">
        <f t="array" ref="F919">_xlfn.IFS(AND(101&gt;E919, E919&gt;69), "Top-Tier", AND(70&gt;E919, E919&gt;39), "Mid-Tier", 40&gt;E919, "Low-Tier")</f>
        <v>Top-Tier</v>
      </c>
      <c r="G919" s="4">
        <v>44774</v>
      </c>
      <c r="H919" t="s">
        <v>1415</v>
      </c>
      <c r="I919" t="s">
        <v>33</v>
      </c>
      <c r="J919" t="s">
        <v>34</v>
      </c>
      <c r="K919" t="s">
        <v>51</v>
      </c>
      <c r="L919" t="s">
        <v>24</v>
      </c>
      <c r="M919" t="s">
        <v>95</v>
      </c>
      <c r="N919" t="s">
        <v>31</v>
      </c>
      <c r="P919" s="3">
        <v>71</v>
      </c>
      <c r="Q919" t="str">
        <f>LEFT(B919, 6)</f>
        <v>Lenovo</v>
      </c>
      <c r="R919" t="str">
        <f t="shared" si="70"/>
        <v>Intel Core i5 (11th Gen)</v>
      </c>
      <c r="S919" t="str">
        <f t="shared" si="69"/>
        <v>16 GB</v>
      </c>
    </row>
    <row r="920" spans="1:19">
      <c r="A920" t="str">
        <f>LEFT(B920, LEN(B920)-15)</f>
        <v>Dell Inspiron 15 3515 (D560702WIN9BE) Laptop (AMD Dual Core Athlon/4 GB/256 GB SSD/Windows 11)</v>
      </c>
      <c r="B920" t="s">
        <v>1420</v>
      </c>
      <c r="C920" s="1">
        <v>30001</v>
      </c>
      <c r="D920" s="1">
        <v>845</v>
      </c>
      <c r="E920" s="2">
        <v>84</v>
      </c>
      <c r="F920" s="2" t="str" cm="1">
        <f t="array" ref="F920">_xlfn.IFS(AND(101&gt;E920, E920&gt;69), "Top-Tier", AND(70&gt;E920, E920&gt;39), "Mid-Tier", 40&gt;E920, "Low-Tier")</f>
        <v>Top-Tier</v>
      </c>
      <c r="G920" s="4">
        <v>44774</v>
      </c>
      <c r="H920" t="s">
        <v>1415</v>
      </c>
      <c r="I920" t="s">
        <v>33</v>
      </c>
      <c r="J920" t="s">
        <v>698</v>
      </c>
      <c r="K920" t="s">
        <v>159</v>
      </c>
      <c r="L920" t="s">
        <v>24</v>
      </c>
      <c r="N920" t="s">
        <v>31</v>
      </c>
      <c r="Q920" t="str">
        <f>LEFT(B920, 4)</f>
        <v>Dell</v>
      </c>
      <c r="R920" t="str">
        <f t="shared" si="70"/>
        <v>Intel Core i5 (11th Gen)</v>
      </c>
      <c r="S920" t="str">
        <f t="shared" si="69"/>
        <v xml:space="preserve">4 GB </v>
      </c>
    </row>
    <row r="921" spans="1:19">
      <c r="A921" t="str">
        <f>LEFT(B921, LEN(B921)-15)</f>
        <v>Asus VivoBook Gaming F571LH-AL434T Laptop (Core i7 10th Gen/16 GB/1 TB 256 GB SSD/Windows 10/4 GB)</v>
      </c>
      <c r="B921" t="s">
        <v>1421</v>
      </c>
      <c r="C921" s="1">
        <v>68890</v>
      </c>
      <c r="D921" s="1">
        <v>166</v>
      </c>
      <c r="E921" s="2">
        <v>84</v>
      </c>
      <c r="F921" s="2" t="str" cm="1">
        <f t="array" ref="F921">_xlfn.IFS(AND(101&gt;E921, E921&gt;69), "Top-Tier", AND(70&gt;E921, E921&gt;39), "Mid-Tier", 40&gt;E921, "Low-Tier")</f>
        <v>Top-Tier</v>
      </c>
      <c r="G921" s="4">
        <v>44774</v>
      </c>
      <c r="H921" t="s">
        <v>1415</v>
      </c>
      <c r="I921" t="s">
        <v>248</v>
      </c>
      <c r="J921" t="s">
        <v>315</v>
      </c>
      <c r="K921" t="s">
        <v>249</v>
      </c>
      <c r="L921" t="s">
        <v>24</v>
      </c>
      <c r="M921" t="s">
        <v>237</v>
      </c>
      <c r="N921" t="s">
        <v>31</v>
      </c>
      <c r="P921" s="3">
        <v>76</v>
      </c>
      <c r="Q921" t="str">
        <f>LEFT(B921, 4)</f>
        <v>Asus</v>
      </c>
      <c r="R921" t="str">
        <f t="shared" si="70"/>
        <v>Intel Core i5 (11th Gen)</v>
      </c>
      <c r="S921" t="str">
        <f t="shared" si="69"/>
        <v>16 GB</v>
      </c>
    </row>
    <row r="922" spans="1:19">
      <c r="A922" t="str">
        <f>LEFT(B922, LEN(B922)-15)</f>
        <v>HP Pavilion x360 14-dy0212TU (6N0L9PA) Laptop (Core i3 11th Gen/8 GB/256 GB SSD/Windows 11)</v>
      </c>
      <c r="B922" t="s">
        <v>1422</v>
      </c>
      <c r="C922" s="1">
        <v>42990</v>
      </c>
      <c r="D922" s="1">
        <v>235</v>
      </c>
      <c r="E922" s="2">
        <v>84</v>
      </c>
      <c r="F922" s="2" t="str" cm="1">
        <f t="array" ref="F922">_xlfn.IFS(AND(101&gt;E922, E922&gt;69), "Top-Tier", AND(70&gt;E922, E922&gt;39), "Mid-Tier", 40&gt;E922, "Low-Tier")</f>
        <v>Top-Tier</v>
      </c>
      <c r="G922" s="4">
        <v>44774</v>
      </c>
      <c r="H922" t="s">
        <v>1415</v>
      </c>
      <c r="I922" t="s">
        <v>33</v>
      </c>
      <c r="J922" t="s">
        <v>338</v>
      </c>
      <c r="K922" t="s">
        <v>224</v>
      </c>
      <c r="L922" t="s">
        <v>24</v>
      </c>
      <c r="M922" t="s">
        <v>540</v>
      </c>
      <c r="N922" t="s">
        <v>31</v>
      </c>
      <c r="Q922" t="str">
        <f>LEFT(B922, 2)</f>
        <v>HP</v>
      </c>
      <c r="R922" t="str">
        <f t="shared" si="70"/>
        <v>Intel Core i5 (11th Gen)</v>
      </c>
      <c r="S922" t="str">
        <f t="shared" si="69"/>
        <v xml:space="preserve">8 GB </v>
      </c>
    </row>
    <row r="923" spans="1:19">
      <c r="A923" t="str">
        <f>LEFT(B923, LEN(B923)-15)</f>
        <v>HP 15s-ey1508AU (6Q0N0PA) Laptop (AMD Dual Core Ryzen 3/8 GB/256 GB SSD/Windows 11)</v>
      </c>
      <c r="B923" t="s">
        <v>1423</v>
      </c>
      <c r="C923" s="1">
        <v>29990</v>
      </c>
      <c r="D923" s="1">
        <v>4496</v>
      </c>
      <c r="E923" s="2">
        <v>84</v>
      </c>
      <c r="F923" s="2" t="str" cm="1">
        <f t="array" ref="F923">_xlfn.IFS(AND(101&gt;E923, E923&gt;69), "Top-Tier", AND(70&gt;E923, E923&gt;39), "Mid-Tier", 40&gt;E923, "Low-Tier")</f>
        <v>Top-Tier</v>
      </c>
      <c r="G923" s="4">
        <v>44774</v>
      </c>
      <c r="H923" t="s">
        <v>1415</v>
      </c>
      <c r="I923" t="s">
        <v>33</v>
      </c>
      <c r="J923" t="s">
        <v>338</v>
      </c>
      <c r="K923" t="s">
        <v>560</v>
      </c>
      <c r="L923" t="s">
        <v>24</v>
      </c>
      <c r="M923" t="s">
        <v>95</v>
      </c>
      <c r="N923" t="s">
        <v>31</v>
      </c>
      <c r="Q923" t="str">
        <f>LEFT(B923, 2)</f>
        <v>HP</v>
      </c>
      <c r="R923" t="str">
        <f t="shared" si="70"/>
        <v>Intel Core i5 (11th Gen)</v>
      </c>
      <c r="S923" t="str">
        <f t="shared" si="69"/>
        <v xml:space="preserve">8 GB </v>
      </c>
    </row>
    <row r="924" spans="1:19">
      <c r="A924" t="str">
        <f>LEFT(B924, LEN(B924)-15)</f>
        <v>Asus Vivobook S14 Flip TN3402QA-LZ511WS Laptop (AMD Hexa Core Ryzen 5/16 GB/512 GB SSD/Windows 11)</v>
      </c>
      <c r="B924" t="s">
        <v>1424</v>
      </c>
      <c r="C924" s="1">
        <v>64990</v>
      </c>
      <c r="D924" s="1">
        <v>77</v>
      </c>
      <c r="E924" s="2">
        <v>84</v>
      </c>
      <c r="F924" s="2" t="str" cm="1">
        <f t="array" ref="F924">_xlfn.IFS(AND(101&gt;E924, E924&gt;69), "Top-Tier", AND(70&gt;E924, E924&gt;39), "Mid-Tier", 40&gt;E924, "Low-Tier")</f>
        <v>Top-Tier</v>
      </c>
      <c r="G924" s="4">
        <v>44774</v>
      </c>
      <c r="H924" t="s">
        <v>1415</v>
      </c>
      <c r="I924" t="s">
        <v>33</v>
      </c>
      <c r="J924" t="s">
        <v>34</v>
      </c>
      <c r="K924" t="s">
        <v>94</v>
      </c>
      <c r="L924" t="s">
        <v>24</v>
      </c>
      <c r="M924" t="s">
        <v>135</v>
      </c>
      <c r="N924" t="s">
        <v>31</v>
      </c>
      <c r="Q924" t="str">
        <f>LEFT(B924, 4)</f>
        <v>Asus</v>
      </c>
      <c r="R924" t="str">
        <f t="shared" si="70"/>
        <v>Intel Core i5 (11th Gen)</v>
      </c>
      <c r="S924" t="str">
        <f t="shared" si="69"/>
        <v>16 GB</v>
      </c>
    </row>
    <row r="925" spans="1:19">
      <c r="A925" t="str">
        <f>LEFT(B925, LEN(B925)-15)</f>
        <v>Asus VivoBook 15 X1502ZA-EZ311WS Laptop (Core i3 12th Gen/8 GB/512 GB SSD/Windows 11)</v>
      </c>
      <c r="B925" t="s">
        <v>1425</v>
      </c>
      <c r="C925" s="1">
        <v>36382</v>
      </c>
      <c r="D925" s="1">
        <v>76</v>
      </c>
      <c r="E925" s="2">
        <v>84</v>
      </c>
      <c r="F925" s="2" t="str" cm="1">
        <f t="array" ref="F925">_xlfn.IFS(AND(101&gt;E925, E925&gt;69), "Top-Tier", AND(70&gt;E925, E925&gt;39), "Mid-Tier", 40&gt;E925, "Low-Tier")</f>
        <v>Top-Tier</v>
      </c>
      <c r="G925" s="4">
        <v>44774</v>
      </c>
      <c r="H925" t="s">
        <v>1415</v>
      </c>
      <c r="I925" t="s">
        <v>33</v>
      </c>
      <c r="J925" t="s">
        <v>50</v>
      </c>
      <c r="K925" t="s">
        <v>51</v>
      </c>
      <c r="L925" t="s">
        <v>24</v>
      </c>
      <c r="M925" t="s">
        <v>253</v>
      </c>
      <c r="N925" t="s">
        <v>31</v>
      </c>
      <c r="O925" t="s">
        <v>254</v>
      </c>
      <c r="P925" s="3">
        <v>71</v>
      </c>
      <c r="Q925" t="str">
        <f>LEFT(B925, 4)</f>
        <v>Asus</v>
      </c>
      <c r="R925" t="str">
        <f t="shared" si="70"/>
        <v>Intel Core i5 (11th Gen)</v>
      </c>
      <c r="S925" t="str">
        <f t="shared" si="69"/>
        <v xml:space="preserve">8 GB </v>
      </c>
    </row>
    <row r="926" spans="1:19">
      <c r="A926" t="str">
        <f>LEFT(B926, LEN(B926)-15)</f>
        <v>Asus VivoBook 15 X1500EA-EJ322WS Laptop (Core i3 11th Gen/8 GB/512 GB SSD/Windows 11)</v>
      </c>
      <c r="B926" t="s">
        <v>1426</v>
      </c>
      <c r="C926" s="1">
        <v>31349</v>
      </c>
      <c r="D926" s="1">
        <v>99</v>
      </c>
      <c r="E926" s="2">
        <v>84</v>
      </c>
      <c r="F926" s="2" t="str" cm="1">
        <f t="array" ref="F926">_xlfn.IFS(AND(101&gt;E926, E926&gt;69), "Top-Tier", AND(70&gt;E926, E926&gt;39), "Mid-Tier", 40&gt;E926, "Low-Tier")</f>
        <v>Top-Tier</v>
      </c>
      <c r="G926" s="4">
        <v>44774</v>
      </c>
      <c r="H926" t="s">
        <v>1415</v>
      </c>
      <c r="I926" t="s">
        <v>33</v>
      </c>
      <c r="J926" t="s">
        <v>50</v>
      </c>
      <c r="K926" t="s">
        <v>159</v>
      </c>
      <c r="L926" t="s">
        <v>24</v>
      </c>
      <c r="N926" t="s">
        <v>31</v>
      </c>
      <c r="O926" t="s">
        <v>152</v>
      </c>
      <c r="Q926" t="str">
        <f>LEFT(B926, 4)</f>
        <v>Asus</v>
      </c>
      <c r="R926" t="str">
        <f t="shared" si="70"/>
        <v>Intel Core i5 (11th Gen)</v>
      </c>
      <c r="S926" t="str">
        <f t="shared" si="69"/>
        <v xml:space="preserve">8 GB </v>
      </c>
    </row>
    <row r="927" spans="1:19">
      <c r="A927" t="str">
        <f>LEFT(B927, LEN(B927)-15)</f>
        <v>Asus ROG Flow X13 GV301RE-LJ199WS Laptop (AMD Octa Core Ryzen 7/32 GB/1 TB SSD/Windows 11/4 GB)</v>
      </c>
      <c r="B927" t="s">
        <v>1427</v>
      </c>
      <c r="C927" s="1">
        <v>110862</v>
      </c>
      <c r="D927" s="1">
        <v>9</v>
      </c>
      <c r="E927" s="2">
        <v>84</v>
      </c>
      <c r="F927" s="2" t="str" cm="1">
        <f t="array" ref="F927">_xlfn.IFS(AND(101&gt;E927, E927&gt;69), "Top-Tier", AND(70&gt;E927, E927&gt;39), "Mid-Tier", 40&gt;E927, "Low-Tier")</f>
        <v>Top-Tier</v>
      </c>
      <c r="G927" s="4">
        <v>44743</v>
      </c>
      <c r="H927" t="s">
        <v>1415</v>
      </c>
      <c r="I927" t="s">
        <v>33</v>
      </c>
      <c r="J927" t="s">
        <v>457</v>
      </c>
      <c r="K927" t="s">
        <v>1428</v>
      </c>
      <c r="L927" t="s">
        <v>24</v>
      </c>
      <c r="M927" t="s">
        <v>178</v>
      </c>
      <c r="N927" t="s">
        <v>31</v>
      </c>
      <c r="P927" s="3">
        <v>84</v>
      </c>
      <c r="Q927" t="str">
        <f>LEFT(B927, 4)</f>
        <v>Asus</v>
      </c>
      <c r="R927" t="str">
        <f t="shared" si="70"/>
        <v>Intel Core i5 (11th Gen)</v>
      </c>
      <c r="S927" t="str">
        <f t="shared" si="69"/>
        <v>32 GB</v>
      </c>
    </row>
    <row r="928" spans="1:19">
      <c r="A928" t="str">
        <f>LEFT(B928, LEN(B928)-15)</f>
        <v>Lenovo Legion 5i Gen 7 (82RB00K8IN) Laptop (Core i7 12th Gen/16 GB/512 GB SSD/Windows 11/6 GB)</v>
      </c>
      <c r="B928" t="s">
        <v>1429</v>
      </c>
      <c r="C928" s="1">
        <v>126305</v>
      </c>
      <c r="D928" s="1">
        <v>30</v>
      </c>
      <c r="E928" s="2">
        <v>84</v>
      </c>
      <c r="F928" s="2" t="str" cm="1">
        <f t="array" ref="F928">_xlfn.IFS(AND(101&gt;E928, E928&gt;69), "Top-Tier", AND(70&gt;E928, E928&gt;39), "Mid-Tier", 40&gt;E928, "Low-Tier")</f>
        <v>Top-Tier</v>
      </c>
      <c r="G928" s="4">
        <v>44743</v>
      </c>
      <c r="H928" t="s">
        <v>1415</v>
      </c>
      <c r="I928" t="s">
        <v>33</v>
      </c>
      <c r="J928" t="s">
        <v>54</v>
      </c>
      <c r="K928" t="s">
        <v>256</v>
      </c>
      <c r="L928" t="s">
        <v>24</v>
      </c>
      <c r="M928" t="s">
        <v>253</v>
      </c>
      <c r="N928" t="s">
        <v>31</v>
      </c>
      <c r="P928" s="3">
        <v>86</v>
      </c>
      <c r="Q928" t="str">
        <f>LEFT(B928, 6)</f>
        <v>Lenovo</v>
      </c>
      <c r="R928" t="str">
        <f t="shared" si="70"/>
        <v>Intel Core i5 (11th Gen)</v>
      </c>
      <c r="S928" t="str">
        <f t="shared" si="69"/>
        <v>16 GB</v>
      </c>
    </row>
    <row r="929" spans="1:19">
      <c r="A929" t="str">
        <f>LEFT(B929, LEN(B929)-15)</f>
        <v>Lenovo Ideapad 3 15IAU7 (82RK00EEIN) Laptop (Core i3 12th Gen/8 GB/512 GB SSD/Windows 11)</v>
      </c>
      <c r="B929" t="s">
        <v>1430</v>
      </c>
      <c r="C929" s="1">
        <v>34990</v>
      </c>
      <c r="D929" s="1">
        <v>1142</v>
      </c>
      <c r="E929" s="2">
        <v>84</v>
      </c>
      <c r="F929" s="2" t="str" cm="1">
        <f t="array" ref="F929">_xlfn.IFS(AND(101&gt;E929, E929&gt;69), "Top-Tier", AND(70&gt;E929, E929&gt;39), "Mid-Tier", 40&gt;E929, "Low-Tier")</f>
        <v>Top-Tier</v>
      </c>
      <c r="G929" s="4">
        <v>44743</v>
      </c>
      <c r="H929" t="s">
        <v>1415</v>
      </c>
      <c r="I929" t="s">
        <v>33</v>
      </c>
      <c r="J929" t="s">
        <v>50</v>
      </c>
      <c r="K929" t="s">
        <v>217</v>
      </c>
      <c r="L929" t="s">
        <v>24</v>
      </c>
      <c r="M929" t="s">
        <v>253</v>
      </c>
      <c r="N929" t="s">
        <v>31</v>
      </c>
      <c r="P929" s="3">
        <v>73</v>
      </c>
      <c r="Q929" t="str">
        <f>LEFT(B929, 6)</f>
        <v>Lenovo</v>
      </c>
      <c r="R929" t="str">
        <f t="shared" si="70"/>
        <v>Intel Core i5 (11th Gen)</v>
      </c>
      <c r="S929" t="str">
        <f t="shared" si="69"/>
        <v xml:space="preserve">8 GB </v>
      </c>
    </row>
    <row r="930" spans="1:19">
      <c r="A930" t="str">
        <f>LEFT(B930, LEN(B930)-15)</f>
        <v>Lenovo Legion 5 Pro (82RG00AGIN) Laptop (AMD Octa Core Ryzen 7/32 GB/1 TB SSD/Windows 11/8 GB)</v>
      </c>
      <c r="B930" t="s">
        <v>1431</v>
      </c>
      <c r="C930" s="1">
        <v>125190</v>
      </c>
      <c r="D930" s="1">
        <v>43</v>
      </c>
      <c r="E930" s="2">
        <v>84</v>
      </c>
      <c r="F930" s="2" t="str" cm="1">
        <f t="array" ref="F930">_xlfn.IFS(AND(101&gt;E930, E930&gt;69), "Top-Tier", AND(70&gt;E930, E930&gt;39), "Mid-Tier", 40&gt;E930, "Low-Tier")</f>
        <v>Top-Tier</v>
      </c>
      <c r="G930" s="4">
        <v>44743</v>
      </c>
      <c r="H930" t="s">
        <v>1432</v>
      </c>
      <c r="I930" t="s">
        <v>33</v>
      </c>
      <c r="J930" t="s">
        <v>144</v>
      </c>
      <c r="K930" t="s">
        <v>117</v>
      </c>
      <c r="L930" t="s">
        <v>24</v>
      </c>
      <c r="M930" t="s">
        <v>253</v>
      </c>
      <c r="N930" t="s">
        <v>31</v>
      </c>
      <c r="P930" s="3">
        <v>87</v>
      </c>
      <c r="Q930" t="str">
        <f>LEFT(B930, 6)</f>
        <v>Lenovo</v>
      </c>
      <c r="R930" t="str">
        <f t="shared" si="70"/>
        <v>Intel Core i5 (11th Gen)</v>
      </c>
      <c r="S930" t="str">
        <f t="shared" si="69"/>
        <v>32 GB</v>
      </c>
    </row>
    <row r="931" spans="1:19">
      <c r="A931" t="str">
        <f>LEFT(B931, LEN(B931)-15)</f>
        <v>HP Pavilion x360 14-ek0086TU (6Q0Z5PA) Laptop (Core i5 12th Gen/8 GB/512 GB SSD/Windows 11)</v>
      </c>
      <c r="B931" t="s">
        <v>1433</v>
      </c>
      <c r="C931" s="1">
        <v>69500</v>
      </c>
      <c r="D931" s="1">
        <v>345</v>
      </c>
      <c r="E931" s="2">
        <v>84</v>
      </c>
      <c r="F931" s="2" t="str" cm="1">
        <f t="array" ref="F931">_xlfn.IFS(AND(101&gt;E931, E931&gt;69), "Top-Tier", AND(70&gt;E931, E931&gt;39), "Mid-Tier", 40&gt;E931, "Low-Tier")</f>
        <v>Top-Tier</v>
      </c>
      <c r="G931" s="4">
        <v>44743</v>
      </c>
      <c r="H931" t="s">
        <v>1432</v>
      </c>
      <c r="I931" t="s">
        <v>33</v>
      </c>
      <c r="J931" t="s">
        <v>50</v>
      </c>
      <c r="K931" t="s">
        <v>149</v>
      </c>
      <c r="L931" t="s">
        <v>24</v>
      </c>
      <c r="M931" t="s">
        <v>203</v>
      </c>
      <c r="N931" t="s">
        <v>31</v>
      </c>
      <c r="P931" s="3">
        <v>76</v>
      </c>
      <c r="Q931" t="str">
        <f>LEFT(B931, 2)</f>
        <v>HP</v>
      </c>
      <c r="R931" t="str">
        <f t="shared" si="70"/>
        <v>Intel Core i5 (11th Gen)</v>
      </c>
      <c r="S931" t="str">
        <f t="shared" si="69"/>
        <v xml:space="preserve">8 GB </v>
      </c>
    </row>
    <row r="932" spans="1:19">
      <c r="A932" t="str">
        <f>LEFT(B932, LEN(B932)-15)</f>
        <v>Infinix INBook X1 Neo XL22 Laptop (Intel Celeron Quad Core/8 GB/256 GB SSD/Windows 11)</v>
      </c>
      <c r="B932" t="s">
        <v>1434</v>
      </c>
      <c r="C932" s="1">
        <v>19999</v>
      </c>
      <c r="D932" s="1">
        <v>4413</v>
      </c>
      <c r="E932" s="2">
        <v>84</v>
      </c>
      <c r="F932" s="2" t="str" cm="1">
        <f t="array" ref="F932">_xlfn.IFS(AND(101&gt;E932, E932&gt;69), "Top-Tier", AND(70&gt;E932, E932&gt;39), "Mid-Tier", 40&gt;E932, "Low-Tier")</f>
        <v>Top-Tier</v>
      </c>
      <c r="G932" s="4">
        <v>44743</v>
      </c>
      <c r="H932" t="s">
        <v>1432</v>
      </c>
      <c r="I932" t="s">
        <v>33</v>
      </c>
      <c r="J932" t="s">
        <v>1435</v>
      </c>
      <c r="K932" t="s">
        <v>427</v>
      </c>
      <c r="L932" t="s">
        <v>24</v>
      </c>
      <c r="M932" t="s">
        <v>968</v>
      </c>
      <c r="N932" t="s">
        <v>31</v>
      </c>
      <c r="O932" t="s">
        <v>261</v>
      </c>
      <c r="Q932" t="str">
        <f>LEFT(B932, 7)</f>
        <v>Infinix</v>
      </c>
      <c r="R932" t="str">
        <f t="shared" si="70"/>
        <v>Intel Core i5 (11th Gen)</v>
      </c>
      <c r="S932" t="str">
        <f t="shared" si="69"/>
        <v xml:space="preserve">4 GB </v>
      </c>
    </row>
    <row r="933" spans="1:19">
      <c r="A933" t="str">
        <f>LEFT(B933, LEN(B933)-15)</f>
        <v>HP Victus 15-fa0070TX (6Z2P5PA) Laptop (Core i5 12th Gen/8 GB/512 GB SSD/Windows 11/4 GB)</v>
      </c>
      <c r="B933" t="s">
        <v>1436</v>
      </c>
      <c r="C933" s="1">
        <v>57999</v>
      </c>
      <c r="D933" s="1">
        <v>2095</v>
      </c>
      <c r="E933" s="2">
        <v>84</v>
      </c>
      <c r="F933" s="2" t="str" cm="1">
        <f t="array" ref="F933">_xlfn.IFS(AND(101&gt;E933, E933&gt;69), "Top-Tier", AND(70&gt;E933, E933&gt;39), "Mid-Tier", 40&gt;E933, "Low-Tier")</f>
        <v>Top-Tier</v>
      </c>
      <c r="G933" s="4">
        <v>44743</v>
      </c>
      <c r="H933" t="s">
        <v>1432</v>
      </c>
      <c r="I933" t="s">
        <v>33</v>
      </c>
      <c r="J933" t="s">
        <v>50</v>
      </c>
      <c r="K933" t="s">
        <v>159</v>
      </c>
      <c r="L933" t="s">
        <v>24</v>
      </c>
      <c r="N933" t="s">
        <v>31</v>
      </c>
      <c r="P933" s="3">
        <v>82</v>
      </c>
      <c r="Q933" t="str">
        <f>LEFT(B933, 2)</f>
        <v>HP</v>
      </c>
      <c r="R933" t="str">
        <f t="shared" si="70"/>
        <v>Intel Core i5 (11th Gen)</v>
      </c>
      <c r="S933" t="str">
        <f t="shared" si="69"/>
        <v xml:space="preserve">8 GB </v>
      </c>
    </row>
    <row r="934" spans="1:19">
      <c r="A934" t="str">
        <f>LEFT(B934, LEN(B934)-15)</f>
        <v>HP 15s-fq5111TU (6P129PA) Laptop (Core i5 12th Gen/8 GB/512 GB SSD/Windows 11)</v>
      </c>
      <c r="B934" t="s">
        <v>1437</v>
      </c>
      <c r="C934" s="1">
        <v>47690</v>
      </c>
      <c r="D934" s="1">
        <v>3129</v>
      </c>
      <c r="E934" s="2">
        <v>84</v>
      </c>
      <c r="F934" s="2" t="str" cm="1">
        <f t="array" ref="F934">_xlfn.IFS(AND(101&gt;E934, E934&gt;69), "Top-Tier", AND(70&gt;E934, E934&gt;39), "Mid-Tier", 40&gt;E934, "Low-Tier")</f>
        <v>Top-Tier</v>
      </c>
      <c r="G934" s="4">
        <v>44743</v>
      </c>
      <c r="H934" t="s">
        <v>1438</v>
      </c>
      <c r="I934" t="s">
        <v>33</v>
      </c>
      <c r="J934" t="s">
        <v>50</v>
      </c>
      <c r="K934" t="s">
        <v>51</v>
      </c>
      <c r="L934" t="s">
        <v>24</v>
      </c>
      <c r="M934" t="s">
        <v>95</v>
      </c>
      <c r="N934" t="s">
        <v>31</v>
      </c>
      <c r="P934" s="3">
        <v>75</v>
      </c>
      <c r="Q934" t="str">
        <f>LEFT(B934, 2)</f>
        <v>HP</v>
      </c>
      <c r="R934" t="str">
        <f t="shared" si="70"/>
        <v>Intel Core i5 (11th Gen)</v>
      </c>
      <c r="S934" t="str">
        <f t="shared" si="69"/>
        <v xml:space="preserve">8 GB </v>
      </c>
    </row>
    <row r="935" spans="1:19">
      <c r="A935" t="str">
        <f>LEFT(B935, LEN(B935)-15)</f>
        <v>HP Envy x360 Intel Evo 13-bf0063TU (6L0L1PA) Laptop (Core i7 12th Gen/16 GB/1 TB SSD/Windows 11)</v>
      </c>
      <c r="B935" t="s">
        <v>1439</v>
      </c>
      <c r="C935" s="1">
        <v>132871</v>
      </c>
      <c r="D935" s="1">
        <v>91</v>
      </c>
      <c r="E935" s="2">
        <v>84</v>
      </c>
      <c r="F935" s="2" t="str" cm="1">
        <f t="array" ref="F935">_xlfn.IFS(AND(101&gt;E935, E935&gt;69), "Top-Tier", AND(70&gt;E935, E935&gt;39), "Mid-Tier", 40&gt;E935, "Low-Tier")</f>
        <v>Top-Tier</v>
      </c>
      <c r="G935" s="4">
        <v>44743</v>
      </c>
      <c r="H935" t="s">
        <v>1440</v>
      </c>
      <c r="I935" t="s">
        <v>33</v>
      </c>
      <c r="J935" t="s">
        <v>329</v>
      </c>
      <c r="K935" t="s">
        <v>131</v>
      </c>
      <c r="L935" t="s">
        <v>24</v>
      </c>
      <c r="M935" t="s">
        <v>1387</v>
      </c>
      <c r="N935" t="s">
        <v>31</v>
      </c>
      <c r="O935" t="s">
        <v>261</v>
      </c>
      <c r="P935" s="3">
        <v>78</v>
      </c>
      <c r="Q935" t="str">
        <f>LEFT(B935, 2)</f>
        <v>HP</v>
      </c>
      <c r="R935" t="str">
        <f t="shared" si="70"/>
        <v>Intel Core i5 (11th Gen)</v>
      </c>
      <c r="S935" t="str">
        <f t="shared" si="69"/>
        <v>16 GB</v>
      </c>
    </row>
    <row r="936" spans="1:19">
      <c r="A936" t="str">
        <f>LEFT(B936, LEN(B936)-15)</f>
        <v>HP Envy x360 Intel Evo 13-bf0058TU (6L0K9PA) Laptop (Core i5 12th Gen/16 GB/512 GB SSD/Windows 11)</v>
      </c>
      <c r="B936" t="s">
        <v>1441</v>
      </c>
      <c r="C936" s="1">
        <v>78000</v>
      </c>
      <c r="D936" s="1">
        <v>111</v>
      </c>
      <c r="E936" s="2">
        <v>84</v>
      </c>
      <c r="F936" s="2" t="str" cm="1">
        <f t="array" ref="F936">_xlfn.IFS(AND(101&gt;E936, E936&gt;69), "Top-Tier", AND(70&gt;E936, E936&gt;39), "Mid-Tier", 40&gt;E936, "Low-Tier")</f>
        <v>Top-Tier</v>
      </c>
      <c r="G936" s="4">
        <v>44743</v>
      </c>
      <c r="H936" t="s">
        <v>1442</v>
      </c>
      <c r="I936" t="s">
        <v>33</v>
      </c>
      <c r="J936" t="s">
        <v>214</v>
      </c>
      <c r="K936" t="s">
        <v>131</v>
      </c>
      <c r="L936" t="s">
        <v>24</v>
      </c>
      <c r="M936" t="s">
        <v>1387</v>
      </c>
      <c r="O936" t="s">
        <v>261</v>
      </c>
      <c r="P936" s="3">
        <v>77</v>
      </c>
      <c r="Q936" t="str">
        <f>LEFT(B936, 2)</f>
        <v>HP</v>
      </c>
      <c r="R936" t="str">
        <f t="shared" si="70"/>
        <v>Intel Core i5 (11th Gen)</v>
      </c>
      <c r="S936" t="str">
        <f t="shared" si="69"/>
        <v>16 GB</v>
      </c>
    </row>
    <row r="937" spans="1:19">
      <c r="A937" t="str">
        <f>LEFT(B937, LEN(B937)-15)</f>
        <v>Acer Aspire 3 A315-23 (UN.HVTSI.013) Laptop (AMD Dual Core Ryzen 3/8 GB/256 GB SSD/Windows 11)</v>
      </c>
      <c r="B937" t="s">
        <v>1443</v>
      </c>
      <c r="C937" s="1">
        <v>26999</v>
      </c>
      <c r="D937" s="1">
        <v>785</v>
      </c>
      <c r="E937" s="2">
        <v>84</v>
      </c>
      <c r="F937" s="2" t="str" cm="1">
        <f t="array" ref="F937">_xlfn.IFS(AND(101&gt;E937, E937&gt;69), "Top-Tier", AND(70&gt;E937, E937&gt;39), "Mid-Tier", 40&gt;E937, "Low-Tier")</f>
        <v>Top-Tier</v>
      </c>
      <c r="G937" s="4">
        <v>44743</v>
      </c>
      <c r="H937" t="s">
        <v>1442</v>
      </c>
      <c r="I937" t="s">
        <v>33</v>
      </c>
      <c r="J937" t="s">
        <v>338</v>
      </c>
      <c r="K937" t="s">
        <v>51</v>
      </c>
      <c r="L937" t="s">
        <v>24</v>
      </c>
      <c r="M937" t="s">
        <v>52</v>
      </c>
      <c r="N937" t="s">
        <v>31</v>
      </c>
      <c r="Q937" t="str">
        <f>LEFT(B937, 4)</f>
        <v>Acer</v>
      </c>
      <c r="R937" t="str">
        <f t="shared" si="70"/>
        <v>Intel Core i5 (11th Gen)</v>
      </c>
      <c r="S937" t="str">
        <f t="shared" si="69"/>
        <v xml:space="preserve">8 GB </v>
      </c>
    </row>
    <row r="938" spans="1:19">
      <c r="A938" t="str">
        <f>LEFT(B938, LEN(B938)-15)</f>
        <v>HP Victus 15-fa0353TX (6N030PA) Laptop (Core i7 12th Gen/16 GB/512 GB SSD/Windows 11/4 GB)</v>
      </c>
      <c r="B938" t="s">
        <v>1444</v>
      </c>
      <c r="C938" s="1">
        <v>81690</v>
      </c>
      <c r="D938" s="1">
        <v>37</v>
      </c>
      <c r="E938" s="2">
        <v>84</v>
      </c>
      <c r="F938" s="2" t="str" cm="1">
        <f t="array" ref="F938">_xlfn.IFS(AND(101&gt;E938, E938&gt;69), "Top-Tier", AND(70&gt;E938, E938&gt;39), "Mid-Tier", 40&gt;E938, "Low-Tier")</f>
        <v>Top-Tier</v>
      </c>
      <c r="G938" s="4">
        <v>44743</v>
      </c>
      <c r="H938" t="s">
        <v>1445</v>
      </c>
      <c r="I938" t="s">
        <v>33</v>
      </c>
      <c r="J938" t="s">
        <v>34</v>
      </c>
      <c r="K938" t="s">
        <v>159</v>
      </c>
      <c r="L938" t="s">
        <v>24</v>
      </c>
      <c r="N938" t="s">
        <v>31</v>
      </c>
      <c r="P938" s="3">
        <v>83</v>
      </c>
      <c r="Q938" t="str">
        <f>LEFT(B938, 2)</f>
        <v>HP</v>
      </c>
      <c r="R938" t="str">
        <f t="shared" si="70"/>
        <v>Intel Core i5 (11th Gen)</v>
      </c>
      <c r="S938" t="str">
        <f t="shared" si="69"/>
        <v>16 GB</v>
      </c>
    </row>
    <row r="939" spans="1:19">
      <c r="A939" t="str">
        <f>LEFT(B939, LEN(B939)-15)</f>
        <v>HP Victus 15-fa0165TX (6N027PA) Laptop (Core i5 12th Gen/8 GB/512 GB SSD/Windows 11/4 GB)</v>
      </c>
      <c r="B939" t="s">
        <v>1446</v>
      </c>
      <c r="C939" s="1">
        <v>55999</v>
      </c>
      <c r="D939" s="1">
        <v>40</v>
      </c>
      <c r="E939" s="2">
        <v>84</v>
      </c>
      <c r="F939" s="2" t="str" cm="1">
        <f t="array" ref="F939">_xlfn.IFS(AND(101&gt;E939, E939&gt;69), "Top-Tier", AND(70&gt;E939, E939&gt;39), "Mid-Tier", 40&gt;E939, "Low-Tier")</f>
        <v>Top-Tier</v>
      </c>
      <c r="G939" s="4">
        <v>44743</v>
      </c>
      <c r="H939" t="s">
        <v>1447</v>
      </c>
      <c r="I939" t="s">
        <v>33</v>
      </c>
      <c r="J939" t="s">
        <v>50</v>
      </c>
      <c r="K939" t="s">
        <v>51</v>
      </c>
      <c r="L939" t="s">
        <v>24</v>
      </c>
      <c r="N939" t="s">
        <v>31</v>
      </c>
      <c r="P939" s="3">
        <v>78</v>
      </c>
      <c r="Q939" t="str">
        <f>LEFT(B939, 2)</f>
        <v>HP</v>
      </c>
      <c r="R939" t="str">
        <f t="shared" si="70"/>
        <v>Intel Core i5 (11th Gen)</v>
      </c>
      <c r="S939" t="str">
        <f t="shared" si="69"/>
        <v xml:space="preserve">8 GB </v>
      </c>
    </row>
    <row r="940" spans="1:19">
      <c r="A940" t="str">
        <f>LEFT(B940, LEN(B940)-15)</f>
        <v>HP Victus 15-fb0040AX (6F9T7PA) Laptop (AMD Hexa Core Ryzen 5/8 GB/512 GB SSD/Windows 11/4 GB)</v>
      </c>
      <c r="B940" t="s">
        <v>1448</v>
      </c>
      <c r="C940" s="1">
        <v>60500</v>
      </c>
      <c r="D940" s="1">
        <v>75</v>
      </c>
      <c r="E940" s="2">
        <v>84</v>
      </c>
      <c r="F940" s="2" t="str" cm="1">
        <f t="array" ref="F940">_xlfn.IFS(AND(101&gt;E940, E940&gt;69), "Top-Tier", AND(70&gt;E940, E940&gt;39), "Mid-Tier", 40&gt;E940, "Low-Tier")</f>
        <v>Top-Tier</v>
      </c>
      <c r="G940" s="4">
        <v>44743</v>
      </c>
      <c r="H940" t="s">
        <v>1449</v>
      </c>
      <c r="I940" t="s">
        <v>33</v>
      </c>
      <c r="J940" t="s">
        <v>50</v>
      </c>
      <c r="K940" t="s">
        <v>159</v>
      </c>
      <c r="L940" t="s">
        <v>24</v>
      </c>
      <c r="N940" t="s">
        <v>31</v>
      </c>
      <c r="P940" s="3">
        <v>77</v>
      </c>
      <c r="Q940" t="str">
        <f>LEFT(B940, 2)</f>
        <v>HP</v>
      </c>
      <c r="R940" t="str">
        <f t="shared" si="70"/>
        <v>Intel Core i5 (12th Gen)</v>
      </c>
      <c r="S940" t="str">
        <f t="shared" si="69"/>
        <v xml:space="preserve">8 GB </v>
      </c>
    </row>
    <row r="941" spans="1:19">
      <c r="A941" t="str">
        <f>LEFT(B941, LEN(B941)-15)</f>
        <v>Dell Inspiron 15 3511 (D560724WIN9SE) Laptop (Core i3 10th Gen/8 GB/512 GB SSD/Windows 11)</v>
      </c>
      <c r="B941" t="s">
        <v>1450</v>
      </c>
      <c r="C941" s="1">
        <v>45290</v>
      </c>
      <c r="D941" s="1">
        <v>74</v>
      </c>
      <c r="E941" s="2">
        <v>84</v>
      </c>
      <c r="F941" s="2" t="str" cm="1">
        <f t="array" ref="F941">_xlfn.IFS(AND(101&gt;E941, E941&gt;69), "Top-Tier", AND(70&gt;E941, E941&gt;39), "Mid-Tier", 40&gt;E941, "Low-Tier")</f>
        <v>Top-Tier</v>
      </c>
      <c r="G941" s="4">
        <v>44743</v>
      </c>
      <c r="H941" t="s">
        <v>1451</v>
      </c>
      <c r="I941" t="s">
        <v>33</v>
      </c>
      <c r="J941" t="s">
        <v>50</v>
      </c>
      <c r="K941" t="s">
        <v>159</v>
      </c>
      <c r="L941" t="s">
        <v>24</v>
      </c>
      <c r="N941" t="s">
        <v>31</v>
      </c>
      <c r="Q941" t="str">
        <f>LEFT(B941, 4)</f>
        <v>Dell</v>
      </c>
      <c r="R941" t="str">
        <f t="shared" si="70"/>
        <v>Intel Core i5 (12th Gen)</v>
      </c>
      <c r="S941" t="str">
        <f t="shared" si="69"/>
        <v xml:space="preserve">8 GB </v>
      </c>
    </row>
    <row r="942" spans="1:19">
      <c r="A942" t="str">
        <f>LEFT(B942, LEN(B942)-15)</f>
        <v>HP 14s-fy1003AU (6K7V7PA) Laptop (AMD Hexa Core Ryzen 5/16 GB/512 GB SSD/Windows 11)</v>
      </c>
      <c r="B942" t="s">
        <v>1452</v>
      </c>
      <c r="C942" s="1">
        <v>41999</v>
      </c>
      <c r="D942" s="1">
        <v>909</v>
      </c>
      <c r="E942" s="2">
        <v>84</v>
      </c>
      <c r="F942" s="2" t="str" cm="1">
        <f t="array" ref="F942">_xlfn.IFS(AND(101&gt;E942, E942&gt;69), "Top-Tier", AND(70&gt;E942, E942&gt;39), "Mid-Tier", 40&gt;E942, "Low-Tier")</f>
        <v>Top-Tier</v>
      </c>
      <c r="G942" s="4">
        <v>44713</v>
      </c>
      <c r="H942" t="s">
        <v>1451</v>
      </c>
      <c r="I942" t="s">
        <v>33</v>
      </c>
      <c r="J942" t="s">
        <v>34</v>
      </c>
      <c r="K942" t="s">
        <v>149</v>
      </c>
      <c r="L942" t="s">
        <v>24</v>
      </c>
      <c r="M942" t="s">
        <v>95</v>
      </c>
      <c r="N942" t="s">
        <v>31</v>
      </c>
      <c r="Q942" t="str">
        <f>LEFT(B942, 2)</f>
        <v>HP</v>
      </c>
      <c r="R942" t="str">
        <f t="shared" si="70"/>
        <v>Intel Core i5 (12th Gen)</v>
      </c>
      <c r="S942" t="str">
        <f t="shared" si="69"/>
        <v>16 GB</v>
      </c>
    </row>
    <row r="943" spans="1:19">
      <c r="A943" t="str">
        <f>LEFT(B943, LEN(B943)-15)</f>
        <v>HP 14s-fy1005AU (6Y6R8PA) Laptop (AMD Octa Core Ryzen 7/16 GB/512 GB SSD/Windows 11)</v>
      </c>
      <c r="B943" t="s">
        <v>1453</v>
      </c>
      <c r="C943" s="1">
        <v>52999</v>
      </c>
      <c r="D943" s="1">
        <v>623</v>
      </c>
      <c r="E943" s="2">
        <v>84</v>
      </c>
      <c r="F943" s="2" t="str" cm="1">
        <f t="array" ref="F943">_xlfn.IFS(AND(101&gt;E943, E943&gt;69), "Top-Tier", AND(70&gt;E943, E943&gt;39), "Mid-Tier", 40&gt;E943, "Low-Tier")</f>
        <v>Top-Tier</v>
      </c>
      <c r="G943" s="4">
        <v>44713</v>
      </c>
      <c r="H943" t="s">
        <v>1451</v>
      </c>
      <c r="I943" t="s">
        <v>33</v>
      </c>
      <c r="J943" t="s">
        <v>34</v>
      </c>
      <c r="K943" t="s">
        <v>149</v>
      </c>
      <c r="L943" t="s">
        <v>24</v>
      </c>
      <c r="M943" t="s">
        <v>74</v>
      </c>
      <c r="N943" t="s">
        <v>31</v>
      </c>
      <c r="P943" s="3">
        <v>71</v>
      </c>
      <c r="Q943" t="str">
        <f>LEFT(B943, 2)</f>
        <v>HP</v>
      </c>
      <c r="R943" t="str">
        <f t="shared" si="70"/>
        <v>Intel Core i5 (12th Gen)</v>
      </c>
      <c r="S943" t="str">
        <f t="shared" si="69"/>
        <v>16 GB</v>
      </c>
    </row>
    <row r="944" spans="1:19">
      <c r="A944" t="str">
        <f>LEFT(B944, LEN(B944)-15)</f>
        <v>Asus TUF Gaming A15 FA577RE-HN055WS Laptop (AMD Octa Core Ryzen 7/16 GB/512 GB SSD/Windows 11/4 GB)</v>
      </c>
      <c r="B944" t="s">
        <v>1454</v>
      </c>
      <c r="C944" s="1">
        <v>109990</v>
      </c>
      <c r="D944" s="1">
        <v>141</v>
      </c>
      <c r="E944" s="2">
        <v>84</v>
      </c>
      <c r="F944" s="2" t="str" cm="1">
        <f t="array" ref="F944">_xlfn.IFS(AND(101&gt;E944, E944&gt;69), "Top-Tier", AND(70&gt;E944, E944&gt;39), "Mid-Tier", 40&gt;E944, "Low-Tier")</f>
        <v>Top-Tier</v>
      </c>
      <c r="G944" s="4">
        <v>44713</v>
      </c>
      <c r="H944" t="s">
        <v>1451</v>
      </c>
      <c r="I944" t="s">
        <v>33</v>
      </c>
      <c r="J944" t="s">
        <v>54</v>
      </c>
      <c r="K944" t="s">
        <v>159</v>
      </c>
      <c r="L944" t="s">
        <v>24</v>
      </c>
      <c r="N944" t="s">
        <v>31</v>
      </c>
      <c r="P944" s="3">
        <v>81</v>
      </c>
      <c r="Q944" t="str">
        <f>LEFT(B944, 4)</f>
        <v>Asus</v>
      </c>
      <c r="R944" t="str">
        <f t="shared" si="70"/>
        <v>Intel Core i5 (12th Gen)</v>
      </c>
      <c r="S944" t="str">
        <f t="shared" si="69"/>
        <v>16 GB</v>
      </c>
    </row>
    <row r="945" spans="1:19">
      <c r="A945" t="str">
        <f>LEFT(B945, LEN(B945)-15)</f>
        <v>Asus TUF Gaming F15 FX506HC-HN089WS Laptop (Core i5 11th Gen/8 GB/512 GB SSD/Windows 11/4 GB)</v>
      </c>
      <c r="B945" t="s">
        <v>1455</v>
      </c>
      <c r="C945" s="1">
        <v>57990</v>
      </c>
      <c r="D945" s="1">
        <v>177</v>
      </c>
      <c r="E945" s="2">
        <v>84</v>
      </c>
      <c r="F945" s="2" t="str" cm="1">
        <f t="array" ref="F945">_xlfn.IFS(AND(101&gt;E945, E945&gt;69), "Top-Tier", AND(70&gt;E945, E945&gt;39), "Mid-Tier", 40&gt;E945, "Low-Tier")</f>
        <v>Top-Tier</v>
      </c>
      <c r="G945" s="4">
        <v>44713</v>
      </c>
      <c r="H945" t="s">
        <v>1451</v>
      </c>
      <c r="I945" t="s">
        <v>33</v>
      </c>
      <c r="J945" t="s">
        <v>50</v>
      </c>
      <c r="K945" t="s">
        <v>159</v>
      </c>
      <c r="L945" t="s">
        <v>24</v>
      </c>
      <c r="N945" t="s">
        <v>31</v>
      </c>
      <c r="O945" t="s">
        <v>254</v>
      </c>
      <c r="P945" s="3">
        <v>77</v>
      </c>
      <c r="Q945" t="str">
        <f>LEFT(B945, 4)</f>
        <v>Asus</v>
      </c>
      <c r="R945" t="str">
        <f t="shared" si="70"/>
        <v>Intel Core i5 (12th Gen)</v>
      </c>
      <c r="S945" t="str">
        <f t="shared" si="69"/>
        <v xml:space="preserve">8 GB </v>
      </c>
    </row>
    <row r="946" spans="1:19">
      <c r="A946" t="str">
        <f>LEFT(B946, LEN(B946)-15)</f>
        <v>Lenovo V15 (82KBA01HIH) Laptop (Core i3 11th Gen/8 GB/256 GB SSD/Windows 11)</v>
      </c>
      <c r="B946" t="s">
        <v>1456</v>
      </c>
      <c r="C946" s="1">
        <v>30970</v>
      </c>
      <c r="D946" s="1">
        <v>20</v>
      </c>
      <c r="E946" s="2">
        <v>84</v>
      </c>
      <c r="F946" s="2" t="str" cm="1">
        <f t="array" ref="F946">_xlfn.IFS(AND(101&gt;E946, E946&gt;69), "Top-Tier", AND(70&gt;E946, E946&gt;39), "Mid-Tier", 40&gt;E946, "Low-Tier")</f>
        <v>Top-Tier</v>
      </c>
      <c r="G946" s="4">
        <v>44713</v>
      </c>
      <c r="H946" t="s">
        <v>1451</v>
      </c>
      <c r="I946" t="s">
        <v>33</v>
      </c>
      <c r="J946" t="s">
        <v>338</v>
      </c>
      <c r="K946" t="s">
        <v>217</v>
      </c>
      <c r="L946" t="s">
        <v>24</v>
      </c>
      <c r="M946" t="s">
        <v>52</v>
      </c>
      <c r="N946" t="s">
        <v>31</v>
      </c>
      <c r="P946" s="3">
        <v>73</v>
      </c>
      <c r="Q946" t="str">
        <f>LEFT(B946, 6)</f>
        <v>Lenovo</v>
      </c>
      <c r="R946" t="str">
        <f t="shared" si="70"/>
        <v>Intel Core i5 (12th Gen)</v>
      </c>
      <c r="S946" t="str">
        <f t="shared" si="69"/>
        <v xml:space="preserve">8 GB </v>
      </c>
    </row>
    <row r="947" spans="1:19">
      <c r="A947" t="str">
        <f>LEFT(B947, LEN(B947)-15)</f>
        <v>MSI Prestige 14 Intel Evo B13M-279IN Laptop (Core i7 13th Gen/16 GB/1 TB SSD/Windows 11)</v>
      </c>
      <c r="B947" t="s">
        <v>1457</v>
      </c>
      <c r="C947" s="1">
        <v>109990</v>
      </c>
      <c r="D947" s="1">
        <v>10</v>
      </c>
      <c r="E947" s="2">
        <v>84</v>
      </c>
      <c r="F947" s="2" t="str" cm="1">
        <f t="array" ref="F947">_xlfn.IFS(AND(101&gt;E947, E947&gt;69), "Top-Tier", AND(70&gt;E947, E947&gt;39), "Mid-Tier", 40&gt;E947, "Low-Tier")</f>
        <v>Top-Tier</v>
      </c>
      <c r="G947" s="4">
        <v>44713</v>
      </c>
      <c r="H947" t="s">
        <v>1451</v>
      </c>
      <c r="I947" t="s">
        <v>33</v>
      </c>
      <c r="J947" t="s">
        <v>167</v>
      </c>
      <c r="K947" t="s">
        <v>185</v>
      </c>
      <c r="L947" t="s">
        <v>24</v>
      </c>
      <c r="M947" t="s">
        <v>69</v>
      </c>
      <c r="N947" t="s">
        <v>31</v>
      </c>
      <c r="P947" s="3">
        <v>79</v>
      </c>
      <c r="Q947" t="str">
        <f>LEFT(B947, 3)</f>
        <v>MSI</v>
      </c>
      <c r="R947" t="str">
        <f t="shared" si="70"/>
        <v>Intel Core i5 (12th Gen)</v>
      </c>
      <c r="S947" t="str">
        <f t="shared" si="69"/>
        <v>16 GB</v>
      </c>
    </row>
    <row r="948" spans="1:19">
      <c r="A948" t="str">
        <f>LEFT(B948, LEN(B948)-15)</f>
        <v>Infinix INBook X1 Slim XL21 Laptop (Core i3 10th Gen/8 GB/256 GB SSD/Windows 11/128 MB)</v>
      </c>
      <c r="B948" t="s">
        <v>1458</v>
      </c>
      <c r="C948" s="1">
        <v>28999</v>
      </c>
      <c r="D948" s="1">
        <v>6095</v>
      </c>
      <c r="E948" s="2">
        <v>84</v>
      </c>
      <c r="F948" s="2" t="str" cm="1">
        <f t="array" ref="F948">_xlfn.IFS(AND(101&gt;E948, E948&gt;69), "Top-Tier", AND(70&gt;E948, E948&gt;39), "Mid-Tier", 40&gt;E948, "Low-Tier")</f>
        <v>Top-Tier</v>
      </c>
      <c r="G948" s="4">
        <v>44713</v>
      </c>
      <c r="H948" t="s">
        <v>1451</v>
      </c>
      <c r="I948" t="s">
        <v>33</v>
      </c>
      <c r="J948" t="s">
        <v>798</v>
      </c>
      <c r="K948" t="s">
        <v>149</v>
      </c>
      <c r="L948" t="s">
        <v>24</v>
      </c>
      <c r="M948" t="s">
        <v>968</v>
      </c>
      <c r="N948" t="s">
        <v>31</v>
      </c>
      <c r="O948" t="s">
        <v>261</v>
      </c>
      <c r="Q948" t="str">
        <f>LEFT(B948, 7)</f>
        <v>Infinix</v>
      </c>
      <c r="R948" t="str">
        <f t="shared" si="70"/>
        <v>Intel Core i5 (12th Gen)</v>
      </c>
      <c r="S948" t="str">
        <f t="shared" si="69"/>
        <v xml:space="preserve">8 GB </v>
      </c>
    </row>
    <row r="949" spans="1:19">
      <c r="A949" t="str">
        <f>LEFT(B949, LEN(B949)-15)</f>
        <v>Asus Vivobook 16X M1603QA-MB511WS Laptop (AMD Hexa Core Ryzen 5/16 GB/512 GB SSD/Windows 11)</v>
      </c>
      <c r="B949" t="s">
        <v>1459</v>
      </c>
      <c r="C949" s="1">
        <v>51300</v>
      </c>
      <c r="D949" s="1">
        <v>212</v>
      </c>
      <c r="E949" s="2">
        <v>84</v>
      </c>
      <c r="F949" s="2" t="str" cm="1">
        <f t="array" ref="F949">_xlfn.IFS(AND(101&gt;E949, E949&gt;69), "Top-Tier", AND(70&gt;E949, E949&gt;39), "Mid-Tier", 40&gt;E949, "Low-Tier")</f>
        <v>Top-Tier</v>
      </c>
      <c r="G949" s="4">
        <v>44713</v>
      </c>
      <c r="H949" t="s">
        <v>1451</v>
      </c>
      <c r="I949" t="s">
        <v>33</v>
      </c>
      <c r="J949" t="s">
        <v>34</v>
      </c>
      <c r="K949" t="s">
        <v>577</v>
      </c>
      <c r="L949" t="s">
        <v>24</v>
      </c>
      <c r="M949" t="s">
        <v>1460</v>
      </c>
      <c r="O949" t="s">
        <v>152</v>
      </c>
      <c r="Q949" t="str">
        <f>LEFT(B949, 4)</f>
        <v>Asus</v>
      </c>
      <c r="R949" t="str">
        <f t="shared" si="70"/>
        <v>Intel Core i5 (12th Gen)</v>
      </c>
      <c r="S949" t="str">
        <f t="shared" si="69"/>
        <v>16 GB</v>
      </c>
    </row>
    <row r="950" spans="1:19">
      <c r="A950" t="str">
        <f>LEFT(B950, LEN(B950)-15)</f>
        <v>Acer Aspire Lite AL15-52H (UN.347SI.007) Laptop (Core i5 12th Gen/12 GB/512 GB SSD/Windows 11)</v>
      </c>
      <c r="B950" t="s">
        <v>1461</v>
      </c>
      <c r="C950" s="1">
        <v>44990</v>
      </c>
      <c r="D950" s="1">
        <v>711</v>
      </c>
      <c r="E950" s="2">
        <v>82</v>
      </c>
      <c r="F950" s="2" t="str" cm="1">
        <f t="array" ref="F950">_xlfn.IFS(AND(101&gt;E950, E950&gt;69), "Top-Tier", AND(70&gt;E950, E950&gt;39), "Mid-Tier", 40&gt;E950, "Low-Tier")</f>
        <v>Top-Tier</v>
      </c>
      <c r="G950" s="4">
        <v>45536</v>
      </c>
      <c r="H950" t="s">
        <v>1451</v>
      </c>
      <c r="I950" t="s">
        <v>33</v>
      </c>
      <c r="J950" t="s">
        <v>1462</v>
      </c>
      <c r="K950" t="s">
        <v>741</v>
      </c>
      <c r="L950" t="s">
        <v>24</v>
      </c>
      <c r="M950" t="s">
        <v>36</v>
      </c>
      <c r="N950" t="s">
        <v>31</v>
      </c>
      <c r="O950" t="s">
        <v>152</v>
      </c>
      <c r="P950" s="3">
        <v>74</v>
      </c>
      <c r="Q950" t="str">
        <f>LEFT(B950, 4)</f>
        <v>Acer</v>
      </c>
      <c r="R950" t="str">
        <f t="shared" si="70"/>
        <v>Intel Core i5 (12th Gen)</v>
      </c>
      <c r="S950" t="str">
        <f t="shared" si="69"/>
        <v>12 GB</v>
      </c>
    </row>
    <row r="951" spans="1:19">
      <c r="A951" t="str">
        <f>LEFT(B951, LEN(B951)-15)</f>
        <v>Acer Aspire Lite AL15-41 (UN.31ZSI.026) Laptop (AMD Hexa Core Ryzen 5/16 GB/512 GB SSD/Windows 11)</v>
      </c>
      <c r="B951" t="s">
        <v>1463</v>
      </c>
      <c r="C951" s="1">
        <v>35990</v>
      </c>
      <c r="D951" s="1">
        <v>1161</v>
      </c>
      <c r="E951" s="2">
        <v>82</v>
      </c>
      <c r="F951" s="2" t="str" cm="1">
        <f t="array" ref="F951">_xlfn.IFS(AND(101&gt;E951, E951&gt;69), "Top-Tier", AND(70&gt;E951, E951&gt;39), "Mid-Tier", 40&gt;E951, "Low-Tier")</f>
        <v>Top-Tier</v>
      </c>
      <c r="G951" s="4">
        <v>45717</v>
      </c>
      <c r="H951" t="s">
        <v>1451</v>
      </c>
      <c r="I951" t="s">
        <v>33</v>
      </c>
      <c r="J951" t="s">
        <v>34</v>
      </c>
      <c r="K951" t="s">
        <v>741</v>
      </c>
      <c r="L951" t="s">
        <v>24</v>
      </c>
      <c r="M951" t="s">
        <v>864</v>
      </c>
      <c r="N951" t="s">
        <v>31</v>
      </c>
      <c r="Q951" t="str">
        <f>LEFT(B951, 4)</f>
        <v>Acer</v>
      </c>
      <c r="R951" t="str">
        <f t="shared" si="70"/>
        <v>Intel Core i5 (12th Gen)</v>
      </c>
      <c r="S951" t="str">
        <f t="shared" ref="S951:S1014" si="71">LEFT(J951, 5)</f>
        <v>16 GB</v>
      </c>
    </row>
    <row r="952" spans="1:19">
      <c r="A952" t="str">
        <f>LEFT(B952, LEN(B952)-15)</f>
        <v>Acer Aspire Lite AL15-41 (UN.31ZSI.01B) Laptop (AMD Hexa Core Ryzen 5/16 GB/1 TB SSD/Windows 11)</v>
      </c>
      <c r="B952" t="s">
        <v>1464</v>
      </c>
      <c r="C952" s="1">
        <v>41690</v>
      </c>
      <c r="D952" s="1">
        <v>1161</v>
      </c>
      <c r="E952" s="2">
        <v>82</v>
      </c>
      <c r="F952" s="2" t="str" cm="1">
        <f t="array" ref="F952">_xlfn.IFS(AND(101&gt;E952, E952&gt;69), "Top-Tier", AND(70&gt;E952, E952&gt;39), "Mid-Tier", 40&gt;E952, "Low-Tier")</f>
        <v>Top-Tier</v>
      </c>
      <c r="G952" s="4">
        <v>45536</v>
      </c>
      <c r="H952" t="s">
        <v>1451</v>
      </c>
      <c r="I952" t="s">
        <v>33</v>
      </c>
      <c r="J952" t="s">
        <v>184</v>
      </c>
      <c r="K952" t="s">
        <v>741</v>
      </c>
      <c r="L952" t="s">
        <v>24</v>
      </c>
      <c r="M952" t="s">
        <v>52</v>
      </c>
      <c r="N952" t="s">
        <v>31</v>
      </c>
      <c r="Q952" t="str">
        <f>LEFT(B952, 4)</f>
        <v>Acer</v>
      </c>
      <c r="R952" t="str">
        <f t="shared" si="70"/>
        <v>Intel Core i5 (12th Gen)</v>
      </c>
      <c r="S952" t="str">
        <f t="shared" si="71"/>
        <v>16 GB</v>
      </c>
    </row>
    <row r="953" spans="1:19">
      <c r="A953" t="str">
        <f>LEFT(B953, LEN(B953)-15)</f>
        <v>Acer Aspire Lite AL15-41 (UN.31ZSI.00Y) Laptop (AMD Hexa Core Ryzen 5/16 GB/512 GB SSD/Windows 11)</v>
      </c>
      <c r="B953" t="s">
        <v>1465</v>
      </c>
      <c r="C953" s="1">
        <v>39999</v>
      </c>
      <c r="D953" s="1">
        <v>1161</v>
      </c>
      <c r="E953" s="2">
        <v>82</v>
      </c>
      <c r="F953" s="2" t="str" cm="1">
        <f t="array" ref="F953">_xlfn.IFS(AND(101&gt;E953, E953&gt;69), "Top-Tier", AND(70&gt;E953, E953&gt;39), "Mid-Tier", 40&gt;E953, "Low-Tier")</f>
        <v>Top-Tier</v>
      </c>
      <c r="G953" s="4">
        <v>45444</v>
      </c>
      <c r="H953" t="s">
        <v>1466</v>
      </c>
      <c r="I953" t="s">
        <v>33</v>
      </c>
      <c r="J953" t="s">
        <v>34</v>
      </c>
      <c r="K953" t="s">
        <v>741</v>
      </c>
      <c r="L953" t="s">
        <v>24</v>
      </c>
      <c r="M953" t="s">
        <v>52</v>
      </c>
      <c r="N953" t="s">
        <v>31</v>
      </c>
      <c r="P953" s="3">
        <v>72</v>
      </c>
      <c r="Q953" t="str">
        <f>LEFT(B953, 4)</f>
        <v>Acer</v>
      </c>
      <c r="R953" t="str">
        <f t="shared" si="70"/>
        <v>Intel Core i5 (12th Gen)</v>
      </c>
      <c r="S953" t="str">
        <f t="shared" si="71"/>
        <v>16 GB</v>
      </c>
    </row>
    <row r="954" spans="1:19">
      <c r="A954" t="str">
        <f>LEFT(B954, LEN(B954)-15)</f>
        <v>Dell Vostro 3520 (VN3520CYGGW002ORG1) Laptop (Core i5 12th Gen/16 GB/512 GB SSD/Windows 11)</v>
      </c>
      <c r="B954" t="s">
        <v>1467</v>
      </c>
      <c r="C954" s="1">
        <v>49990</v>
      </c>
      <c r="D954" s="1">
        <v>299</v>
      </c>
      <c r="E954" s="2">
        <v>82</v>
      </c>
      <c r="F954" s="2" t="str" cm="1">
        <f t="array" ref="F954">_xlfn.IFS(AND(101&gt;E954, E954&gt;69), "Top-Tier", AND(70&gt;E954, E954&gt;39), "Mid-Tier", 40&gt;E954, "Low-Tier")</f>
        <v>Top-Tier</v>
      </c>
      <c r="G954" s="4">
        <v>45717</v>
      </c>
      <c r="H954" t="s">
        <v>1468</v>
      </c>
      <c r="I954" t="s">
        <v>33</v>
      </c>
      <c r="J954" t="s">
        <v>34</v>
      </c>
      <c r="K954" t="s">
        <v>159</v>
      </c>
      <c r="L954" t="s">
        <v>24</v>
      </c>
      <c r="N954" t="s">
        <v>31</v>
      </c>
      <c r="Q954" t="str">
        <f>LEFT(B954, 4)</f>
        <v>Dell</v>
      </c>
      <c r="R954" t="str">
        <f t="shared" si="70"/>
        <v>Intel Core i5 (12th Gen)</v>
      </c>
      <c r="S954" t="str">
        <f t="shared" si="71"/>
        <v>16 GB</v>
      </c>
    </row>
    <row r="955" spans="1:19">
      <c r="A955" t="str">
        <f>LEFT(B955, LEN(B955)-15)</f>
        <v>Dell Vostro 3520 (VN35205KF55002ORG1) Laptop (Core i5 12th Gen/8 GB/512 GB SSD/Windows 11)</v>
      </c>
      <c r="B955" t="s">
        <v>1469</v>
      </c>
      <c r="C955" s="1">
        <v>42990</v>
      </c>
      <c r="D955" s="1">
        <v>299</v>
      </c>
      <c r="E955" s="2">
        <v>82</v>
      </c>
      <c r="F955" s="2" t="str" cm="1">
        <f t="array" ref="F955">_xlfn.IFS(AND(101&gt;E955, E955&gt;69), "Top-Tier", AND(70&gt;E955, E955&gt;39), "Mid-Tier", 40&gt;E955, "Low-Tier")</f>
        <v>Top-Tier</v>
      </c>
      <c r="G955" s="4">
        <v>45717</v>
      </c>
      <c r="H955" t="s">
        <v>1470</v>
      </c>
      <c r="I955" t="s">
        <v>33</v>
      </c>
      <c r="J955" t="s">
        <v>50</v>
      </c>
      <c r="K955" t="s">
        <v>51</v>
      </c>
      <c r="L955" t="s">
        <v>24</v>
      </c>
      <c r="N955" t="s">
        <v>31</v>
      </c>
      <c r="Q955" t="str">
        <f>LEFT(B955, 4)</f>
        <v>Dell</v>
      </c>
      <c r="R955" t="str">
        <f t="shared" si="70"/>
        <v>Intel Core i5 (12th Gen)</v>
      </c>
      <c r="S955" t="str">
        <f t="shared" si="71"/>
        <v xml:space="preserve">8 GB </v>
      </c>
    </row>
    <row r="956" spans="1:19">
      <c r="A956" t="str">
        <f>LEFT(B956, LEN(B956)-15)</f>
        <v>Lenovo Ideapad Slim 5x 14Q8X9 (83HL0035IN) Laptop (Snapdragon X Plus/16 GB/1 TB SSD/Windows 11)</v>
      </c>
      <c r="B956" t="s">
        <v>1471</v>
      </c>
      <c r="C956" s="1">
        <v>64990</v>
      </c>
      <c r="D956" s="1">
        <v>239</v>
      </c>
      <c r="E956" s="2">
        <v>82</v>
      </c>
      <c r="F956" s="2" t="str" cm="1">
        <f t="array" ref="F956">_xlfn.IFS(AND(101&gt;E956, E956&gt;69), "Top-Tier", AND(70&gt;E956, E956&gt;39), "Mid-Tier", 40&gt;E956, "Low-Tier")</f>
        <v>Top-Tier</v>
      </c>
      <c r="G956" s="4">
        <v>45566</v>
      </c>
      <c r="H956" t="s">
        <v>1470</v>
      </c>
      <c r="I956" t="s">
        <v>33</v>
      </c>
      <c r="J956" t="s">
        <v>42</v>
      </c>
      <c r="K956" t="s">
        <v>94</v>
      </c>
      <c r="L956" t="s">
        <v>24</v>
      </c>
      <c r="M956" t="s">
        <v>178</v>
      </c>
      <c r="N956" t="s">
        <v>31</v>
      </c>
      <c r="P956" s="3">
        <v>80</v>
      </c>
      <c r="Q956" t="str">
        <f>LEFT(B956, 6)</f>
        <v>Lenovo</v>
      </c>
      <c r="R956" t="str">
        <f t="shared" si="70"/>
        <v>Intel Core i5 (12th Gen)</v>
      </c>
      <c r="S956" t="str">
        <f t="shared" si="71"/>
        <v>16 GB</v>
      </c>
    </row>
    <row r="957" spans="1:19">
      <c r="A957" t="str">
        <f>LEFT(B957, LEN(B957)-15)</f>
        <v>Acer Aspire 3 A325-42 (UN.34QSI.002) Laptop (AMD Hexa Core Ryzen 5/16 GB/512 GB SSD/Windows 11)</v>
      </c>
      <c r="B957" t="s">
        <v>1472</v>
      </c>
      <c r="C957" s="1">
        <v>38990</v>
      </c>
      <c r="D957" s="1">
        <v>1650</v>
      </c>
      <c r="E957" s="2">
        <v>82</v>
      </c>
      <c r="F957" s="2" t="str" cm="1">
        <f t="array" ref="F957">_xlfn.IFS(AND(101&gt;E957, E957&gt;69), "Top-Tier", AND(70&gt;E957, E957&gt;39), "Mid-Tier", 40&gt;E957, "Low-Tier")</f>
        <v>Top-Tier</v>
      </c>
      <c r="G957" s="4">
        <v>45536</v>
      </c>
      <c r="H957" t="s">
        <v>1470</v>
      </c>
      <c r="I957" t="s">
        <v>33</v>
      </c>
      <c r="J957" t="s">
        <v>34</v>
      </c>
      <c r="K957" t="s">
        <v>1473</v>
      </c>
      <c r="L957" t="s">
        <v>24</v>
      </c>
      <c r="M957" t="s">
        <v>428</v>
      </c>
      <c r="N957" t="s">
        <v>31</v>
      </c>
      <c r="P957" s="3">
        <v>71</v>
      </c>
      <c r="Q957" t="str">
        <f>LEFT(B957, 4)</f>
        <v>Acer</v>
      </c>
      <c r="R957" t="str">
        <f t="shared" si="70"/>
        <v>Intel Core i5 (12th Gen)</v>
      </c>
      <c r="S957" t="str">
        <f t="shared" si="71"/>
        <v>16 GB</v>
      </c>
    </row>
    <row r="958" spans="1:19">
      <c r="A958" t="str">
        <f>LEFT(B958, LEN(B958)-15)</f>
        <v>Acer Aspire 3 A325-42 (UN.34QSI.001) Laptop (AMD Hexa Core Ryzen 5/8 GB/512 GB SSD/Windows 11)</v>
      </c>
      <c r="B958" t="s">
        <v>1474</v>
      </c>
      <c r="C958" s="1">
        <v>36990</v>
      </c>
      <c r="D958" s="1">
        <v>1650</v>
      </c>
      <c r="E958" s="2">
        <v>82</v>
      </c>
      <c r="F958" s="2" t="str" cm="1">
        <f t="array" ref="F958">_xlfn.IFS(AND(101&gt;E958, E958&gt;69), "Top-Tier", AND(70&gt;E958, E958&gt;39), "Mid-Tier", 40&gt;E958, "Low-Tier")</f>
        <v>Top-Tier</v>
      </c>
      <c r="G958" s="4">
        <v>45536</v>
      </c>
      <c r="H958" t="s">
        <v>1470</v>
      </c>
      <c r="I958" t="s">
        <v>33</v>
      </c>
      <c r="J958" t="s">
        <v>50</v>
      </c>
      <c r="K958" t="s">
        <v>1473</v>
      </c>
      <c r="L958" t="s">
        <v>24</v>
      </c>
      <c r="M958" t="s">
        <v>428</v>
      </c>
      <c r="N958" t="s">
        <v>31</v>
      </c>
      <c r="P958" s="3">
        <v>71</v>
      </c>
      <c r="Q958" t="str">
        <f>LEFT(B958, 4)</f>
        <v>Acer</v>
      </c>
      <c r="R958" t="str">
        <f t="shared" si="70"/>
        <v>Intel Core i5 (12th Gen)</v>
      </c>
      <c r="S958" t="str">
        <f t="shared" si="71"/>
        <v xml:space="preserve">8 GB </v>
      </c>
    </row>
    <row r="959" spans="1:19">
      <c r="A959" t="str">
        <f>LEFT(B959, LEN(B959)-15)</f>
        <v>Acer Nitro V ANV15-41 (NH.QPESI.001) Laptop (AMD Octa Core Ryzen 7/16 GB/512 GB SSD/Windows 11/6 GB)</v>
      </c>
      <c r="B959" t="s">
        <v>1475</v>
      </c>
      <c r="C959" s="1">
        <v>84999</v>
      </c>
      <c r="D959" s="1">
        <v>75</v>
      </c>
      <c r="E959" s="2">
        <v>82</v>
      </c>
      <c r="F959" s="2" t="str" cm="1">
        <f t="array" ref="F959">_xlfn.IFS(AND(101&gt;E959, E959&gt;69), "Top-Tier", AND(70&gt;E959, E959&gt;39), "Mid-Tier", 40&gt;E959, "Low-Tier")</f>
        <v>Top-Tier</v>
      </c>
      <c r="G959" s="4">
        <v>45383</v>
      </c>
      <c r="H959" t="s">
        <v>1470</v>
      </c>
      <c r="I959" t="s">
        <v>33</v>
      </c>
      <c r="J959" t="s">
        <v>54</v>
      </c>
      <c r="K959" t="s">
        <v>741</v>
      </c>
      <c r="L959" t="s">
        <v>24</v>
      </c>
      <c r="N959" t="s">
        <v>31</v>
      </c>
      <c r="P959" s="3">
        <v>86</v>
      </c>
      <c r="Q959" t="str">
        <f>LEFT(B959, 4)</f>
        <v>Acer</v>
      </c>
      <c r="R959" t="str">
        <f t="shared" si="70"/>
        <v>Intel Core i5 (12th Gen)</v>
      </c>
      <c r="S959" t="str">
        <f t="shared" si="71"/>
        <v>16 GB</v>
      </c>
    </row>
    <row r="960" spans="1:19">
      <c r="A960" t="str">
        <f>LEFT(B960, LEN(B960)-15)</f>
        <v>Acer Aspire 3 A325-42 (UN.34QSI.006) Laptop (AMD Quad Core Ryzen 3/8 GB/512 GB SSD/Windows 11)</v>
      </c>
      <c r="B960" t="s">
        <v>1476</v>
      </c>
      <c r="C960" s="1">
        <v>29990</v>
      </c>
      <c r="D960" s="1">
        <v>519</v>
      </c>
      <c r="E960" s="2">
        <v>82</v>
      </c>
      <c r="F960" s="2" t="str" cm="1">
        <f t="array" ref="F960">_xlfn.IFS(AND(101&gt;E960, E960&gt;69), "Top-Tier", AND(70&gt;E960, E960&gt;39), "Mid-Tier", 40&gt;E960, "Low-Tier")</f>
        <v>Top-Tier</v>
      </c>
      <c r="G960" s="4">
        <v>45566</v>
      </c>
      <c r="H960" t="s">
        <v>1470</v>
      </c>
      <c r="I960" t="s">
        <v>33</v>
      </c>
      <c r="J960" t="s">
        <v>50</v>
      </c>
      <c r="K960" t="s">
        <v>741</v>
      </c>
      <c r="L960" t="s">
        <v>24</v>
      </c>
      <c r="M960" t="s">
        <v>428</v>
      </c>
      <c r="N960" t="s">
        <v>31</v>
      </c>
      <c r="O960" t="s">
        <v>291</v>
      </c>
      <c r="Q960" t="str">
        <f>LEFT(B960, 4)</f>
        <v>Acer</v>
      </c>
      <c r="R960" t="str">
        <f t="shared" si="70"/>
        <v>Intel Core i5 (12th Gen)</v>
      </c>
      <c r="S960" t="str">
        <f t="shared" si="71"/>
        <v xml:space="preserve">8 GB </v>
      </c>
    </row>
    <row r="961" spans="1:19">
      <c r="A961" t="str">
        <f>LEFT(B961, LEN(B961)-15)</f>
        <v>Asus VivoBook 15 X543UA-DM582T Laptop (Core i5 8th Gen/8 GB/1 TB/Windows 10)</v>
      </c>
      <c r="B961" t="s">
        <v>1477</v>
      </c>
      <c r="C961" s="1">
        <v>39990</v>
      </c>
      <c r="D961" s="1">
        <v>1644</v>
      </c>
      <c r="E961" s="2">
        <v>82</v>
      </c>
      <c r="F961" s="2" t="str" cm="1">
        <f t="array" ref="F961">_xlfn.IFS(AND(101&gt;E961, E961&gt;69), "Top-Tier", AND(70&gt;E961, E961&gt;39), "Mid-Tier", 40&gt;E961, "Low-Tier")</f>
        <v>Top-Tier</v>
      </c>
      <c r="G961" s="4">
        <v>43983</v>
      </c>
      <c r="H961" t="s">
        <v>1470</v>
      </c>
      <c r="I961" t="s">
        <v>248</v>
      </c>
      <c r="J961" t="s">
        <v>332</v>
      </c>
      <c r="K961" t="s">
        <v>249</v>
      </c>
      <c r="L961" t="s">
        <v>24</v>
      </c>
      <c r="N961" t="s">
        <v>31</v>
      </c>
      <c r="Q961" t="str">
        <f>LEFT(B961, 4)</f>
        <v>Asus</v>
      </c>
      <c r="R961" t="str">
        <f t="shared" si="70"/>
        <v>Intel Core i5 (12th Gen)</v>
      </c>
      <c r="S961" t="str">
        <f t="shared" si="71"/>
        <v xml:space="preserve">8 GB </v>
      </c>
    </row>
    <row r="962" spans="1:19">
      <c r="A962" t="str">
        <f>LEFT(B962, LEN(B962)-15)</f>
        <v>Dell G15 5530 (OGN55301106G201RINO) Laptop (Core i5 13th Gen/16 GB/1 TB SSD/Windows 11/6 GB)</v>
      </c>
      <c r="B962" t="s">
        <v>1478</v>
      </c>
      <c r="C962" s="1">
        <v>74990</v>
      </c>
      <c r="D962" s="1">
        <v>113</v>
      </c>
      <c r="E962" s="2">
        <v>82</v>
      </c>
      <c r="F962" s="2" t="str" cm="1">
        <f t="array" ref="F962">_xlfn.IFS(AND(101&gt;E962, E962&gt;69), "Top-Tier", AND(70&gt;E962, E962&gt;39), "Mid-Tier", 40&gt;E962, "Low-Tier")</f>
        <v>Top-Tier</v>
      </c>
      <c r="G962" s="4">
        <v>45748</v>
      </c>
      <c r="H962" t="s">
        <v>1470</v>
      </c>
      <c r="I962" t="s">
        <v>33</v>
      </c>
      <c r="J962" t="s">
        <v>72</v>
      </c>
      <c r="K962" t="s">
        <v>159</v>
      </c>
      <c r="L962" t="s">
        <v>24</v>
      </c>
      <c r="N962" t="s">
        <v>31</v>
      </c>
      <c r="Q962" t="str">
        <f>LEFT(B962, 4)</f>
        <v>Dell</v>
      </c>
      <c r="R962" t="str">
        <f t="shared" si="70"/>
        <v>Intel Core i5 (12th Gen)</v>
      </c>
      <c r="S962" t="str">
        <f t="shared" si="71"/>
        <v>16 GB</v>
      </c>
    </row>
    <row r="963" spans="1:19">
      <c r="A963" t="str">
        <f>LEFT(B963, LEN(B963)-15)</f>
        <v>Dell G15 5530 (OGN55301124G01RIN) Laptop (Core i5 13th Gen/16 GB/512 GB SSD/Windows 11/6 GB)</v>
      </c>
      <c r="B963" t="s">
        <v>1479</v>
      </c>
      <c r="C963" s="1">
        <v>71990</v>
      </c>
      <c r="D963" s="1">
        <v>113</v>
      </c>
      <c r="E963" s="2">
        <v>82</v>
      </c>
      <c r="F963" s="2" t="str" cm="1">
        <f t="array" ref="F963">_xlfn.IFS(AND(101&gt;E963, E963&gt;69), "Top-Tier", AND(70&gt;E963, E963&gt;39), "Mid-Tier", 40&gt;E963, "Low-Tier")</f>
        <v>Top-Tier</v>
      </c>
      <c r="G963" s="4">
        <v>45566</v>
      </c>
      <c r="H963" t="s">
        <v>1470</v>
      </c>
      <c r="I963" t="s">
        <v>33</v>
      </c>
      <c r="J963" t="s">
        <v>54</v>
      </c>
      <c r="K963" t="s">
        <v>159</v>
      </c>
      <c r="L963" t="s">
        <v>24</v>
      </c>
      <c r="N963" t="s">
        <v>31</v>
      </c>
      <c r="Q963" t="str">
        <f>LEFT(B963, 4)</f>
        <v>Dell</v>
      </c>
      <c r="R963" t="str">
        <f t="shared" si="70"/>
        <v>Intel Core i5 (12th Gen)</v>
      </c>
      <c r="S963" t="str">
        <f t="shared" si="71"/>
        <v>16 GB</v>
      </c>
    </row>
    <row r="964" spans="1:19">
      <c r="A964" t="str">
        <f>LEFT(B964, LEN(B964)-15)</f>
        <v>Acer Aspire E E5-576 (UN.GRSSI.005) Laptop (Core i3 7th Gen/4 GB/1 TB/Windows 10)</v>
      </c>
      <c r="B964" t="s">
        <v>1480</v>
      </c>
      <c r="C964" s="1">
        <v>25990</v>
      </c>
      <c r="D964" s="1">
        <v>304</v>
      </c>
      <c r="E964" s="2">
        <v>82</v>
      </c>
      <c r="F964" s="2" t="str" cm="1">
        <f t="array" ref="F964">_xlfn.IFS(AND(101&gt;E964, E964&gt;69), "Top-Tier", AND(70&gt;E964, E964&gt;39), "Mid-Tier", 40&gt;E964, "Low-Tier")</f>
        <v>Top-Tier</v>
      </c>
      <c r="H964" t="s">
        <v>1481</v>
      </c>
      <c r="I964" t="s">
        <v>248</v>
      </c>
      <c r="J964" t="s">
        <v>542</v>
      </c>
      <c r="K964" t="s">
        <v>705</v>
      </c>
      <c r="L964" t="s">
        <v>24</v>
      </c>
      <c r="N964" t="s">
        <v>31</v>
      </c>
      <c r="O964" t="s">
        <v>152</v>
      </c>
      <c r="Q964" t="str">
        <f>LEFT(B964, 4)</f>
        <v>Acer</v>
      </c>
      <c r="R964" t="str">
        <f t="shared" si="70"/>
        <v>Intel Core i5 (12th Gen)</v>
      </c>
      <c r="S964" t="str">
        <f t="shared" si="71"/>
        <v xml:space="preserve">4 GB </v>
      </c>
    </row>
    <row r="965" spans="1:19">
      <c r="A965" t="str">
        <f>LEFT(B965, LEN(B965)-15)</f>
        <v>Asus VivoBook 15 X1502VA-BQ837WS Laptop (Core i7 13th Gen/16 GB/512 GB SSD/Windows 11)</v>
      </c>
      <c r="B965" t="s">
        <v>1482</v>
      </c>
      <c r="C965" s="1">
        <v>66972</v>
      </c>
      <c r="D965" s="1">
        <v>75</v>
      </c>
      <c r="E965" s="2">
        <v>82</v>
      </c>
      <c r="F965" s="2" t="str" cm="1">
        <f t="array" ref="F965">_xlfn.IFS(AND(101&gt;E965, E965&gt;69), "Top-Tier", AND(70&gt;E965, E965&gt;39), "Mid-Tier", 40&gt;E965, "Low-Tier")</f>
        <v>Top-Tier</v>
      </c>
      <c r="G965" s="4">
        <v>45717</v>
      </c>
      <c r="H965" t="s">
        <v>1481</v>
      </c>
      <c r="I965" t="s">
        <v>33</v>
      </c>
      <c r="J965" t="s">
        <v>34</v>
      </c>
      <c r="K965" t="s">
        <v>51</v>
      </c>
      <c r="L965" t="s">
        <v>24</v>
      </c>
      <c r="M965" t="s">
        <v>52</v>
      </c>
      <c r="N965" t="s">
        <v>31</v>
      </c>
      <c r="P965" s="3">
        <v>79</v>
      </c>
      <c r="Q965" t="str">
        <f>LEFT(B965, 4)</f>
        <v>Asus</v>
      </c>
      <c r="R965" t="str">
        <f t="shared" si="70"/>
        <v>Intel Core i5 (12th Gen)</v>
      </c>
      <c r="S965" t="str">
        <f t="shared" si="71"/>
        <v>16 GB</v>
      </c>
    </row>
    <row r="966" spans="1:19">
      <c r="A966" t="str">
        <f>LEFT(B966, LEN(B966)-15)</f>
        <v>Asus VivoBook 15 X1502VA-BQ838WS Laptop (Core i7 13th Gen/16 GB/512 GB SSD/Windows 11)</v>
      </c>
      <c r="B966" t="s">
        <v>1483</v>
      </c>
      <c r="C966" s="1">
        <v>61990</v>
      </c>
      <c r="D966" s="1">
        <v>75</v>
      </c>
      <c r="E966" s="2">
        <v>82</v>
      </c>
      <c r="F966" s="2" t="str" cm="1">
        <f t="array" ref="F966">_xlfn.IFS(AND(101&gt;E966, E966&gt;69), "Top-Tier", AND(70&gt;E966, E966&gt;39), "Mid-Tier", 40&gt;E966, "Low-Tier")</f>
        <v>Top-Tier</v>
      </c>
      <c r="G966" s="4">
        <v>45689</v>
      </c>
      <c r="H966" t="s">
        <v>1484</v>
      </c>
      <c r="I966" t="s">
        <v>33</v>
      </c>
      <c r="J966" t="s">
        <v>34</v>
      </c>
      <c r="K966" t="s">
        <v>51</v>
      </c>
      <c r="L966" t="s">
        <v>24</v>
      </c>
      <c r="M966" t="s">
        <v>52</v>
      </c>
      <c r="N966" t="s">
        <v>31</v>
      </c>
      <c r="P966" s="3">
        <v>79</v>
      </c>
      <c r="Q966" t="str">
        <f>LEFT(B966, 4)</f>
        <v>Asus</v>
      </c>
      <c r="R966" t="str">
        <f t="shared" ref="R966:R1029" si="72">LEFT(H965, 24)</f>
        <v>Intel Core i5 (12th Gen)</v>
      </c>
      <c r="S966" t="str">
        <f t="shared" si="71"/>
        <v>16 GB</v>
      </c>
    </row>
    <row r="967" spans="1:19">
      <c r="A967" t="str">
        <f>LEFT(B967, LEN(B967)-15)</f>
        <v>Lenovo IdeaPad Slim 3 14IRU8 (82X6004GIN) Laptop (Core i3 13th Gen/8 GB/512 GB SSD/Windows 11)</v>
      </c>
      <c r="B967" t="s">
        <v>1485</v>
      </c>
      <c r="C967" s="1">
        <v>36990</v>
      </c>
      <c r="D967" s="1">
        <v>1201</v>
      </c>
      <c r="E967" s="2">
        <v>82</v>
      </c>
      <c r="F967" s="2" t="str" cm="1">
        <f t="array" ref="F967">_xlfn.IFS(AND(101&gt;E967, E967&gt;69), "Top-Tier", AND(70&gt;E967, E967&gt;39), "Mid-Tier", 40&gt;E967, "Low-Tier")</f>
        <v>Top-Tier</v>
      </c>
      <c r="G967" s="4">
        <v>45536</v>
      </c>
      <c r="H967" t="s">
        <v>1484</v>
      </c>
      <c r="I967" t="s">
        <v>33</v>
      </c>
      <c r="J967" t="s">
        <v>162</v>
      </c>
      <c r="K967" t="s">
        <v>1140</v>
      </c>
      <c r="L967" t="s">
        <v>24</v>
      </c>
      <c r="M967" t="s">
        <v>95</v>
      </c>
      <c r="N967" t="s">
        <v>31</v>
      </c>
      <c r="P967" s="3">
        <v>80</v>
      </c>
      <c r="Q967" t="str">
        <f>LEFT(B967, 6)</f>
        <v>Lenovo</v>
      </c>
      <c r="R967" t="str">
        <f t="shared" si="72"/>
        <v>Intel Core i5 (12th Gen)</v>
      </c>
      <c r="S967" t="str">
        <f t="shared" si="71"/>
        <v xml:space="preserve">8 GB </v>
      </c>
    </row>
    <row r="968" spans="1:19">
      <c r="A968" t="str">
        <f>LEFT(B968, LEN(B968)-15)</f>
        <v>HP 15-fd0315TU (A4KR7PA) Laptop (Core i5 13th Gen/16 GB/512 GB SSD/Windows 11)</v>
      </c>
      <c r="B968" t="s">
        <v>1486</v>
      </c>
      <c r="C968" s="1">
        <v>54790</v>
      </c>
      <c r="D968" s="1">
        <v>315</v>
      </c>
      <c r="E968" s="2">
        <v>82</v>
      </c>
      <c r="F968" s="2" t="str" cm="1">
        <f t="array" ref="F968">_xlfn.IFS(AND(101&gt;E968, E968&gt;69), "Top-Tier", AND(70&gt;E968, E968&gt;39), "Mid-Tier", 40&gt;E968, "Low-Tier")</f>
        <v>Top-Tier</v>
      </c>
      <c r="G968" s="4">
        <v>45627</v>
      </c>
      <c r="H968" t="s">
        <v>1484</v>
      </c>
      <c r="I968" t="s">
        <v>33</v>
      </c>
      <c r="J968" t="s">
        <v>34</v>
      </c>
      <c r="K968" t="s">
        <v>51</v>
      </c>
      <c r="L968" t="s">
        <v>24</v>
      </c>
      <c r="M968" t="s">
        <v>99</v>
      </c>
      <c r="N968" t="s">
        <v>31</v>
      </c>
      <c r="P968" s="3">
        <v>80</v>
      </c>
      <c r="Q968" t="str">
        <f>LEFT(B968, 2)</f>
        <v>HP</v>
      </c>
      <c r="R968" t="str">
        <f t="shared" si="72"/>
        <v>Intel Core i5 (12th Gen)</v>
      </c>
      <c r="S968" t="str">
        <f t="shared" si="71"/>
        <v>16 GB</v>
      </c>
    </row>
    <row r="969" spans="1:19">
      <c r="A969" t="str">
        <f>LEFT(B969, LEN(B969)-15)</f>
        <v>Lenovo V15 (82TTA073IN) Laptop (Core i7 12th Gen/16 GB/512 GB SSD/Windows 11)</v>
      </c>
      <c r="B969" t="s">
        <v>1487</v>
      </c>
      <c r="C969" s="1">
        <v>44991</v>
      </c>
      <c r="D969" s="1">
        <v>111</v>
      </c>
      <c r="E969" s="2">
        <v>82</v>
      </c>
      <c r="F969" s="2" t="str" cm="1">
        <f t="array" ref="F969">_xlfn.IFS(AND(101&gt;E969, E969&gt;69), "Top-Tier", AND(70&gt;E969, E969&gt;39), "Mid-Tier", 40&gt;E969, "Low-Tier")</f>
        <v>Top-Tier</v>
      </c>
      <c r="G969" s="4">
        <v>45505</v>
      </c>
      <c r="H969" t="s">
        <v>1484</v>
      </c>
      <c r="I969" t="s">
        <v>33</v>
      </c>
      <c r="J969" t="s">
        <v>208</v>
      </c>
      <c r="K969" t="s">
        <v>51</v>
      </c>
      <c r="L969" t="s">
        <v>24</v>
      </c>
      <c r="M969" t="s">
        <v>52</v>
      </c>
      <c r="N969" t="s">
        <v>31</v>
      </c>
      <c r="P969" s="3">
        <v>73</v>
      </c>
      <c r="Q969" t="str">
        <f>LEFT(B969, 6)</f>
        <v>Lenovo</v>
      </c>
      <c r="R969" t="str">
        <f t="shared" si="72"/>
        <v>Intel Core i5 (12th Gen)</v>
      </c>
      <c r="S969" t="str">
        <f t="shared" si="71"/>
        <v>16 GB</v>
      </c>
    </row>
    <row r="970" spans="1:19">
      <c r="A970" t="str">
        <f>LEFT(B970, LEN(B970)-15)</f>
        <v>Acer Aspire Lite AL15-52 (UN.AA3SI.03N) Laptop (Core i3 12th Gen/8 GB/512 GB SSD/Windows 11)</v>
      </c>
      <c r="B970" t="s">
        <v>1488</v>
      </c>
      <c r="C970" s="1">
        <v>31750</v>
      </c>
      <c r="D970" s="1">
        <v>1673</v>
      </c>
      <c r="E970" s="2">
        <v>82</v>
      </c>
      <c r="F970" s="2" t="str" cm="1">
        <f t="array" ref="F970">_xlfn.IFS(AND(101&gt;E970, E970&gt;69), "Top-Tier", AND(70&gt;E970, E970&gt;39), "Mid-Tier", 40&gt;E970, "Low-Tier")</f>
        <v>Top-Tier</v>
      </c>
      <c r="G970" s="4">
        <v>45536</v>
      </c>
      <c r="H970" t="s">
        <v>1484</v>
      </c>
      <c r="I970" t="s">
        <v>33</v>
      </c>
      <c r="J970" t="s">
        <v>50</v>
      </c>
      <c r="K970" t="s">
        <v>51</v>
      </c>
      <c r="L970" t="s">
        <v>24</v>
      </c>
      <c r="M970" t="s">
        <v>52</v>
      </c>
      <c r="N970" t="s">
        <v>31</v>
      </c>
      <c r="P970" s="3">
        <v>71</v>
      </c>
      <c r="Q970" t="str">
        <f>LEFT(B970, 4)</f>
        <v>Acer</v>
      </c>
      <c r="R970" t="str">
        <f t="shared" si="72"/>
        <v>Intel Core i5 (12th Gen)</v>
      </c>
      <c r="S970" t="str">
        <f t="shared" si="71"/>
        <v xml:space="preserve">8 GB </v>
      </c>
    </row>
    <row r="971" spans="1:19">
      <c r="A971" t="str">
        <f>LEFT(B971, LEN(B971)-15)</f>
        <v>HP 15-fd0063TU (A33FQPA) Laptop (Core i3 12th Gen/8 GB/512 GB SSD/Windows 11)</v>
      </c>
      <c r="B971" t="s">
        <v>1489</v>
      </c>
      <c r="C971" s="1">
        <v>35990</v>
      </c>
      <c r="D971" s="1">
        <v>1386</v>
      </c>
      <c r="E971" s="2">
        <v>82</v>
      </c>
      <c r="F971" s="2" t="str" cm="1">
        <f t="array" ref="F971">_xlfn.IFS(AND(101&gt;E971, E971&gt;69), "Top-Tier", AND(70&gt;E971, E971&gt;39), "Mid-Tier", 40&gt;E971, "Low-Tier")</f>
        <v>Top-Tier</v>
      </c>
      <c r="G971" s="4">
        <v>45505</v>
      </c>
      <c r="H971" t="s">
        <v>1484</v>
      </c>
      <c r="I971" t="s">
        <v>33</v>
      </c>
      <c r="J971" t="s">
        <v>50</v>
      </c>
      <c r="K971" t="s">
        <v>51</v>
      </c>
      <c r="L971" t="s">
        <v>24</v>
      </c>
      <c r="M971" t="s">
        <v>99</v>
      </c>
      <c r="N971" t="s">
        <v>31</v>
      </c>
      <c r="P971" s="3">
        <v>73</v>
      </c>
      <c r="Q971" t="str">
        <f>LEFT(B971, 2)</f>
        <v>HP</v>
      </c>
      <c r="R971" t="str">
        <f t="shared" si="72"/>
        <v>Intel Core i5 (12th Gen)</v>
      </c>
      <c r="S971" t="str">
        <f t="shared" si="71"/>
        <v xml:space="preserve">8 GB </v>
      </c>
    </row>
    <row r="972" spans="1:19">
      <c r="A972" t="str">
        <f>LEFT(B972, LEN(B972)-15)</f>
        <v>Asus VivoBook 16 X1605VA-MB5555WS Laptop (Core i5 13th Gen/16 GB/512 GB SSD/Windows 11)</v>
      </c>
      <c r="B972" t="s">
        <v>1490</v>
      </c>
      <c r="C972" s="1">
        <v>54990</v>
      </c>
      <c r="D972" s="1">
        <v>145</v>
      </c>
      <c r="E972" s="2">
        <v>82</v>
      </c>
      <c r="F972" s="2" t="str" cm="1">
        <f t="array" ref="F972">_xlfn.IFS(AND(101&gt;E972, E972&gt;69), "Top-Tier", AND(70&gt;E972, E972&gt;39), "Mid-Tier", 40&gt;E972, "Low-Tier")</f>
        <v>Top-Tier</v>
      </c>
      <c r="G972" s="4">
        <v>45658</v>
      </c>
      <c r="H972" t="s">
        <v>1484</v>
      </c>
      <c r="I972" t="s">
        <v>33</v>
      </c>
      <c r="J972" t="s">
        <v>34</v>
      </c>
      <c r="K972" t="s">
        <v>155</v>
      </c>
      <c r="L972" t="s">
        <v>24</v>
      </c>
      <c r="M972" t="s">
        <v>52</v>
      </c>
      <c r="N972" t="s">
        <v>31</v>
      </c>
      <c r="P972" s="3">
        <v>80</v>
      </c>
      <c r="Q972" t="str">
        <f>LEFT(B972, 4)</f>
        <v>Asus</v>
      </c>
      <c r="R972" t="str">
        <f t="shared" si="72"/>
        <v>Intel Core i5 (12th Gen)</v>
      </c>
      <c r="S972" t="str">
        <f t="shared" si="71"/>
        <v>16 GB</v>
      </c>
    </row>
    <row r="973" spans="1:19">
      <c r="A973" t="str">
        <f>LEFT(B973, LEN(B973)-15)</f>
        <v>Lenovo LOQ 15ARP9 (83JC00EFIN) Laptop (AMD Quad Core Ryzen 5/24 GB/512 GB SSD/Windows 11/6 GB)</v>
      </c>
      <c r="B973" t="s">
        <v>1491</v>
      </c>
      <c r="C973" s="1">
        <v>65990</v>
      </c>
      <c r="D973" s="1">
        <v>82</v>
      </c>
      <c r="E973" s="2">
        <v>82</v>
      </c>
      <c r="F973" s="2" t="str" cm="1">
        <f t="array" ref="F973">_xlfn.IFS(AND(101&gt;E973, E973&gt;69), "Top-Tier", AND(70&gt;E973, E973&gt;39), "Mid-Tier", 40&gt;E973, "Low-Tier")</f>
        <v>Top-Tier</v>
      </c>
      <c r="G973" s="4">
        <v>45658</v>
      </c>
      <c r="H973" t="s">
        <v>1484</v>
      </c>
      <c r="I973" t="s">
        <v>33</v>
      </c>
      <c r="J973" t="s">
        <v>436</v>
      </c>
      <c r="K973" t="s">
        <v>51</v>
      </c>
      <c r="L973" t="s">
        <v>24</v>
      </c>
      <c r="N973" t="s">
        <v>31</v>
      </c>
      <c r="P973" s="3">
        <v>79</v>
      </c>
      <c r="Q973" t="str">
        <f>LEFT(B973, 6)</f>
        <v>Lenovo</v>
      </c>
      <c r="R973" t="str">
        <f t="shared" si="72"/>
        <v>Intel Core i5 (12th Gen)</v>
      </c>
      <c r="S973" t="str">
        <f t="shared" si="71"/>
        <v>24 GB</v>
      </c>
    </row>
    <row r="974" spans="1:19">
      <c r="A974" t="str">
        <f>LEFT(B974, LEN(B974)-15)</f>
        <v>Asus VivoBook 16 X1607QA-MB049WS Laptop (Qualcomm Snapdragon Octa Core/16 GB/512 GB SSD/Windows 11)</v>
      </c>
      <c r="B974" t="s">
        <v>1492</v>
      </c>
      <c r="C974" s="1">
        <v>65999</v>
      </c>
      <c r="D974" s="1">
        <v>61</v>
      </c>
      <c r="E974" s="2">
        <v>82</v>
      </c>
      <c r="F974" s="2" t="str" cm="1">
        <f t="array" ref="F974">_xlfn.IFS(AND(101&gt;E974, E974&gt;69), "Top-Tier", AND(70&gt;E974, E974&gt;39), "Mid-Tier", 40&gt;E974, "Low-Tier")</f>
        <v>Top-Tier</v>
      </c>
      <c r="G974" s="4">
        <v>45689</v>
      </c>
      <c r="H974" t="s">
        <v>1484</v>
      </c>
      <c r="I974" t="s">
        <v>33</v>
      </c>
      <c r="J974" t="s">
        <v>63</v>
      </c>
      <c r="K974" t="s">
        <v>155</v>
      </c>
      <c r="L974" t="s">
        <v>24</v>
      </c>
      <c r="M974" t="s">
        <v>52</v>
      </c>
      <c r="N974" t="s">
        <v>31</v>
      </c>
      <c r="P974" s="3">
        <v>78</v>
      </c>
      <c r="Q974" t="str">
        <f>LEFT(B974, 4)</f>
        <v>Asus</v>
      </c>
      <c r="R974" t="str">
        <f t="shared" si="72"/>
        <v>Intel Core i5 (12th Gen)</v>
      </c>
      <c r="S974" t="str">
        <f t="shared" si="71"/>
        <v>16 GB</v>
      </c>
    </row>
    <row r="975" spans="1:19">
      <c r="A975" t="str">
        <f>LEFT(B975, LEN(B975)-15)</f>
        <v>Asus VivoBook 16 X1607QA-MB050WS Laptop (Qualcomm Snapdragon Octa Core/16 GB/512 GB SSD/Windows 11)</v>
      </c>
      <c r="B975" t="s">
        <v>1493</v>
      </c>
      <c r="C975" s="1">
        <v>60990</v>
      </c>
      <c r="D975" s="1">
        <v>61</v>
      </c>
      <c r="E975" s="2">
        <v>82</v>
      </c>
      <c r="F975" s="2" t="str" cm="1">
        <f t="array" ref="F975">_xlfn.IFS(AND(101&gt;E975, E975&gt;69), "Top-Tier", AND(70&gt;E975, E975&gt;39), "Mid-Tier", 40&gt;E975, "Low-Tier")</f>
        <v>Top-Tier</v>
      </c>
      <c r="G975" s="4">
        <v>45689</v>
      </c>
      <c r="H975" t="s">
        <v>1484</v>
      </c>
      <c r="I975" t="s">
        <v>33</v>
      </c>
      <c r="J975" t="s">
        <v>63</v>
      </c>
      <c r="K975" t="s">
        <v>155</v>
      </c>
      <c r="L975" t="s">
        <v>24</v>
      </c>
      <c r="M975" t="s">
        <v>52</v>
      </c>
      <c r="N975" t="s">
        <v>31</v>
      </c>
      <c r="P975" s="3">
        <v>77</v>
      </c>
      <c r="Q975" t="str">
        <f>LEFT(B975, 4)</f>
        <v>Asus</v>
      </c>
      <c r="R975" t="str">
        <f t="shared" si="72"/>
        <v>Intel Core i5 (12th Gen)</v>
      </c>
      <c r="S975" t="str">
        <f t="shared" si="71"/>
        <v>16 GB</v>
      </c>
    </row>
    <row r="976" spans="1:19">
      <c r="A976" t="str">
        <f>LEFT(B976, LEN(B976)-15)</f>
        <v>Lenovo IdeaPad 14IGL7 (82V6009TIN) Laptop (Intel Celeron Dual Core/8 GB/512 GB SSD/Windows 11)</v>
      </c>
      <c r="B976" t="s">
        <v>1494</v>
      </c>
      <c r="C976" s="1">
        <v>25990</v>
      </c>
      <c r="D976" s="1">
        <v>432</v>
      </c>
      <c r="E976" s="2">
        <v>82</v>
      </c>
      <c r="F976" s="2" t="str" cm="1">
        <f t="array" ref="F976">_xlfn.IFS(AND(101&gt;E976, E976&gt;69), "Top-Tier", AND(70&gt;E976, E976&gt;39), "Mid-Tier", 40&gt;E976, "Low-Tier")</f>
        <v>Top-Tier</v>
      </c>
      <c r="G976" s="4">
        <v>45658</v>
      </c>
      <c r="H976" t="s">
        <v>1484</v>
      </c>
      <c r="I976" t="s">
        <v>33</v>
      </c>
      <c r="J976" t="s">
        <v>50</v>
      </c>
      <c r="K976" t="s">
        <v>1246</v>
      </c>
      <c r="L976" t="s">
        <v>24</v>
      </c>
      <c r="M976" t="s">
        <v>95</v>
      </c>
      <c r="N976" t="s">
        <v>31</v>
      </c>
      <c r="Q976" t="str">
        <f>LEFT(B976, 6)</f>
        <v>Lenovo</v>
      </c>
      <c r="R976" t="str">
        <f t="shared" si="72"/>
        <v>Intel Core i5 (12th Gen)</v>
      </c>
      <c r="S976" t="str">
        <f t="shared" si="71"/>
        <v xml:space="preserve">8 GB </v>
      </c>
    </row>
    <row r="977" spans="1:19">
      <c r="A977" t="str">
        <f>LEFT(B977, LEN(B977)-15)</f>
        <v>Asus VivoBook 16 X1605VA-MB1627WS Laptop (Core i5 13th Gen/16 GB/512 GB SSD/Windows 11)</v>
      </c>
      <c r="B977" t="s">
        <v>1495</v>
      </c>
      <c r="C977" s="1">
        <v>56990</v>
      </c>
      <c r="D977" s="1">
        <v>42</v>
      </c>
      <c r="E977" s="2">
        <v>82</v>
      </c>
      <c r="F977" s="2" t="str" cm="1">
        <f t="array" ref="F977">_xlfn.IFS(AND(101&gt;E977, E977&gt;69), "Top-Tier", AND(70&gt;E977, E977&gt;39), "Mid-Tier", 40&gt;E977, "Low-Tier")</f>
        <v>Top-Tier</v>
      </c>
      <c r="G977" s="4">
        <v>45748</v>
      </c>
      <c r="H977" t="s">
        <v>1484</v>
      </c>
      <c r="I977" t="s">
        <v>33</v>
      </c>
      <c r="J977" t="s">
        <v>34</v>
      </c>
      <c r="K977" t="s">
        <v>1417</v>
      </c>
      <c r="L977" t="s">
        <v>24</v>
      </c>
      <c r="M977" t="s">
        <v>52</v>
      </c>
      <c r="N977" t="s">
        <v>31</v>
      </c>
      <c r="P977" s="3">
        <v>79</v>
      </c>
      <c r="Q977" t="str">
        <f>LEFT(B977, 4)</f>
        <v>Asus</v>
      </c>
      <c r="R977" t="str">
        <f t="shared" si="72"/>
        <v>Intel Core i5 (12th Gen)</v>
      </c>
      <c r="S977" t="str">
        <f t="shared" si="71"/>
        <v>16 GB</v>
      </c>
    </row>
    <row r="978" spans="1:19">
      <c r="A978" t="str">
        <f>LEFT(B978, LEN(B978)-15)</f>
        <v>HP 15-fd0111TU (A47CYPA) Laptop (Core i5 12th Gen/16 GB/512 GB SSD/Windows 11)</v>
      </c>
      <c r="B978" t="s">
        <v>1496</v>
      </c>
      <c r="C978" s="1">
        <v>48980</v>
      </c>
      <c r="D978" s="1">
        <v>384</v>
      </c>
      <c r="E978" s="2">
        <v>82</v>
      </c>
      <c r="F978" s="2" t="str" cm="1">
        <f t="array" ref="F978">_xlfn.IFS(AND(101&gt;E978, E978&gt;69), "Top-Tier", AND(70&gt;E978, E978&gt;39), "Mid-Tier", 40&gt;E978, "Low-Tier")</f>
        <v>Top-Tier</v>
      </c>
      <c r="G978" s="4">
        <v>45505</v>
      </c>
      <c r="H978" t="s">
        <v>1484</v>
      </c>
      <c r="I978" t="s">
        <v>33</v>
      </c>
      <c r="J978" t="s">
        <v>34</v>
      </c>
      <c r="K978" t="s">
        <v>51</v>
      </c>
      <c r="L978" t="s">
        <v>24</v>
      </c>
      <c r="M978" t="s">
        <v>95</v>
      </c>
      <c r="N978" t="s">
        <v>31</v>
      </c>
      <c r="P978" s="3">
        <v>76</v>
      </c>
      <c r="Q978" t="str">
        <f>LEFT(B978, 2)</f>
        <v>HP</v>
      </c>
      <c r="R978" t="str">
        <f t="shared" si="72"/>
        <v>Intel Core i5 (12th Gen)</v>
      </c>
      <c r="S978" t="str">
        <f t="shared" si="71"/>
        <v>16 GB</v>
      </c>
    </row>
    <row r="979" spans="1:19">
      <c r="A979" t="str">
        <f>LEFT(B979, LEN(B979)-15)</f>
        <v>Asus VivoBook 16 X1605VA-MB9999WS Laptop (Core i9 13th Gen/16 GB/1 TB SSD/Windows 11)</v>
      </c>
      <c r="B979" t="s">
        <v>1497</v>
      </c>
      <c r="C979" s="1">
        <v>99990</v>
      </c>
      <c r="D979" s="1">
        <v>259</v>
      </c>
      <c r="E979" s="2">
        <v>82</v>
      </c>
      <c r="F979" s="2" t="str" cm="1">
        <f t="array" ref="F979">_xlfn.IFS(AND(101&gt;E979, E979&gt;69), "Top-Tier", AND(70&gt;E979, E979&gt;39), "Mid-Tier", 40&gt;E979, "Low-Tier")</f>
        <v>Top-Tier</v>
      </c>
      <c r="G979" s="4">
        <v>45658</v>
      </c>
      <c r="H979" t="s">
        <v>1484</v>
      </c>
      <c r="I979" t="s">
        <v>33</v>
      </c>
      <c r="J979" t="s">
        <v>184</v>
      </c>
      <c r="K979" t="s">
        <v>155</v>
      </c>
      <c r="L979" t="s">
        <v>24</v>
      </c>
      <c r="N979" t="s">
        <v>31</v>
      </c>
      <c r="P979" s="3">
        <v>83</v>
      </c>
      <c r="Q979" t="str">
        <f>LEFT(B979, 4)</f>
        <v>Asus</v>
      </c>
      <c r="R979" t="str">
        <f t="shared" si="72"/>
        <v>Intel Core i5 (12th Gen)</v>
      </c>
      <c r="S979" t="str">
        <f t="shared" si="71"/>
        <v>16 GB</v>
      </c>
    </row>
    <row r="980" spans="1:19">
      <c r="A980" t="str">
        <f>LEFT(B980, LEN(B980)-15)</f>
        <v>Lenovo LOQ 15IRX9 (83DV00XCIN) Laptop (Core i5 13th Gen/16 GB/512 GB SSD/Windows 11/6 GB)</v>
      </c>
      <c r="B980" t="s">
        <v>1498</v>
      </c>
      <c r="C980" s="1">
        <v>73190</v>
      </c>
      <c r="D980" s="1">
        <v>277</v>
      </c>
      <c r="E980" s="2">
        <v>82</v>
      </c>
      <c r="F980" s="2" t="str" cm="1">
        <f t="array" ref="F980">_xlfn.IFS(AND(101&gt;E980, E980&gt;69), "Top-Tier", AND(70&gt;E980, E980&gt;39), "Mid-Tier", 40&gt;E980, "Low-Tier")</f>
        <v>Top-Tier</v>
      </c>
      <c r="G980" s="4">
        <v>45627</v>
      </c>
      <c r="H980" t="s">
        <v>1499</v>
      </c>
      <c r="I980" t="s">
        <v>33</v>
      </c>
      <c r="J980" t="s">
        <v>54</v>
      </c>
      <c r="K980" t="s">
        <v>51</v>
      </c>
      <c r="L980" t="s">
        <v>24</v>
      </c>
      <c r="N980" t="s">
        <v>31</v>
      </c>
      <c r="Q980" t="str">
        <f>LEFT(B980, 6)</f>
        <v>Lenovo</v>
      </c>
      <c r="R980" t="str">
        <f t="shared" si="72"/>
        <v>Intel Core i5 (12th Gen)</v>
      </c>
      <c r="S980" t="str">
        <f t="shared" si="71"/>
        <v>16 GB</v>
      </c>
    </row>
    <row r="981" spans="1:19">
      <c r="A981" t="str">
        <f>LEFT(B981, LEN(B981)-15)</f>
        <v>Lenovo IdeaPad 3 14IAU7 (82RJ00FLIN) Laptop (Core i3 12th Gen/16 GB/512 GB SSD/Windows 11)</v>
      </c>
      <c r="B981" t="s">
        <v>1500</v>
      </c>
      <c r="C981" s="1">
        <v>39690</v>
      </c>
      <c r="D981" s="1">
        <v>9</v>
      </c>
      <c r="E981" s="2">
        <v>82</v>
      </c>
      <c r="F981" s="2" t="str" cm="1">
        <f t="array" ref="F981">_xlfn.IFS(AND(101&gt;E981, E981&gt;69), "Top-Tier", AND(70&gt;E981, E981&gt;39), "Mid-Tier", 40&gt;E981, "Low-Tier")</f>
        <v>Top-Tier</v>
      </c>
      <c r="G981" s="4">
        <v>45536</v>
      </c>
      <c r="H981" t="s">
        <v>1501</v>
      </c>
      <c r="I981" t="s">
        <v>33</v>
      </c>
      <c r="J981" t="s">
        <v>34</v>
      </c>
      <c r="K981" t="s">
        <v>1140</v>
      </c>
      <c r="L981" t="s">
        <v>24</v>
      </c>
      <c r="M981" t="s">
        <v>52</v>
      </c>
      <c r="N981" t="s">
        <v>31</v>
      </c>
      <c r="P981" s="3">
        <v>78</v>
      </c>
      <c r="Q981" t="str">
        <f>LEFT(B981, 6)</f>
        <v>Lenovo</v>
      </c>
      <c r="R981" t="str">
        <f t="shared" si="72"/>
        <v>Intel Core i5 (12th Gen)</v>
      </c>
      <c r="S981" t="str">
        <f t="shared" si="71"/>
        <v>16 GB</v>
      </c>
    </row>
    <row r="982" spans="1:19">
      <c r="A982" t="str">
        <f>LEFT(B982, LEN(B982)-15)</f>
        <v>Asus VivoBook 16 X1605ZAC-MB541WS Laptop (Core i5 12th Gen/16 GB/512 GB SSD/Windows 11)</v>
      </c>
      <c r="B982" t="s">
        <v>1502</v>
      </c>
      <c r="C982" s="1">
        <v>54990</v>
      </c>
      <c r="D982" s="1">
        <v>119</v>
      </c>
      <c r="E982" s="2">
        <v>82</v>
      </c>
      <c r="F982" s="2" t="str" cm="1">
        <f t="array" ref="F982">_xlfn.IFS(AND(101&gt;E982, E982&gt;69), "Top-Tier", AND(70&gt;E982, E982&gt;39), "Mid-Tier", 40&gt;E982, "Low-Tier")</f>
        <v>Top-Tier</v>
      </c>
      <c r="G982" s="4">
        <v>45474</v>
      </c>
      <c r="H982" t="s">
        <v>1501</v>
      </c>
      <c r="I982" t="s">
        <v>33</v>
      </c>
      <c r="J982" t="s">
        <v>34</v>
      </c>
      <c r="K982" t="s">
        <v>155</v>
      </c>
      <c r="L982" t="s">
        <v>24</v>
      </c>
      <c r="M982" t="s">
        <v>52</v>
      </c>
      <c r="N982" t="s">
        <v>31</v>
      </c>
      <c r="P982" s="3">
        <v>80</v>
      </c>
      <c r="Q982" t="str">
        <f>LEFT(B982, 4)</f>
        <v>Asus</v>
      </c>
      <c r="R982" t="str">
        <f t="shared" si="72"/>
        <v>Intel Core i5 (12th Gen)</v>
      </c>
      <c r="S982" t="str">
        <f t="shared" si="71"/>
        <v>16 GB</v>
      </c>
    </row>
    <row r="983" spans="1:19">
      <c r="A983" t="str">
        <f>LEFT(B983, LEN(B983)-15)</f>
        <v>Asus Notebook 12 BR1100FKA-BP1104W Laptop (Intel Celeron Dual Core/4 GB/128 GB SSD/Windows 11)</v>
      </c>
      <c r="B983" t="s">
        <v>1503</v>
      </c>
      <c r="C983" s="1">
        <v>28600</v>
      </c>
      <c r="D983" s="1">
        <v>105</v>
      </c>
      <c r="E983" s="2">
        <v>82</v>
      </c>
      <c r="F983" s="2" t="str" cm="1">
        <f t="array" ref="F983">_xlfn.IFS(AND(101&gt;E983, E983&gt;69), "Top-Tier", AND(70&gt;E983, E983&gt;39), "Mid-Tier", 40&gt;E983, "Low-Tier")</f>
        <v>Top-Tier</v>
      </c>
      <c r="G983" s="4">
        <v>44682</v>
      </c>
      <c r="H983" t="s">
        <v>1501</v>
      </c>
      <c r="I983" t="s">
        <v>33</v>
      </c>
      <c r="J983" t="s">
        <v>1504</v>
      </c>
      <c r="K983" t="s">
        <v>1505</v>
      </c>
      <c r="L983" t="s">
        <v>24</v>
      </c>
      <c r="M983" t="s">
        <v>1506</v>
      </c>
      <c r="N983" t="s">
        <v>31</v>
      </c>
      <c r="Q983" t="str">
        <f>LEFT(B983, 4)</f>
        <v>Asus</v>
      </c>
      <c r="R983" t="str">
        <f t="shared" si="72"/>
        <v>Intel Core i5 (12th Gen)</v>
      </c>
      <c r="S983" t="str">
        <f t="shared" si="71"/>
        <v xml:space="preserve">4 GB </v>
      </c>
    </row>
    <row r="984" spans="1:19">
      <c r="A984" t="str">
        <f>LEFT(B984, LEN(B984)-15)</f>
        <v>Asus Expertbook P5 P5405CSA-NZ0583WS Laptop (Core Ultra 5 Series 2 /16 GB/1 TB SSD/Windows 11)</v>
      </c>
      <c r="B984" t="s">
        <v>1507</v>
      </c>
      <c r="C984" s="1">
        <v>94990</v>
      </c>
      <c r="D984" s="1">
        <v>7</v>
      </c>
      <c r="E984" s="2">
        <v>82</v>
      </c>
      <c r="F984" s="2" t="str" cm="1">
        <f t="array" ref="F984">_xlfn.IFS(AND(101&gt;E984, E984&gt;69), "Top-Tier", AND(70&gt;E984, E984&gt;39), "Mid-Tier", 40&gt;E984, "Low-Tier")</f>
        <v>Top-Tier</v>
      </c>
      <c r="G984" s="4">
        <v>45748</v>
      </c>
      <c r="H984" t="s">
        <v>1501</v>
      </c>
      <c r="I984" t="s">
        <v>33</v>
      </c>
      <c r="J984" t="s">
        <v>42</v>
      </c>
      <c r="K984" t="s">
        <v>1508</v>
      </c>
      <c r="L984" t="s">
        <v>24</v>
      </c>
      <c r="M984" t="s">
        <v>708</v>
      </c>
      <c r="N984" t="s">
        <v>31</v>
      </c>
      <c r="P984" s="3">
        <v>87</v>
      </c>
      <c r="Q984" t="str">
        <f>LEFT(B984, 4)</f>
        <v>Asus</v>
      </c>
      <c r="R984" t="str">
        <f t="shared" si="72"/>
        <v>Intel Core i5 (12th Gen)</v>
      </c>
      <c r="S984" t="str">
        <f t="shared" si="71"/>
        <v>16 GB</v>
      </c>
    </row>
    <row r="985" spans="1:19">
      <c r="A985" t="str">
        <f>LEFT(B985, LEN(B985)-15)</f>
        <v>HP 15-bg003au (Z1D90PA) Laptop (AMD Quad Core E2/4 GB/500 GB/DOS)</v>
      </c>
      <c r="B985" t="s">
        <v>1509</v>
      </c>
      <c r="C985" s="1">
        <v>22746</v>
      </c>
      <c r="D985" s="1">
        <v>1997</v>
      </c>
      <c r="E985" s="2">
        <v>82</v>
      </c>
      <c r="F985" s="2" t="str" cm="1">
        <f t="array" ref="F985">_xlfn.IFS(AND(101&gt;E985, E985&gt;69), "Top-Tier", AND(70&gt;E985, E985&gt;39), "Mid-Tier", 40&gt;E985, "Low-Tier")</f>
        <v>Top-Tier</v>
      </c>
      <c r="H985" t="s">
        <v>1510</v>
      </c>
      <c r="I985" t="s">
        <v>124</v>
      </c>
      <c r="J985" t="s">
        <v>1511</v>
      </c>
      <c r="K985" t="s">
        <v>705</v>
      </c>
      <c r="L985" t="s">
        <v>24</v>
      </c>
      <c r="N985" t="s">
        <v>31</v>
      </c>
      <c r="O985" t="s">
        <v>152</v>
      </c>
      <c r="Q985" t="str">
        <f>LEFT(B985, 2)</f>
        <v>HP</v>
      </c>
      <c r="R985" t="str">
        <f t="shared" si="72"/>
        <v>Intel Core i5 (12th Gen)</v>
      </c>
      <c r="S985" t="str">
        <f t="shared" si="71"/>
        <v xml:space="preserve">4 GB </v>
      </c>
    </row>
    <row r="986" spans="1:19">
      <c r="A986" t="str">
        <f>LEFT(B986, LEN(B986)-15)</f>
        <v>Asus VivoBook 15 X1500EA-EJ121WS Laptop (Intel Pentium Gold/8 GB/512 GB SSD/Windows 11)</v>
      </c>
      <c r="B986" t="s">
        <v>1512</v>
      </c>
      <c r="C986" s="1">
        <v>25990</v>
      </c>
      <c r="D986" s="1">
        <v>122</v>
      </c>
      <c r="E986" s="2">
        <v>82</v>
      </c>
      <c r="F986" s="2" t="str" cm="1">
        <f t="array" ref="F986">_xlfn.IFS(AND(101&gt;E986, E986&gt;69), "Top-Tier", AND(70&gt;E986, E986&gt;39), "Mid-Tier", 40&gt;E986, "Low-Tier")</f>
        <v>Top-Tier</v>
      </c>
      <c r="G986" s="4">
        <v>45536</v>
      </c>
      <c r="H986" t="s">
        <v>1510</v>
      </c>
      <c r="I986" t="s">
        <v>33</v>
      </c>
      <c r="J986" t="s">
        <v>50</v>
      </c>
      <c r="K986" t="s">
        <v>1513</v>
      </c>
      <c r="L986" t="s">
        <v>24</v>
      </c>
      <c r="M986" t="s">
        <v>52</v>
      </c>
      <c r="N986" t="s">
        <v>31</v>
      </c>
      <c r="P986" s="3">
        <v>72</v>
      </c>
      <c r="Q986" t="str">
        <f>LEFT(B986, 4)</f>
        <v>Asus</v>
      </c>
      <c r="R986" t="str">
        <f t="shared" si="72"/>
        <v>Intel Core i5 (12th Gen)</v>
      </c>
      <c r="S986" t="str">
        <f t="shared" si="71"/>
        <v xml:space="preserve">8 GB </v>
      </c>
    </row>
    <row r="987" spans="1:19">
      <c r="A987" t="str">
        <f>LEFT(B987, LEN(B987)-15)</f>
        <v>Acer Aspire Lite AL15-52 (UN.431SI.359) Laptop (Core i3 12th Gen/16 GB/512 GB SSD/Windows 11)</v>
      </c>
      <c r="B987" t="s">
        <v>1514</v>
      </c>
      <c r="C987" s="1">
        <v>33990</v>
      </c>
      <c r="D987" s="1">
        <v>833</v>
      </c>
      <c r="E987" s="2">
        <v>82</v>
      </c>
      <c r="F987" s="2" t="str" cm="1">
        <f t="array" ref="F987">_xlfn.IFS(AND(101&gt;E987, E987&gt;69), "Top-Tier", AND(70&gt;E987, E987&gt;39), "Mid-Tier", 40&gt;E987, "Low-Tier")</f>
        <v>Top-Tier</v>
      </c>
      <c r="G987" s="4">
        <v>45474</v>
      </c>
      <c r="H987" t="s">
        <v>1510</v>
      </c>
      <c r="I987" t="s">
        <v>33</v>
      </c>
      <c r="J987" t="s">
        <v>34</v>
      </c>
      <c r="K987" t="s">
        <v>51</v>
      </c>
      <c r="L987" t="s">
        <v>24</v>
      </c>
      <c r="M987" t="s">
        <v>52</v>
      </c>
      <c r="N987" t="s">
        <v>31</v>
      </c>
      <c r="P987" s="3">
        <v>76</v>
      </c>
      <c r="Q987" t="str">
        <f>LEFT(B987, 4)</f>
        <v>Acer</v>
      </c>
      <c r="R987" t="str">
        <f t="shared" si="72"/>
        <v>Intel Core i5 (12th Gen)</v>
      </c>
      <c r="S987" t="str">
        <f t="shared" si="71"/>
        <v>16 GB</v>
      </c>
    </row>
    <row r="988" spans="1:19">
      <c r="A988" t="str">
        <f>LEFT(B988, LEN(B988)-15)</f>
        <v>HP 15s-du0051TU (6YE07PA) Laptop (Core i5 8th Gen/8 GB/1 TB/Windows 10)</v>
      </c>
      <c r="B988" t="s">
        <v>1515</v>
      </c>
      <c r="C988" s="1">
        <v>56538</v>
      </c>
      <c r="D988" s="1">
        <v>227</v>
      </c>
      <c r="E988" s="2">
        <v>82</v>
      </c>
      <c r="F988" s="2" t="str" cm="1">
        <f t="array" ref="F988">_xlfn.IFS(AND(101&gt;E988, E988&gt;69), "Top-Tier", AND(70&gt;E988, E988&gt;39), "Mid-Tier", 40&gt;E988, "Low-Tier")</f>
        <v>Top-Tier</v>
      </c>
      <c r="G988" s="4">
        <v>44136</v>
      </c>
      <c r="H988" t="s">
        <v>1510</v>
      </c>
      <c r="I988" t="s">
        <v>248</v>
      </c>
      <c r="J988" t="s">
        <v>332</v>
      </c>
      <c r="K988" t="s">
        <v>249</v>
      </c>
      <c r="L988" t="s">
        <v>24</v>
      </c>
      <c r="M988" t="s">
        <v>52</v>
      </c>
      <c r="N988" t="s">
        <v>31</v>
      </c>
      <c r="Q988" t="str">
        <f>LEFT(B988, 2)</f>
        <v>HP</v>
      </c>
      <c r="R988" t="str">
        <f t="shared" si="72"/>
        <v>Intel Core i5 (12th Gen)</v>
      </c>
      <c r="S988" t="str">
        <f t="shared" si="71"/>
        <v xml:space="preserve">8 GB </v>
      </c>
    </row>
    <row r="989" spans="1:19">
      <c r="A989" t="str">
        <f>LEFT(B989, LEN(B989)-15)</f>
        <v>Dell Inspiron 15 (IN3520CM22P001ORB1) Laptop (Core i5 12th Gen/8 GB/512 GB SSD/Windows 11)</v>
      </c>
      <c r="B989" t="s">
        <v>1516</v>
      </c>
      <c r="C989" s="1">
        <v>47790</v>
      </c>
      <c r="D989" s="1">
        <v>661</v>
      </c>
      <c r="E989" s="2">
        <v>82</v>
      </c>
      <c r="F989" s="2" t="str" cm="1">
        <f t="array" ref="F989">_xlfn.IFS(AND(101&gt;E989, E989&gt;69), "Top-Tier", AND(70&gt;E989, E989&gt;39), "Mid-Tier", 40&gt;E989, "Low-Tier")</f>
        <v>Top-Tier</v>
      </c>
      <c r="G989" s="4">
        <v>45474</v>
      </c>
      <c r="H989" t="s">
        <v>1510</v>
      </c>
      <c r="I989" t="s">
        <v>33</v>
      </c>
      <c r="J989" t="s">
        <v>50</v>
      </c>
      <c r="K989" t="s">
        <v>1517</v>
      </c>
      <c r="L989" t="s">
        <v>24</v>
      </c>
      <c r="M989" t="s">
        <v>237</v>
      </c>
      <c r="N989" t="s">
        <v>31</v>
      </c>
      <c r="P989" s="3">
        <v>77</v>
      </c>
      <c r="Q989" t="str">
        <f>LEFT(B989, 4)</f>
        <v>Dell</v>
      </c>
      <c r="R989" t="str">
        <f t="shared" si="72"/>
        <v>Intel Core i5 (12th Gen)</v>
      </c>
      <c r="S989" t="str">
        <f t="shared" si="71"/>
        <v xml:space="preserve">8 GB </v>
      </c>
    </row>
    <row r="990" spans="1:19">
      <c r="A990" t="str">
        <f>LEFT(B990, LEN(B990)-15)</f>
        <v>Lenovo V15 (82KBA033IH) Laptop (Core i3 11th Gen/8 GB/512 GB SSD/Windows 11)</v>
      </c>
      <c r="B990" t="s">
        <v>1518</v>
      </c>
      <c r="C990" s="1">
        <v>30900</v>
      </c>
      <c r="D990" s="1">
        <v>449</v>
      </c>
      <c r="E990" s="2">
        <v>82</v>
      </c>
      <c r="F990" s="2" t="str" cm="1">
        <f t="array" ref="F990">_xlfn.IFS(AND(101&gt;E990, E990&gt;69), "Top-Tier", AND(70&gt;E990, E990&gt;39), "Mid-Tier", 40&gt;E990, "Low-Tier")</f>
        <v>Top-Tier</v>
      </c>
      <c r="G990" s="4">
        <v>44896</v>
      </c>
      <c r="H990" t="s">
        <v>1510</v>
      </c>
      <c r="I990" t="s">
        <v>33</v>
      </c>
      <c r="J990" t="s">
        <v>50</v>
      </c>
      <c r="K990" t="s">
        <v>51</v>
      </c>
      <c r="L990" t="s">
        <v>24</v>
      </c>
      <c r="M990" t="s">
        <v>253</v>
      </c>
      <c r="N990" t="s">
        <v>31</v>
      </c>
      <c r="P990" s="3">
        <v>73</v>
      </c>
      <c r="Q990" t="str">
        <f>LEFT(B990, 6)</f>
        <v>Lenovo</v>
      </c>
      <c r="R990" t="str">
        <f t="shared" si="72"/>
        <v>Intel Core i5 (12th Gen)</v>
      </c>
      <c r="S990" t="str">
        <f t="shared" si="71"/>
        <v xml:space="preserve">8 GB </v>
      </c>
    </row>
    <row r="991" spans="1:19">
      <c r="A991" t="str">
        <f>LEFT(B991, LEN(B991)-15)</f>
        <v>Lenovo ThinkBook 14s Yoga (20WEA01GIH) Laptop (Core i5 11th Gen/8 GB/512 GB SSD/Windows 10)</v>
      </c>
      <c r="B991" t="s">
        <v>1519</v>
      </c>
      <c r="C991" s="1">
        <v>64990</v>
      </c>
      <c r="D991" s="1">
        <v>116</v>
      </c>
      <c r="E991" s="2">
        <v>82</v>
      </c>
      <c r="F991" s="2" t="str" cm="1">
        <f t="array" ref="F991">_xlfn.IFS(AND(101&gt;E991, E991&gt;69), "Top-Tier", AND(70&gt;E991, E991&gt;39), "Mid-Tier", 40&gt;E991, "Low-Tier")</f>
        <v>Top-Tier</v>
      </c>
      <c r="G991" s="4">
        <v>44440</v>
      </c>
      <c r="H991" t="s">
        <v>1510</v>
      </c>
      <c r="I991" t="s">
        <v>248</v>
      </c>
      <c r="J991" t="s">
        <v>50</v>
      </c>
      <c r="K991" t="s">
        <v>439</v>
      </c>
      <c r="L991" t="s">
        <v>24</v>
      </c>
      <c r="M991" t="s">
        <v>178</v>
      </c>
      <c r="N991" t="s">
        <v>31</v>
      </c>
      <c r="O991" t="s">
        <v>291</v>
      </c>
      <c r="P991" s="3">
        <v>71</v>
      </c>
      <c r="Q991" t="str">
        <f>LEFT(B991, 6)</f>
        <v>Lenovo</v>
      </c>
      <c r="R991" t="str">
        <f t="shared" si="72"/>
        <v>Intel Core i5 (12th Gen)</v>
      </c>
      <c r="S991" t="str">
        <f t="shared" si="71"/>
        <v xml:space="preserve">8 GB </v>
      </c>
    </row>
    <row r="992" spans="1:19">
      <c r="A992" t="str">
        <f>LEFT(B992, LEN(B992)-15)</f>
        <v>HP 15q-bu040tu (4TS72PA) Laptop (Core i3 7th Gen/4 GB/1 TB/Windows 10)</v>
      </c>
      <c r="B992" t="s">
        <v>1520</v>
      </c>
      <c r="C992" s="1">
        <v>28990</v>
      </c>
      <c r="D992" s="1">
        <v>1012</v>
      </c>
      <c r="E992" s="2">
        <v>82</v>
      </c>
      <c r="F992" s="2" t="str" cm="1">
        <f t="array" ref="F992">_xlfn.IFS(AND(101&gt;E992, E992&gt;69), "Top-Tier", AND(70&gt;E992, E992&gt;39), "Mid-Tier", 40&gt;E992, "Low-Tier")</f>
        <v>Top-Tier</v>
      </c>
      <c r="H992" t="s">
        <v>1510</v>
      </c>
      <c r="I992" t="s">
        <v>248</v>
      </c>
      <c r="J992" t="s">
        <v>542</v>
      </c>
      <c r="K992" t="s">
        <v>249</v>
      </c>
      <c r="L992" t="s">
        <v>24</v>
      </c>
      <c r="N992" t="s">
        <v>31</v>
      </c>
      <c r="Q992" t="str">
        <f>LEFT(B992, 2)</f>
        <v>HP</v>
      </c>
      <c r="R992" t="str">
        <f t="shared" si="72"/>
        <v>Intel Core i5 (12th Gen)</v>
      </c>
      <c r="S992" t="str">
        <f t="shared" si="71"/>
        <v xml:space="preserve">4 GB </v>
      </c>
    </row>
    <row r="993" spans="1:19">
      <c r="A993" t="str">
        <f>LEFT(B993, LEN(B993)-15)</f>
        <v>Lenovo IdeaPad 3 15IAU7 (82RK011FIN) Laptop (Core i7 12th Gen/16 GB/512 GB SSD/Windows 11)</v>
      </c>
      <c r="B993" t="s">
        <v>1521</v>
      </c>
      <c r="C993" s="1">
        <v>62020</v>
      </c>
      <c r="D993" s="1">
        <v>126</v>
      </c>
      <c r="E993" s="2">
        <v>82</v>
      </c>
      <c r="F993" s="2" t="str" cm="1">
        <f t="array" ref="F993">_xlfn.IFS(AND(101&gt;E993, E993&gt;69), "Top-Tier", AND(70&gt;E993, E993&gt;39), "Mid-Tier", 40&gt;E993, "Low-Tier")</f>
        <v>Top-Tier</v>
      </c>
      <c r="G993" s="4">
        <v>45536</v>
      </c>
      <c r="H993" t="s">
        <v>1510</v>
      </c>
      <c r="I993" t="s">
        <v>33</v>
      </c>
      <c r="J993" t="s">
        <v>34</v>
      </c>
      <c r="K993" t="s">
        <v>51</v>
      </c>
      <c r="L993" t="s">
        <v>24</v>
      </c>
      <c r="M993" t="s">
        <v>52</v>
      </c>
      <c r="N993" t="s">
        <v>31</v>
      </c>
      <c r="P993" s="3">
        <v>81</v>
      </c>
      <c r="Q993" t="str">
        <f>LEFT(B993, 6)</f>
        <v>Lenovo</v>
      </c>
      <c r="R993" t="str">
        <f t="shared" si="72"/>
        <v>Intel Core i5 (12th Gen)</v>
      </c>
      <c r="S993" t="str">
        <f t="shared" si="71"/>
        <v>16 GB</v>
      </c>
    </row>
    <row r="994" spans="1:19">
      <c r="A994" t="str">
        <f>LEFT(B994, LEN(B994)-15)</f>
        <v>Dell Inspiron 16 5630 (IN5630MV7F4001ORS1) Laptop (Core i7 13th Gen/16 GB/1 TB SSD/Windows 11)</v>
      </c>
      <c r="B994" t="s">
        <v>1522</v>
      </c>
      <c r="C994" s="1">
        <v>109990</v>
      </c>
      <c r="D994" s="1">
        <v>41</v>
      </c>
      <c r="E994" s="2">
        <v>82</v>
      </c>
      <c r="F994" s="2" t="str" cm="1">
        <f t="array" ref="F994">_xlfn.IFS(AND(101&gt;E994, E994&gt;69), "Top-Tier", AND(70&gt;E994, E994&gt;39), "Mid-Tier", 40&gt;E994, "Low-Tier")</f>
        <v>Top-Tier</v>
      </c>
      <c r="G994" s="4">
        <v>45536</v>
      </c>
      <c r="H994" t="s">
        <v>1510</v>
      </c>
      <c r="I994" t="s">
        <v>33</v>
      </c>
      <c r="J994" t="s">
        <v>167</v>
      </c>
      <c r="K994" t="s">
        <v>1110</v>
      </c>
      <c r="L994" t="s">
        <v>24</v>
      </c>
      <c r="M994" t="s">
        <v>483</v>
      </c>
      <c r="N994" t="s">
        <v>31</v>
      </c>
      <c r="P994" s="3">
        <v>83</v>
      </c>
      <c r="Q994" t="str">
        <f>LEFT(B994, 4)</f>
        <v>Dell</v>
      </c>
      <c r="R994" t="str">
        <f t="shared" si="72"/>
        <v>Intel Core i5 (12th Gen)</v>
      </c>
      <c r="S994" t="str">
        <f t="shared" si="71"/>
        <v>16 GB</v>
      </c>
    </row>
    <row r="995" spans="1:19">
      <c r="A995" t="str">
        <f>LEFT(B995, LEN(B995)-15)</f>
        <v>Dell G15 5530 (OGN5530110601RIN) Laptop (Core i5 13th Gen/16 GB/1 TB SSD/Windows 11/6 GB)</v>
      </c>
      <c r="B995" t="s">
        <v>1523</v>
      </c>
      <c r="C995" s="1">
        <v>77490</v>
      </c>
      <c r="D995" s="1">
        <v>140</v>
      </c>
      <c r="E995" s="2">
        <v>82</v>
      </c>
      <c r="F995" s="2" t="str" cm="1">
        <f t="array" ref="F995">_xlfn.IFS(AND(101&gt;E995, E995&gt;69), "Top-Tier", AND(70&gt;E995, E995&gt;39), "Mid-Tier", 40&gt;E995, "Low-Tier")</f>
        <v>Top-Tier</v>
      </c>
      <c r="G995" s="4">
        <v>45505</v>
      </c>
      <c r="H995" t="s">
        <v>1510</v>
      </c>
      <c r="I995" t="s">
        <v>33</v>
      </c>
      <c r="J995" t="s">
        <v>72</v>
      </c>
      <c r="K995" t="s">
        <v>159</v>
      </c>
      <c r="L995" t="s">
        <v>24</v>
      </c>
      <c r="N995" t="s">
        <v>31</v>
      </c>
      <c r="Q995" t="str">
        <f>LEFT(B995, 4)</f>
        <v>Dell</v>
      </c>
      <c r="R995" t="str">
        <f t="shared" si="72"/>
        <v>Intel Core i5 (12th Gen)</v>
      </c>
      <c r="S995" t="str">
        <f t="shared" si="71"/>
        <v>16 GB</v>
      </c>
    </row>
    <row r="996" spans="1:19">
      <c r="A996" t="str">
        <f>LEFT(B996, LEN(B996)-15)</f>
        <v>Lenovo Ideapad Gaming 3 15ACH6 (82K201V2IN) Laptop (AMD Octa Core Ryzen 7/8 GB/512 GB SSD/Windows 11/4 GB)</v>
      </c>
      <c r="B996" t="s">
        <v>1524</v>
      </c>
      <c r="C996" s="1">
        <v>79990</v>
      </c>
      <c r="D996" s="1">
        <v>72</v>
      </c>
      <c r="E996" s="2">
        <v>82</v>
      </c>
      <c r="F996" s="2" t="str" cm="1">
        <f t="array" ref="F996">_xlfn.IFS(AND(101&gt;E996, E996&gt;69), "Top-Tier", AND(70&gt;E996, E996&gt;39), "Mid-Tier", 40&gt;E996, "Low-Tier")</f>
        <v>Top-Tier</v>
      </c>
      <c r="G996" s="4">
        <v>44743</v>
      </c>
      <c r="H996" t="s">
        <v>1510</v>
      </c>
      <c r="I996" t="s">
        <v>33</v>
      </c>
      <c r="J996" t="s">
        <v>50</v>
      </c>
      <c r="K996" t="s">
        <v>51</v>
      </c>
      <c r="L996" t="s">
        <v>24</v>
      </c>
      <c r="N996" t="s">
        <v>31</v>
      </c>
      <c r="P996" s="3">
        <v>80</v>
      </c>
      <c r="Q996" t="str">
        <f>LEFT(B996, 6)</f>
        <v>Lenovo</v>
      </c>
      <c r="R996" t="str">
        <f t="shared" si="72"/>
        <v>Intel Core i5 (12th Gen)</v>
      </c>
      <c r="S996" t="str">
        <f t="shared" si="71"/>
        <v xml:space="preserve">8 GB </v>
      </c>
    </row>
    <row r="997" spans="1:19">
      <c r="A997" t="str">
        <f>LEFT(B997, LEN(B997)-15)</f>
        <v>Asus Chromebook C423NA-EC0521 Laptop (Celeron Dual Core/4 GB/64 GB SSD/Google Chrome)</v>
      </c>
      <c r="B997" t="s">
        <v>1525</v>
      </c>
      <c r="C997" s="1">
        <v>16806</v>
      </c>
      <c r="D997" s="1">
        <v>239</v>
      </c>
      <c r="E997" s="2">
        <v>82</v>
      </c>
      <c r="F997" s="2" t="str" cm="1">
        <f t="array" ref="F997">_xlfn.IFS(AND(101&gt;E997, E997&gt;69), "Top-Tier", AND(70&gt;E997, E997&gt;39), "Mid-Tier", 40&gt;E997, "Low-Tier")</f>
        <v>Top-Tier</v>
      </c>
      <c r="G997" s="4">
        <v>44531</v>
      </c>
      <c r="H997" t="s">
        <v>1510</v>
      </c>
      <c r="I997" t="s">
        <v>735</v>
      </c>
      <c r="J997" t="s">
        <v>1526</v>
      </c>
      <c r="K997" t="s">
        <v>439</v>
      </c>
      <c r="L997" t="s">
        <v>24</v>
      </c>
      <c r="M997" t="s">
        <v>1387</v>
      </c>
      <c r="Q997" t="str">
        <f>LEFT(B997, 4)</f>
        <v>Asus</v>
      </c>
      <c r="R997" t="str">
        <f t="shared" si="72"/>
        <v>Intel Core i5 (12th Gen)</v>
      </c>
      <c r="S997" t="str">
        <f t="shared" si="71"/>
        <v xml:space="preserve">4 GB </v>
      </c>
    </row>
    <row r="998" spans="1:19">
      <c r="A998" t="str">
        <f>LEFT(B998, LEN(B998)-15)</f>
        <v>HP 15-bs615tu (3EJ43PA) Laptop (Core i3 6th Gen/4 GB/2 TB/DOS)</v>
      </c>
      <c r="B998" t="s">
        <v>1527</v>
      </c>
      <c r="C998" s="1">
        <v>30990</v>
      </c>
      <c r="D998" s="1">
        <v>312</v>
      </c>
      <c r="E998" s="2">
        <v>82</v>
      </c>
      <c r="F998" s="2" t="str" cm="1">
        <f t="array" ref="F998">_xlfn.IFS(AND(101&gt;E998, E998&gt;69), "Top-Tier", AND(70&gt;E998, E998&gt;39), "Mid-Tier", 40&gt;E998, "Low-Tier")</f>
        <v>Top-Tier</v>
      </c>
      <c r="H998" t="s">
        <v>1510</v>
      </c>
      <c r="I998" t="s">
        <v>124</v>
      </c>
      <c r="J998" t="s">
        <v>1528</v>
      </c>
      <c r="K998" t="s">
        <v>249</v>
      </c>
      <c r="L998" t="s">
        <v>24</v>
      </c>
      <c r="N998" t="s">
        <v>31</v>
      </c>
      <c r="O998" t="s">
        <v>152</v>
      </c>
      <c r="Q998" t="str">
        <f>LEFT(B998, 2)</f>
        <v>HP</v>
      </c>
      <c r="R998" t="str">
        <f t="shared" si="72"/>
        <v>Intel Core i5 (12th Gen)</v>
      </c>
      <c r="S998" t="str">
        <f t="shared" si="71"/>
        <v xml:space="preserve">4 GB </v>
      </c>
    </row>
    <row r="999" spans="1:19">
      <c r="A999" t="str">
        <f>LEFT(B999, LEN(B999)-15)</f>
        <v>Dell Inspiron 15 5578 (A564106SIN9) Laptop (Core i3 7th Gen/4 GB/1 TB/Windows 10)</v>
      </c>
      <c r="B999" t="s">
        <v>1529</v>
      </c>
      <c r="C999" s="1">
        <v>43058</v>
      </c>
      <c r="D999" s="1">
        <v>335</v>
      </c>
      <c r="E999" s="2">
        <v>82</v>
      </c>
      <c r="F999" s="2" t="str" cm="1">
        <f t="array" ref="F999">_xlfn.IFS(AND(101&gt;E999, E999&gt;69), "Top-Tier", AND(70&gt;E999, E999&gt;39), "Mid-Tier", 40&gt;E999, "Low-Tier")</f>
        <v>Top-Tier</v>
      </c>
      <c r="H999" t="s">
        <v>1510</v>
      </c>
      <c r="I999" t="s">
        <v>248</v>
      </c>
      <c r="J999" t="s">
        <v>542</v>
      </c>
      <c r="K999" t="s">
        <v>249</v>
      </c>
      <c r="L999" t="s">
        <v>24</v>
      </c>
      <c r="M999" t="s">
        <v>1530</v>
      </c>
      <c r="N999" t="s">
        <v>31</v>
      </c>
      <c r="O999" t="s">
        <v>152</v>
      </c>
      <c r="Q999" t="str">
        <f>LEFT(B999, 4)</f>
        <v>Dell</v>
      </c>
      <c r="R999" t="str">
        <f t="shared" si="72"/>
        <v>Intel Core i5 (12th Gen)</v>
      </c>
      <c r="S999" t="str">
        <f t="shared" si="71"/>
        <v xml:space="preserve">4 GB </v>
      </c>
    </row>
    <row r="1000" spans="1:19">
      <c r="A1000" t="str">
        <f>LEFT(B1000, LEN(B1000)-15)</f>
        <v>HP 15q-bu039tu (4TS70PA) Laptop (Core i3 7th Gen/4 GB/1 TB/Windows 10)</v>
      </c>
      <c r="B1000" t="s">
        <v>1531</v>
      </c>
      <c r="C1000" s="1">
        <v>35616</v>
      </c>
      <c r="D1000" s="1">
        <v>652</v>
      </c>
      <c r="E1000" s="2">
        <v>82</v>
      </c>
      <c r="F1000" s="2" t="str" cm="1">
        <f t="array" ref="F1000">_xlfn.IFS(AND(101&gt;E1000, E1000&gt;69), "Top-Tier", AND(70&gt;E1000, E1000&gt;39), "Mid-Tier", 40&gt;E1000, "Low-Tier")</f>
        <v>Top-Tier</v>
      </c>
      <c r="H1000" t="s">
        <v>1510</v>
      </c>
      <c r="I1000" t="s">
        <v>248</v>
      </c>
      <c r="J1000" t="s">
        <v>542</v>
      </c>
      <c r="K1000" t="s">
        <v>249</v>
      </c>
      <c r="L1000" t="s">
        <v>24</v>
      </c>
      <c r="N1000" t="s">
        <v>31</v>
      </c>
      <c r="Q1000" t="str">
        <f>LEFT(B1000, 2)</f>
        <v>HP</v>
      </c>
      <c r="R1000" t="str">
        <f t="shared" si="72"/>
        <v>Intel Core i5 (12th Gen)</v>
      </c>
      <c r="S1000" t="str">
        <f t="shared" si="71"/>
        <v xml:space="preserve">4 GB </v>
      </c>
    </row>
    <row r="1001" spans="1:19">
      <c r="A1001" t="str">
        <f>LEFT(B1001, LEN(B1001)-15)</f>
        <v>HP 15q-bu008tx (2TZ24PA) Laptop (Core i3 6th Gen/4 GB/1 TB/DOS)</v>
      </c>
      <c r="B1001" t="s">
        <v>1532</v>
      </c>
      <c r="C1001" s="1">
        <v>32990</v>
      </c>
      <c r="D1001" s="1">
        <v>303</v>
      </c>
      <c r="E1001" s="2">
        <v>82</v>
      </c>
      <c r="F1001" s="2" t="str" cm="1">
        <f t="array" ref="F1001">_xlfn.IFS(AND(101&gt;E1001, E1001&gt;69), "Top-Tier", AND(70&gt;E1001, E1001&gt;39), "Mid-Tier", 40&gt;E1001, "Low-Tier")</f>
        <v>Top-Tier</v>
      </c>
      <c r="H1001" t="s">
        <v>1510</v>
      </c>
      <c r="I1001" t="s">
        <v>124</v>
      </c>
      <c r="J1001" t="s">
        <v>542</v>
      </c>
      <c r="K1001" t="s">
        <v>705</v>
      </c>
      <c r="L1001" t="s">
        <v>24</v>
      </c>
      <c r="N1001" t="s">
        <v>31</v>
      </c>
      <c r="Q1001" t="str">
        <f>LEFT(B1001, 2)</f>
        <v>HP</v>
      </c>
      <c r="R1001" t="str">
        <f t="shared" si="72"/>
        <v>Intel Core i5 (12th Gen)</v>
      </c>
      <c r="S1001" t="str">
        <f t="shared" si="71"/>
        <v xml:space="preserve">4 GB </v>
      </c>
    </row>
    <row r="1002" spans="1:19">
      <c r="A1002" t="str">
        <f>LEFT(B1002, LEN(B1002)-15)</f>
        <v>HP 15Q-by008AU (4FV83PA) Laptop (AMD Dual Core A6/4 GB/1 TB/Windows 10)</v>
      </c>
      <c r="B1002" t="s">
        <v>1533</v>
      </c>
      <c r="C1002" s="1">
        <v>24990</v>
      </c>
      <c r="D1002" s="1">
        <v>101</v>
      </c>
      <c r="E1002" s="2">
        <v>82</v>
      </c>
      <c r="F1002" s="2" t="str" cm="1">
        <f t="array" ref="F1002">_xlfn.IFS(AND(101&gt;E1002, E1002&gt;69), "Top-Tier", AND(70&gt;E1002, E1002&gt;39), "Mid-Tier", 40&gt;E1002, "Low-Tier")</f>
        <v>Top-Tier</v>
      </c>
      <c r="H1002" t="s">
        <v>1510</v>
      </c>
      <c r="I1002" t="s">
        <v>248</v>
      </c>
      <c r="J1002" t="s">
        <v>542</v>
      </c>
      <c r="K1002" t="s">
        <v>705</v>
      </c>
      <c r="L1002" t="s">
        <v>24</v>
      </c>
      <c r="N1002" t="s">
        <v>31</v>
      </c>
      <c r="O1002" t="s">
        <v>152</v>
      </c>
      <c r="Q1002" t="str">
        <f>LEFT(B1002, 2)</f>
        <v>HP</v>
      </c>
      <c r="R1002" t="str">
        <f t="shared" si="72"/>
        <v>Intel Core i5 (12th Gen)</v>
      </c>
      <c r="S1002" t="str">
        <f t="shared" si="71"/>
        <v xml:space="preserve">4 GB </v>
      </c>
    </row>
    <row r="1003" spans="1:19">
      <c r="A1003" t="str">
        <f>LEFT(B1003, LEN(B1003)-15)</f>
        <v>Dell Inspiron 14 5440 (OIN5440340501RINU1O) Laptop (Core i5 13th Gen/16 GB/1 TB SSD/Windows 11)</v>
      </c>
      <c r="B1003" t="s">
        <v>1534</v>
      </c>
      <c r="C1003" s="1">
        <v>70100</v>
      </c>
      <c r="D1003" s="1">
        <v>16</v>
      </c>
      <c r="E1003" s="2">
        <v>82</v>
      </c>
      <c r="F1003" s="2" t="str" cm="1">
        <f t="array" ref="F1003">_xlfn.IFS(AND(101&gt;E1003, E1003&gt;69), "Top-Tier", AND(70&gt;E1003, E1003&gt;39), "Mid-Tier", 40&gt;E1003, "Low-Tier")</f>
        <v>Top-Tier</v>
      </c>
      <c r="G1003" s="4">
        <v>45597</v>
      </c>
      <c r="H1003" t="s">
        <v>1510</v>
      </c>
      <c r="I1003" t="s">
        <v>33</v>
      </c>
      <c r="J1003" t="s">
        <v>72</v>
      </c>
      <c r="K1003" t="s">
        <v>1397</v>
      </c>
      <c r="L1003" t="s">
        <v>24</v>
      </c>
      <c r="N1003" t="s">
        <v>31</v>
      </c>
      <c r="P1003" s="3">
        <v>80</v>
      </c>
      <c r="Q1003" t="str">
        <f>LEFT(B1003, 4)</f>
        <v>Dell</v>
      </c>
      <c r="R1003" t="str">
        <f t="shared" si="72"/>
        <v>Intel Core i5 (12th Gen)</v>
      </c>
      <c r="S1003" t="str">
        <f t="shared" si="71"/>
        <v>16 GB</v>
      </c>
    </row>
    <row r="1004" spans="1:19">
      <c r="A1004" t="str">
        <f>LEFT(B1004, LEN(B1004)-15)</f>
        <v>Dell G15-5525 (D560817WIN9B) Laptop (AMD Hexa Core Ryzen 5/8 GB/512 GB SSD/Windows 11/4 GB)</v>
      </c>
      <c r="B1004" t="s">
        <v>1535</v>
      </c>
      <c r="C1004" s="1">
        <v>62000</v>
      </c>
      <c r="D1004" s="1">
        <v>234</v>
      </c>
      <c r="E1004" s="2">
        <v>82</v>
      </c>
      <c r="F1004" s="2" t="str" cm="1">
        <f t="array" ref="F1004">_xlfn.IFS(AND(101&gt;E1004, E1004&gt;69), "Top-Tier", AND(70&gt;E1004, E1004&gt;39), "Mid-Tier", 40&gt;E1004, "Low-Tier")</f>
        <v>Top-Tier</v>
      </c>
      <c r="G1004" s="4">
        <v>44713</v>
      </c>
      <c r="H1004" t="s">
        <v>1510</v>
      </c>
      <c r="I1004" t="s">
        <v>33</v>
      </c>
      <c r="J1004" t="s">
        <v>119</v>
      </c>
      <c r="K1004" t="s">
        <v>51</v>
      </c>
      <c r="L1004" t="s">
        <v>24</v>
      </c>
      <c r="N1004" t="s">
        <v>31</v>
      </c>
      <c r="P1004" s="3">
        <v>79</v>
      </c>
      <c r="Q1004" t="str">
        <f>LEFT(B1004, 4)</f>
        <v>Dell</v>
      </c>
      <c r="R1004" t="str">
        <f t="shared" si="72"/>
        <v>Intel Core i5 (12th Gen)</v>
      </c>
      <c r="S1004" t="str">
        <f t="shared" si="71"/>
        <v xml:space="preserve">8 GB </v>
      </c>
    </row>
    <row r="1005" spans="1:19">
      <c r="A1005" t="str">
        <f>LEFT(B1005, LEN(B1005)-15)</f>
        <v>Lenovo Ideapad Slim 3i 15IML05 (81WB01BJIN) Laptop (Core i5 10th Gen/8 GB/512 GB SSD/Windows 10)</v>
      </c>
      <c r="B1005" t="s">
        <v>1536</v>
      </c>
      <c r="C1005" s="1">
        <v>46366</v>
      </c>
      <c r="D1005" s="1">
        <v>388</v>
      </c>
      <c r="E1005" s="2">
        <v>82</v>
      </c>
      <c r="F1005" s="2" t="str" cm="1">
        <f t="array" ref="F1005">_xlfn.IFS(AND(101&gt;E1005, E1005&gt;69), "Top-Tier", AND(70&gt;E1005, E1005&gt;39), "Mid-Tier", 40&gt;E1005, "Low-Tier")</f>
        <v>Top-Tier</v>
      </c>
      <c r="G1005" s="4">
        <v>44470</v>
      </c>
      <c r="H1005" t="s">
        <v>1537</v>
      </c>
      <c r="I1005" t="s">
        <v>248</v>
      </c>
      <c r="J1005" t="s">
        <v>50</v>
      </c>
      <c r="K1005" t="s">
        <v>249</v>
      </c>
      <c r="L1005" t="s">
        <v>24</v>
      </c>
      <c r="M1005" t="s">
        <v>52</v>
      </c>
      <c r="N1005" t="s">
        <v>31</v>
      </c>
      <c r="Q1005" t="str">
        <f>LEFT(B1005, 6)</f>
        <v>Lenovo</v>
      </c>
      <c r="R1005" t="str">
        <f t="shared" si="72"/>
        <v>Intel Core i5 (12th Gen)</v>
      </c>
      <c r="S1005" t="str">
        <f t="shared" si="71"/>
        <v xml:space="preserve">8 GB </v>
      </c>
    </row>
    <row r="1006" spans="1:19">
      <c r="A1006" t="str">
        <f>LEFT(B1006, LEN(B1006)-15)</f>
        <v>HP Pavilion Gaming 15-ec0098ax (2Z324PA) Laptop (AMD Quad Core Ryzen 5/8 GB/1 TB/Windows 10/3 GB)</v>
      </c>
      <c r="B1006" t="s">
        <v>1538</v>
      </c>
      <c r="C1006" s="1">
        <v>49990</v>
      </c>
      <c r="D1006" s="1">
        <v>281</v>
      </c>
      <c r="E1006" s="2">
        <v>82</v>
      </c>
      <c r="F1006" s="2" t="str" cm="1">
        <f t="array" ref="F1006">_xlfn.IFS(AND(101&gt;E1006, E1006&gt;69), "Top-Tier", AND(70&gt;E1006, E1006&gt;39), "Mid-Tier", 40&gt;E1006, "Low-Tier")</f>
        <v>Top-Tier</v>
      </c>
      <c r="G1006" s="4">
        <v>44044</v>
      </c>
      <c r="H1006" t="s">
        <v>1537</v>
      </c>
      <c r="I1006" t="s">
        <v>248</v>
      </c>
      <c r="J1006" t="s">
        <v>332</v>
      </c>
      <c r="K1006" t="s">
        <v>249</v>
      </c>
      <c r="L1006" t="s">
        <v>24</v>
      </c>
      <c r="N1006" t="s">
        <v>31</v>
      </c>
      <c r="Q1006" t="str">
        <f>LEFT(B1006, 2)</f>
        <v>HP</v>
      </c>
      <c r="R1006" t="str">
        <f t="shared" si="72"/>
        <v>Intel Core i5 (12th Gen)</v>
      </c>
      <c r="S1006" t="str">
        <f t="shared" si="71"/>
        <v xml:space="preserve">8 GB </v>
      </c>
    </row>
    <row r="1007" spans="1:19">
      <c r="A1007" t="str">
        <f>LEFT(B1007, LEN(B1007)-15)</f>
        <v>Acer Nitro 5 AN517-51 (NH.Q5CSI.003) Laptop (Core i7 9th Gen/8 GB/1 TB 256 GB SSD/Windows 10/4 GB)</v>
      </c>
      <c r="B1007" t="s">
        <v>1539</v>
      </c>
      <c r="C1007" s="1">
        <v>74990</v>
      </c>
      <c r="D1007" s="1">
        <v>22</v>
      </c>
      <c r="E1007" s="2">
        <v>82</v>
      </c>
      <c r="F1007" s="2" t="str" cm="1">
        <f t="array" ref="F1007">_xlfn.IFS(AND(101&gt;E1007, E1007&gt;69), "Top-Tier", AND(70&gt;E1007, E1007&gt;39), "Mid-Tier", 40&gt;E1007, "Low-Tier")</f>
        <v>Top-Tier</v>
      </c>
      <c r="G1007" s="4">
        <v>43800</v>
      </c>
      <c r="H1007" t="s">
        <v>1537</v>
      </c>
      <c r="I1007" t="s">
        <v>248</v>
      </c>
      <c r="J1007" t="s">
        <v>332</v>
      </c>
      <c r="K1007" t="s">
        <v>537</v>
      </c>
      <c r="L1007" t="s">
        <v>24</v>
      </c>
      <c r="N1007" t="s">
        <v>31</v>
      </c>
      <c r="Q1007" t="str">
        <f>LEFT(B1007, 4)</f>
        <v>Acer</v>
      </c>
      <c r="R1007" t="str">
        <f t="shared" si="72"/>
        <v>Intel Core i5 (12th Gen)</v>
      </c>
      <c r="S1007" t="str">
        <f t="shared" si="71"/>
        <v xml:space="preserve">8 GB </v>
      </c>
    </row>
    <row r="1008" spans="1:19">
      <c r="A1008" t="str">
        <f>LEFT(B1008, LEN(B1008)-15)</f>
        <v>HP Pavilion 15-cc134Tx (3CW27PA) Laptop (Core i7 8th Gen/8 GB/2 TB/Windows 10/4 GB)</v>
      </c>
      <c r="B1008" t="s">
        <v>1540</v>
      </c>
      <c r="C1008" s="1">
        <v>67474</v>
      </c>
      <c r="D1008" s="1">
        <v>54</v>
      </c>
      <c r="E1008" s="2">
        <v>82</v>
      </c>
      <c r="F1008" s="2" t="str" cm="1">
        <f t="array" ref="F1008">_xlfn.IFS(AND(101&gt;E1008, E1008&gt;69), "Top-Tier", AND(70&gt;E1008, E1008&gt;39), "Mid-Tier", 40&gt;E1008, "Low-Tier")</f>
        <v>Top-Tier</v>
      </c>
      <c r="H1008" t="s">
        <v>1537</v>
      </c>
      <c r="I1008" t="s">
        <v>248</v>
      </c>
      <c r="J1008" t="s">
        <v>454</v>
      </c>
      <c r="K1008" t="s">
        <v>249</v>
      </c>
      <c r="L1008" t="s">
        <v>24</v>
      </c>
      <c r="N1008" t="s">
        <v>31</v>
      </c>
      <c r="Q1008" t="str">
        <f>LEFT(B1008, 2)</f>
        <v>HP</v>
      </c>
      <c r="R1008" t="str">
        <f t="shared" si="72"/>
        <v>Intel Core i5 (12th Gen)</v>
      </c>
      <c r="S1008" t="str">
        <f t="shared" si="71"/>
        <v xml:space="preserve">8 GB </v>
      </c>
    </row>
    <row r="1009" spans="1:19">
      <c r="A1009" t="str">
        <f>LEFT(B1009, LEN(B1009)-15)</f>
        <v>Dell Inspiron 15 5570 (A560502WIN9) Laptop (Core i5 8th Gen/8 GB/2 TB/Windows 10/4 GB)</v>
      </c>
      <c r="B1009" t="s">
        <v>1541</v>
      </c>
      <c r="C1009" s="1">
        <v>67496</v>
      </c>
      <c r="D1009" s="1">
        <v>41</v>
      </c>
      <c r="E1009" s="2">
        <v>82</v>
      </c>
      <c r="F1009" s="2" t="str" cm="1">
        <f t="array" ref="F1009">_xlfn.IFS(AND(101&gt;E1009, E1009&gt;69), "Top-Tier", AND(70&gt;E1009, E1009&gt;39), "Mid-Tier", 40&gt;E1009, "Low-Tier")</f>
        <v>Top-Tier</v>
      </c>
      <c r="H1009" t="s">
        <v>1537</v>
      </c>
      <c r="I1009" t="s">
        <v>248</v>
      </c>
      <c r="J1009" t="s">
        <v>454</v>
      </c>
      <c r="K1009" t="s">
        <v>249</v>
      </c>
      <c r="L1009" t="s">
        <v>24</v>
      </c>
      <c r="N1009" t="s">
        <v>31</v>
      </c>
      <c r="Q1009" t="str">
        <f>LEFT(B1009, 4)</f>
        <v>Dell</v>
      </c>
      <c r="R1009" t="str">
        <f t="shared" si="72"/>
        <v>Intel Core i5 (12th Gen)</v>
      </c>
      <c r="S1009" t="str">
        <f t="shared" si="71"/>
        <v xml:space="preserve">8 GB </v>
      </c>
    </row>
    <row r="1010" spans="1:19">
      <c r="A1010" t="str">
        <f>LEFT(B1010, LEN(B1010)-15)</f>
        <v>Lenovo IdeaPad Slim 5 16IRL8 (82XF007FIN) Laptop (Core i7 13th Gen/16 GB/1 TB SSD/Windows 11)</v>
      </c>
      <c r="B1010" t="s">
        <v>1542</v>
      </c>
      <c r="C1010" s="1">
        <v>80190</v>
      </c>
      <c r="D1010" s="1">
        <v>315</v>
      </c>
      <c r="E1010" s="2">
        <v>82</v>
      </c>
      <c r="F1010" s="2" t="str" cm="1">
        <f t="array" ref="F1010">_xlfn.IFS(AND(101&gt;E1010, E1010&gt;69), "Top-Tier", AND(70&gt;E1010, E1010&gt;39), "Mid-Tier", 40&gt;E1010, "Low-Tier")</f>
        <v>Top-Tier</v>
      </c>
      <c r="G1010" s="4">
        <v>45474</v>
      </c>
      <c r="H1010" t="s">
        <v>1537</v>
      </c>
      <c r="I1010" t="s">
        <v>33</v>
      </c>
      <c r="J1010" t="s">
        <v>167</v>
      </c>
      <c r="K1010" t="s">
        <v>155</v>
      </c>
      <c r="L1010" t="s">
        <v>24</v>
      </c>
      <c r="M1010" t="s">
        <v>178</v>
      </c>
      <c r="N1010" t="s">
        <v>31</v>
      </c>
      <c r="P1010" s="3">
        <v>86</v>
      </c>
      <c r="Q1010" t="str">
        <f>LEFT(B1010, 6)</f>
        <v>Lenovo</v>
      </c>
      <c r="R1010" t="str">
        <f t="shared" si="72"/>
        <v>Intel Core i5 (12th Gen)</v>
      </c>
      <c r="S1010" t="str">
        <f t="shared" si="71"/>
        <v>16 GB</v>
      </c>
    </row>
    <row r="1011" spans="1:19">
      <c r="A1011" t="str">
        <f>LEFT(B1011, LEN(B1011)-15)</f>
        <v>Infinix Zero Book Ultra AI PC ZL514 (71008301680) Laptop (Core Ultra 5/16 GB/512 GB SSD/Windows 11)</v>
      </c>
      <c r="B1011" t="s">
        <v>1543</v>
      </c>
      <c r="C1011" s="1">
        <v>54990</v>
      </c>
      <c r="D1011" s="1">
        <v>26</v>
      </c>
      <c r="E1011" s="2">
        <v>82</v>
      </c>
      <c r="F1011" s="2" t="str" cm="1">
        <f t="array" ref="F1011">_xlfn.IFS(AND(101&gt;E1011, E1011&gt;69), "Top-Tier", AND(70&gt;E1011, E1011&gt;39), "Mid-Tier", 40&gt;E1011, "Low-Tier")</f>
        <v>Top-Tier</v>
      </c>
      <c r="G1011" s="4">
        <v>45474</v>
      </c>
      <c r="H1011" t="s">
        <v>1537</v>
      </c>
      <c r="I1011" t="s">
        <v>33</v>
      </c>
      <c r="J1011" t="s">
        <v>208</v>
      </c>
      <c r="K1011" t="s">
        <v>51</v>
      </c>
      <c r="L1011" t="s">
        <v>24</v>
      </c>
      <c r="M1011" t="s">
        <v>178</v>
      </c>
      <c r="N1011" t="s">
        <v>31</v>
      </c>
      <c r="O1011" t="s">
        <v>261</v>
      </c>
      <c r="P1011" s="3">
        <v>81</v>
      </c>
      <c r="Q1011" t="str">
        <f>LEFT(B1011, 7)</f>
        <v>Infinix</v>
      </c>
      <c r="R1011" t="str">
        <f t="shared" si="72"/>
        <v>Intel Core i5 (12th Gen)</v>
      </c>
      <c r="S1011" t="str">
        <f t="shared" si="71"/>
        <v>16 GB</v>
      </c>
    </row>
    <row r="1012" spans="1:19">
      <c r="A1012" t="str">
        <f>LEFT(B1012, LEN(B1012)-15)</f>
        <v>HP 14-gr1023TU (A4VJ1PA) Laptop (Core Ultra 7/16 GB/512 GB SSD/Windows 11)</v>
      </c>
      <c r="B1012" t="s">
        <v>1544</v>
      </c>
      <c r="C1012" s="1">
        <v>83990</v>
      </c>
      <c r="D1012" s="1">
        <v>35</v>
      </c>
      <c r="E1012" s="2">
        <v>82</v>
      </c>
      <c r="F1012" s="2" t="str" cm="1">
        <f t="array" ref="F1012">_xlfn.IFS(AND(101&gt;E1012, E1012&gt;69), "Top-Tier", AND(70&gt;E1012, E1012&gt;39), "Mid-Tier", 40&gt;E1012, "Low-Tier")</f>
        <v>Top-Tier</v>
      </c>
      <c r="G1012" s="4">
        <v>45474</v>
      </c>
      <c r="H1012" t="s">
        <v>1537</v>
      </c>
      <c r="I1012" t="s">
        <v>33</v>
      </c>
      <c r="J1012" t="s">
        <v>54</v>
      </c>
      <c r="K1012" t="s">
        <v>149</v>
      </c>
      <c r="L1012" t="s">
        <v>24</v>
      </c>
      <c r="M1012" t="s">
        <v>95</v>
      </c>
      <c r="N1012" t="s">
        <v>31</v>
      </c>
      <c r="P1012" s="3">
        <v>84</v>
      </c>
      <c r="Q1012" t="str">
        <f>LEFT(B1012, 2)</f>
        <v>HP</v>
      </c>
      <c r="R1012" t="str">
        <f t="shared" si="72"/>
        <v>Intel Core i5 (12th Gen)</v>
      </c>
      <c r="S1012" t="str">
        <f t="shared" si="71"/>
        <v>16 GB</v>
      </c>
    </row>
    <row r="1013" spans="1:19">
      <c r="A1013" t="str">
        <f>LEFT(B1013, LEN(B1013)-15)</f>
        <v>Asus TUF Gaming A15 FA566NFR-HN045WS Laptop (AMD Octa Core Ryzen 7/16 GB/512 GB SSD/Windows 11/4 GB)</v>
      </c>
      <c r="B1013" t="s">
        <v>1545</v>
      </c>
      <c r="C1013" s="1">
        <v>57900</v>
      </c>
      <c r="D1013" s="1">
        <v>18</v>
      </c>
      <c r="E1013" s="2">
        <v>82</v>
      </c>
      <c r="F1013" s="2" t="str" cm="1">
        <f t="array" ref="F1013">_xlfn.IFS(AND(101&gt;E1013, E1013&gt;69), "Top-Tier", AND(70&gt;E1013, E1013&gt;39), "Mid-Tier", 40&gt;E1013, "Low-Tier")</f>
        <v>Top-Tier</v>
      </c>
      <c r="G1013" s="4">
        <v>45474</v>
      </c>
      <c r="H1013" t="s">
        <v>1537</v>
      </c>
      <c r="I1013" t="s">
        <v>33</v>
      </c>
      <c r="J1013" t="s">
        <v>54</v>
      </c>
      <c r="K1013" t="s">
        <v>51</v>
      </c>
      <c r="L1013" t="s">
        <v>24</v>
      </c>
      <c r="N1013" t="s">
        <v>31</v>
      </c>
      <c r="P1013" s="3">
        <v>85</v>
      </c>
      <c r="Q1013" t="str">
        <f>LEFT(B1013, 4)</f>
        <v>Asus</v>
      </c>
      <c r="R1013" t="str">
        <f t="shared" si="72"/>
        <v>Intel Core i5 (12th Gen)</v>
      </c>
      <c r="S1013" t="str">
        <f t="shared" si="71"/>
        <v>16 GB</v>
      </c>
    </row>
    <row r="1014" spans="1:19">
      <c r="A1014" t="str">
        <f>LEFT(B1014, LEN(B1014)-15)</f>
        <v>Lenovo LOQ 15IAX9I (83FQ000EIN) Laptop (Core i5 12th Gen/8 GB/512 GB SSD/Windows 11/4 GB)</v>
      </c>
      <c r="B1014" t="s">
        <v>1546</v>
      </c>
      <c r="C1014" s="1">
        <v>55190</v>
      </c>
      <c r="D1014" s="1">
        <v>84</v>
      </c>
      <c r="E1014" s="2">
        <v>82</v>
      </c>
      <c r="F1014" s="2" t="str" cm="1">
        <f t="array" ref="F1014">_xlfn.IFS(AND(101&gt;E1014, E1014&gt;69), "Top-Tier", AND(70&gt;E1014, E1014&gt;39), "Mid-Tier", 40&gt;E1014, "Low-Tier")</f>
        <v>Top-Tier</v>
      </c>
      <c r="G1014" s="4">
        <v>45444</v>
      </c>
      <c r="H1014" t="s">
        <v>1537</v>
      </c>
      <c r="I1014" t="s">
        <v>33</v>
      </c>
      <c r="J1014" t="s">
        <v>119</v>
      </c>
      <c r="K1014" t="s">
        <v>51</v>
      </c>
      <c r="L1014" t="s">
        <v>24</v>
      </c>
      <c r="N1014" t="s">
        <v>31</v>
      </c>
      <c r="P1014" s="3">
        <v>84</v>
      </c>
      <c r="Q1014" t="str">
        <f>LEFT(B1014, 6)</f>
        <v>Lenovo</v>
      </c>
      <c r="R1014" t="str">
        <f t="shared" si="72"/>
        <v>Intel Core i5 (12th Gen)</v>
      </c>
      <c r="S1014" t="str">
        <f t="shared" si="71"/>
        <v xml:space="preserve">8 GB </v>
      </c>
    </row>
    <row r="1015" spans="1:19">
      <c r="A1015" t="str">
        <f>LEFT(B1015, LEN(B1015)-15)</f>
        <v>HP Victus Special Edition (A9NC2PA) Laptop (Core i5 12th Gen/16 GB/512 GB SSD/Windows 11/4 GB RTX)</v>
      </c>
      <c r="B1015" t="s">
        <v>1547</v>
      </c>
      <c r="C1015" s="1">
        <v>64990</v>
      </c>
      <c r="D1015" s="1">
        <v>94</v>
      </c>
      <c r="E1015" s="2">
        <v>82</v>
      </c>
      <c r="F1015" s="2" t="str" cm="1">
        <f t="array" ref="F1015">_xlfn.IFS(AND(101&gt;E1015, E1015&gt;69), "Top-Tier", AND(70&gt;E1015, E1015&gt;39), "Mid-Tier", 40&gt;E1015, "Low-Tier")</f>
        <v>Top-Tier</v>
      </c>
      <c r="G1015" s="4">
        <v>45444</v>
      </c>
      <c r="H1015" t="s">
        <v>1537</v>
      </c>
      <c r="I1015" t="s">
        <v>33</v>
      </c>
      <c r="J1015" t="s">
        <v>34</v>
      </c>
      <c r="K1015" t="s">
        <v>51</v>
      </c>
      <c r="L1015" t="s">
        <v>24</v>
      </c>
      <c r="N1015" t="s">
        <v>31</v>
      </c>
      <c r="P1015" s="3">
        <v>85</v>
      </c>
      <c r="Q1015" t="str">
        <f>LEFT(B1015, 2)</f>
        <v>HP</v>
      </c>
      <c r="R1015" t="str">
        <f t="shared" si="72"/>
        <v>Intel Core i5 (12th Gen)</v>
      </c>
      <c r="S1015" t="str">
        <f t="shared" ref="S1015:S1076" si="73">LEFT(J1015, 5)</f>
        <v>16 GB</v>
      </c>
    </row>
    <row r="1016" spans="1:19">
      <c r="A1016" t="str">
        <f>LEFT(B1016, LEN(B1016)-15)</f>
        <v>HP Pavilion 16-AF0015TU (A00V8PA) Laptop (Core Ultra 5/16 GB/512 GB SSD/Windows 11)</v>
      </c>
      <c r="B1016" t="s">
        <v>1548</v>
      </c>
      <c r="C1016" s="1">
        <v>64990</v>
      </c>
      <c r="D1016" s="1">
        <v>197</v>
      </c>
      <c r="E1016" s="2">
        <v>82</v>
      </c>
      <c r="F1016" s="2" t="str" cm="1">
        <f t="array" ref="F1016">_xlfn.IFS(AND(101&gt;E1016, E1016&gt;69), "Top-Tier", AND(70&gt;E1016, E1016&gt;39), "Mid-Tier", 40&gt;E1016, "Low-Tier")</f>
        <v>Top-Tier</v>
      </c>
      <c r="G1016" s="4">
        <v>45444</v>
      </c>
      <c r="H1016" t="s">
        <v>1537</v>
      </c>
      <c r="I1016" t="s">
        <v>33</v>
      </c>
      <c r="J1016" t="s">
        <v>121</v>
      </c>
      <c r="K1016" t="s">
        <v>155</v>
      </c>
      <c r="L1016" t="s">
        <v>24</v>
      </c>
      <c r="M1016" t="s">
        <v>99</v>
      </c>
      <c r="N1016" t="s">
        <v>31</v>
      </c>
      <c r="P1016" s="3">
        <v>82</v>
      </c>
      <c r="Q1016" t="str">
        <f>LEFT(B1016, 2)</f>
        <v>HP</v>
      </c>
      <c r="R1016" t="str">
        <f t="shared" si="72"/>
        <v>Intel Core i5 (12th Gen)</v>
      </c>
      <c r="S1016" t="str">
        <f t="shared" si="73"/>
        <v>16 GB</v>
      </c>
    </row>
    <row r="1017" spans="1:19">
      <c r="A1017" t="str">
        <f>LEFT(B1017, LEN(B1017)-15)</f>
        <v>Dell Vostro 3510 (ICC-D585041WIN8) Laptop (Core i3 10th Gen/8 GB/1 TB 256 GB SSD/Windows 11)</v>
      </c>
      <c r="B1017" t="s">
        <v>1549</v>
      </c>
      <c r="C1017" s="1">
        <v>41990</v>
      </c>
      <c r="D1017" s="1">
        <v>970</v>
      </c>
      <c r="E1017" s="2">
        <v>82</v>
      </c>
      <c r="F1017" s="2" t="str" cm="1">
        <f t="array" ref="F1017">_xlfn.IFS(AND(101&gt;E1017, E1017&gt;69), "Top-Tier", AND(70&gt;E1017, E1017&gt;39), "Mid-Tier", 40&gt;E1017, "Low-Tier")</f>
        <v>Top-Tier</v>
      </c>
      <c r="G1017" s="4">
        <v>45383</v>
      </c>
      <c r="H1017" t="s">
        <v>1537</v>
      </c>
      <c r="I1017" t="s">
        <v>33</v>
      </c>
      <c r="J1017" t="s">
        <v>332</v>
      </c>
      <c r="K1017" t="s">
        <v>51</v>
      </c>
      <c r="L1017" t="s">
        <v>24</v>
      </c>
      <c r="M1017" t="s">
        <v>122</v>
      </c>
      <c r="N1017" t="s">
        <v>31</v>
      </c>
      <c r="Q1017" t="str">
        <f>LEFT(B1017, 4)</f>
        <v>Dell</v>
      </c>
      <c r="R1017" t="str">
        <f t="shared" si="72"/>
        <v>Intel Core i5 (12th Gen)</v>
      </c>
      <c r="S1017" t="str">
        <f t="shared" si="73"/>
        <v xml:space="preserve">8 GB </v>
      </c>
    </row>
    <row r="1018" spans="1:19">
      <c r="A1018" t="str">
        <f>LEFT(B1018, LEN(B1018)-15)</f>
        <v>Lenovo ThinkBook 16 Gen 6 (21KHA0J5IN) Laptop (Core i3 13th Gen/8 GB/512 GB SSD/Windows 11)</v>
      </c>
      <c r="B1018" t="s">
        <v>1550</v>
      </c>
      <c r="C1018" s="1">
        <v>73800</v>
      </c>
      <c r="D1018" s="1">
        <v>47</v>
      </c>
      <c r="E1018" s="2">
        <v>82</v>
      </c>
      <c r="F1018" s="2" t="str" cm="1">
        <f t="array" ref="F1018">_xlfn.IFS(AND(101&gt;E1018, E1018&gt;69), "Top-Tier", AND(70&gt;E1018, E1018&gt;39), "Mid-Tier", 40&gt;E1018, "Low-Tier")</f>
        <v>Top-Tier</v>
      </c>
      <c r="G1018" s="4">
        <v>45352</v>
      </c>
      <c r="H1018" t="s">
        <v>1537</v>
      </c>
      <c r="I1018" t="s">
        <v>33</v>
      </c>
      <c r="J1018" t="s">
        <v>119</v>
      </c>
      <c r="K1018" t="s">
        <v>155</v>
      </c>
      <c r="L1018" t="s">
        <v>24</v>
      </c>
      <c r="M1018" t="s">
        <v>444</v>
      </c>
      <c r="N1018" t="s">
        <v>31</v>
      </c>
      <c r="P1018" s="3">
        <v>79</v>
      </c>
      <c r="Q1018" t="str">
        <f>LEFT(B1018, 6)</f>
        <v>Lenovo</v>
      </c>
      <c r="R1018" t="str">
        <f t="shared" si="72"/>
        <v>Intel Core i5 (12th Gen)</v>
      </c>
      <c r="S1018" t="str">
        <f t="shared" si="73"/>
        <v xml:space="preserve">8 GB </v>
      </c>
    </row>
    <row r="1019" spans="1:19">
      <c r="A1019" t="str">
        <f>LEFT(B1019, LEN(B1019)-15)</f>
        <v>Dell G15-5530 (GN553064GRM001ORB1) Laptop (Core i5 13th Gen/8 GB/512 GB SSD/Windows 11/6 GB)</v>
      </c>
      <c r="B1019" t="s">
        <v>1551</v>
      </c>
      <c r="C1019" s="1">
        <v>80660</v>
      </c>
      <c r="D1019" s="1">
        <v>15</v>
      </c>
      <c r="E1019" s="2">
        <v>82</v>
      </c>
      <c r="F1019" s="2" t="str" cm="1">
        <f t="array" ref="F1019">_xlfn.IFS(AND(101&gt;E1019, E1019&gt;69), "Top-Tier", AND(70&gt;E1019, E1019&gt;39), "Mid-Tier", 40&gt;E1019, "Low-Tier")</f>
        <v>Top-Tier</v>
      </c>
      <c r="G1019" s="4">
        <v>45352</v>
      </c>
      <c r="H1019" t="s">
        <v>1537</v>
      </c>
      <c r="I1019" t="s">
        <v>33</v>
      </c>
      <c r="J1019" t="s">
        <v>119</v>
      </c>
      <c r="K1019" t="s">
        <v>159</v>
      </c>
      <c r="L1019" t="s">
        <v>24</v>
      </c>
      <c r="N1019" t="s">
        <v>31</v>
      </c>
      <c r="P1019" s="3">
        <v>86</v>
      </c>
      <c r="Q1019" t="str">
        <f>LEFT(B1019, 4)</f>
        <v>Dell</v>
      </c>
      <c r="R1019" t="str">
        <f t="shared" si="72"/>
        <v>Intel Core i5 (12th Gen)</v>
      </c>
      <c r="S1019" t="str">
        <f t="shared" si="73"/>
        <v xml:space="preserve">8 GB </v>
      </c>
    </row>
    <row r="1020" spans="1:19">
      <c r="A1020" t="str">
        <f>LEFT(B1020, LEN(B1020)-15)</f>
        <v>MSI Modern 14 H D13MG-072IN Laptop (Core i7 13th Gen/16 GB/1 TB SSD/Windows 11)</v>
      </c>
      <c r="B1020" t="s">
        <v>1552</v>
      </c>
      <c r="C1020" s="1">
        <v>59990</v>
      </c>
      <c r="D1020" s="1">
        <v>51</v>
      </c>
      <c r="E1020" s="2">
        <v>82</v>
      </c>
      <c r="F1020" s="2" t="str" cm="1">
        <f t="array" ref="F1020">_xlfn.IFS(AND(101&gt;E1020, E1020&gt;69), "Top-Tier", AND(70&gt;E1020, E1020&gt;39), "Mid-Tier", 40&gt;E1020, "Low-Tier")</f>
        <v>Top-Tier</v>
      </c>
      <c r="G1020" s="4">
        <v>45352</v>
      </c>
      <c r="H1020" t="s">
        <v>1537</v>
      </c>
      <c r="I1020" t="s">
        <v>33</v>
      </c>
      <c r="J1020" t="s">
        <v>184</v>
      </c>
      <c r="K1020" t="s">
        <v>94</v>
      </c>
      <c r="L1020" t="s">
        <v>24</v>
      </c>
      <c r="M1020" t="s">
        <v>99</v>
      </c>
      <c r="N1020" t="s">
        <v>31</v>
      </c>
      <c r="P1020" s="3">
        <v>81</v>
      </c>
      <c r="Q1020" t="str">
        <f>LEFT(B1020, 3)</f>
        <v>MSI</v>
      </c>
      <c r="R1020" t="str">
        <f t="shared" si="72"/>
        <v>Intel Core i5 (12th Gen)</v>
      </c>
      <c r="S1020" t="str">
        <f t="shared" si="73"/>
        <v>16 GB</v>
      </c>
    </row>
    <row r="1021" spans="1:19">
      <c r="A1021" t="str">
        <f>LEFT(B1021, LEN(B1021)-15)</f>
        <v>Lenovo ThinkBook 15 G5 (21JFA02KIN) Laptop (AMD Hexa Core Ryzen 5/16 GB/512 GB SSD/Windows 11)</v>
      </c>
      <c r="B1021" t="s">
        <v>1553</v>
      </c>
      <c r="C1021" s="1">
        <v>32999</v>
      </c>
      <c r="D1021" s="1">
        <v>37</v>
      </c>
      <c r="E1021" s="2">
        <v>82</v>
      </c>
      <c r="F1021" s="2" t="str" cm="1">
        <f t="array" ref="F1021">_xlfn.IFS(AND(101&gt;E1021, E1021&gt;69), "Top-Tier", AND(70&gt;E1021, E1021&gt;39), "Mid-Tier", 40&gt;E1021, "Low-Tier")</f>
        <v>Top-Tier</v>
      </c>
      <c r="G1021" s="4">
        <v>45323</v>
      </c>
      <c r="H1021" t="s">
        <v>1537</v>
      </c>
      <c r="I1021" t="s">
        <v>33</v>
      </c>
      <c r="J1021" t="s">
        <v>34</v>
      </c>
      <c r="K1021" t="s">
        <v>217</v>
      </c>
      <c r="L1021" t="s">
        <v>24</v>
      </c>
      <c r="N1021" t="s">
        <v>31</v>
      </c>
      <c r="P1021" s="3">
        <v>74</v>
      </c>
      <c r="Q1021" t="str">
        <f>LEFT(B1021, 6)</f>
        <v>Lenovo</v>
      </c>
      <c r="R1021" t="str">
        <f t="shared" si="72"/>
        <v>Intel Core i5 (12th Gen)</v>
      </c>
      <c r="S1021" t="str">
        <f t="shared" si="73"/>
        <v>16 GB</v>
      </c>
    </row>
    <row r="1022" spans="1:19">
      <c r="A1022" t="str">
        <f>LEFT(B1022, LEN(B1022)-15)</f>
        <v>Lenovo Ideapad Slim 1 15AMN7 (82VG00JJIN) Laptop (AMD Quad Core Ryzen 3/8 GB/512 GB SSD/Windows 11)</v>
      </c>
      <c r="B1022" t="s">
        <v>1554</v>
      </c>
      <c r="C1022" s="1">
        <v>28490</v>
      </c>
      <c r="D1022" s="1">
        <v>238</v>
      </c>
      <c r="E1022" s="2">
        <v>82</v>
      </c>
      <c r="F1022" s="2" t="str" cm="1">
        <f t="array" ref="F1022">_xlfn.IFS(AND(101&gt;E1022, E1022&gt;69), "Top-Tier", AND(70&gt;E1022, E1022&gt;39), "Mid-Tier", 40&gt;E1022, "Low-Tier")</f>
        <v>Top-Tier</v>
      </c>
      <c r="G1022" s="4">
        <v>45292</v>
      </c>
      <c r="H1022" t="s">
        <v>1537</v>
      </c>
      <c r="I1022" t="s">
        <v>33</v>
      </c>
      <c r="J1022" t="s">
        <v>162</v>
      </c>
      <c r="K1022" t="s">
        <v>217</v>
      </c>
      <c r="L1022" t="s">
        <v>24</v>
      </c>
      <c r="M1022" t="s">
        <v>95</v>
      </c>
      <c r="N1022" t="s">
        <v>31</v>
      </c>
      <c r="P1022" s="3">
        <v>74</v>
      </c>
      <c r="Q1022" t="str">
        <f>LEFT(B1022, 6)</f>
        <v>Lenovo</v>
      </c>
      <c r="R1022" t="str">
        <f t="shared" si="72"/>
        <v>Intel Core i5 (12th Gen)</v>
      </c>
      <c r="S1022" t="str">
        <f t="shared" si="73"/>
        <v xml:space="preserve">8 GB </v>
      </c>
    </row>
    <row r="1023" spans="1:19">
      <c r="A1023" t="str">
        <f>LEFT(B1023, LEN(B1023)-15)</f>
        <v>Lenovo LOQ (82XV00F4IN) Laptop (Core i5 12th Gen/16 GB/512 GB SSD/Windows 11/4 GB)</v>
      </c>
      <c r="B1023" t="s">
        <v>1555</v>
      </c>
      <c r="C1023" s="1">
        <v>69990</v>
      </c>
      <c r="D1023" s="1">
        <v>254</v>
      </c>
      <c r="E1023" s="2">
        <v>82</v>
      </c>
      <c r="F1023" s="2" t="str" cm="1">
        <f t="array" ref="F1023">_xlfn.IFS(AND(101&gt;E1023, E1023&gt;69), "Top-Tier", AND(70&gt;E1023, E1023&gt;39), "Mid-Tier", 40&gt;E1023, "Low-Tier")</f>
        <v>Top-Tier</v>
      </c>
      <c r="G1023" s="4">
        <v>45261</v>
      </c>
      <c r="H1023" t="s">
        <v>1556</v>
      </c>
      <c r="I1023" t="s">
        <v>33</v>
      </c>
      <c r="J1023" t="s">
        <v>54</v>
      </c>
      <c r="K1023" t="s">
        <v>51</v>
      </c>
      <c r="L1023" t="s">
        <v>24</v>
      </c>
      <c r="N1023" t="s">
        <v>31</v>
      </c>
      <c r="P1023" s="3">
        <v>85</v>
      </c>
      <c r="Q1023" t="str">
        <f>LEFT(B1023, 6)</f>
        <v>Lenovo</v>
      </c>
      <c r="R1023" t="str">
        <f t="shared" si="72"/>
        <v>Intel Core i5 (12th Gen)</v>
      </c>
      <c r="S1023" t="str">
        <f t="shared" si="73"/>
        <v>16 GB</v>
      </c>
    </row>
    <row r="1024" spans="1:19">
      <c r="A1024" t="str">
        <f>LEFT(B1024, LEN(B1024)-15)</f>
        <v>Infinix Inbook Y2 Plus XL29 Laptop (Core i3 11th Gen/8 GB/512 GB SSD/Windows 11)</v>
      </c>
      <c r="B1024" t="s">
        <v>1557</v>
      </c>
      <c r="C1024" s="1">
        <v>24999</v>
      </c>
      <c r="D1024" s="1">
        <v>2050</v>
      </c>
      <c r="E1024" s="2">
        <v>82</v>
      </c>
      <c r="F1024" s="2" t="str" cm="1">
        <f t="array" ref="F1024">_xlfn.IFS(AND(101&gt;E1024, E1024&gt;69), "Top-Tier", AND(70&gt;E1024, E1024&gt;39), "Mid-Tier", 40&gt;E1024, "Low-Tier")</f>
        <v>Top-Tier</v>
      </c>
      <c r="G1024" s="4">
        <v>45261</v>
      </c>
      <c r="H1024" t="s">
        <v>1556</v>
      </c>
      <c r="I1024" t="s">
        <v>33</v>
      </c>
      <c r="J1024" t="s">
        <v>494</v>
      </c>
      <c r="K1024" t="s">
        <v>51</v>
      </c>
      <c r="L1024" t="s">
        <v>24</v>
      </c>
      <c r="M1024" t="s">
        <v>95</v>
      </c>
      <c r="N1024" t="s">
        <v>31</v>
      </c>
      <c r="O1024" t="s">
        <v>261</v>
      </c>
      <c r="Q1024" t="str">
        <f>LEFT(B1024, 7)</f>
        <v>Infinix</v>
      </c>
      <c r="R1024" t="str">
        <f t="shared" si="72"/>
        <v>Intel Core i5 (12th Gen)</v>
      </c>
      <c r="S1024" t="str">
        <f t="shared" si="73"/>
        <v xml:space="preserve">8 GB </v>
      </c>
    </row>
    <row r="1025" spans="1:19">
      <c r="A1025" t="str">
        <f>LEFT(B1025, LEN(B1025)-15)</f>
        <v>Lenovo Ideapad Slim 3 15IAU7 (82RK011DIN) Laptop (Core i3 12th Gen/8 GB/256 GB SSD/Windows 11)</v>
      </c>
      <c r="B1025" t="s">
        <v>1558</v>
      </c>
      <c r="C1025" s="1">
        <v>33700</v>
      </c>
      <c r="D1025" s="1">
        <v>770</v>
      </c>
      <c r="E1025" s="2">
        <v>82</v>
      </c>
      <c r="F1025" s="2" t="str" cm="1">
        <f t="array" ref="F1025">_xlfn.IFS(AND(101&gt;E1025, E1025&gt;69), "Top-Tier", AND(70&gt;E1025, E1025&gt;39), "Mid-Tier", 40&gt;E1025, "Low-Tier")</f>
        <v>Top-Tier</v>
      </c>
      <c r="G1025" s="4">
        <v>45231</v>
      </c>
      <c r="H1025" t="s">
        <v>1559</v>
      </c>
      <c r="I1025" t="s">
        <v>33</v>
      </c>
      <c r="J1025" t="s">
        <v>338</v>
      </c>
      <c r="K1025" t="s">
        <v>217</v>
      </c>
      <c r="L1025" t="s">
        <v>24</v>
      </c>
      <c r="M1025" t="s">
        <v>52</v>
      </c>
      <c r="N1025" t="s">
        <v>31</v>
      </c>
      <c r="P1025" s="3">
        <v>76</v>
      </c>
      <c r="Q1025" t="str">
        <f>LEFT(B1025, 6)</f>
        <v>Lenovo</v>
      </c>
      <c r="R1025" t="str">
        <f t="shared" si="72"/>
        <v>Intel Core i5 (12th Gen)</v>
      </c>
      <c r="S1025" t="str">
        <f t="shared" si="73"/>
        <v xml:space="preserve">8 GB </v>
      </c>
    </row>
    <row r="1026" spans="1:19">
      <c r="A1026" t="str">
        <f>LEFT(B1026, LEN(B1026)-15)</f>
        <v>Lenovo V15 G4 (82YUA017IN) Laptop (AMD Dual Core Athlon/8 GB/512 GB SSD/Windows 11)</v>
      </c>
      <c r="B1026" t="s">
        <v>1560</v>
      </c>
      <c r="C1026" s="1">
        <v>25990</v>
      </c>
      <c r="D1026" s="1">
        <v>532</v>
      </c>
      <c r="E1026" s="2">
        <v>82</v>
      </c>
      <c r="F1026" s="2" t="str" cm="1">
        <f t="array" ref="F1026">_xlfn.IFS(AND(101&gt;E1026, E1026&gt;69), "Top-Tier", AND(70&gt;E1026, E1026&gt;39), "Mid-Tier", 40&gt;E1026, "Low-Tier")</f>
        <v>Top-Tier</v>
      </c>
      <c r="G1026" s="4">
        <v>45200</v>
      </c>
      <c r="H1026" t="s">
        <v>1559</v>
      </c>
      <c r="I1026" t="s">
        <v>33</v>
      </c>
      <c r="J1026" t="s">
        <v>119</v>
      </c>
      <c r="K1026" t="s">
        <v>159</v>
      </c>
      <c r="L1026" t="s">
        <v>24</v>
      </c>
      <c r="N1026" t="s">
        <v>31</v>
      </c>
      <c r="O1026" t="s">
        <v>261</v>
      </c>
      <c r="Q1026" t="str">
        <f>LEFT(B1026, 6)</f>
        <v>Lenovo</v>
      </c>
      <c r="R1026" t="str">
        <f t="shared" si="72"/>
        <v>Intel Core i5 (12th Gen)</v>
      </c>
      <c r="S1026" t="str">
        <f t="shared" si="73"/>
        <v xml:space="preserve">8 GB </v>
      </c>
    </row>
    <row r="1027" spans="1:19">
      <c r="A1027" t="str">
        <f>LEFT(B1027, LEN(B1027)-15)</f>
        <v>Dell Inspiron 15 3530 (IN3530RMD8W001ORS1) Laptop (Core i5 13th Gen/16 GB/1 TB SSD/Windows 11)</v>
      </c>
      <c r="B1027" t="s">
        <v>1561</v>
      </c>
      <c r="C1027" s="1">
        <v>59990</v>
      </c>
      <c r="D1027" s="1">
        <v>119</v>
      </c>
      <c r="E1027" s="2">
        <v>82</v>
      </c>
      <c r="F1027" s="2" t="str" cm="1">
        <f t="array" ref="F1027">_xlfn.IFS(AND(101&gt;E1027, E1027&gt;69), "Top-Tier", AND(70&gt;E1027, E1027&gt;39), "Mid-Tier", 40&gt;E1027, "Low-Tier")</f>
        <v>Top-Tier</v>
      </c>
      <c r="G1027" s="4">
        <v>45200</v>
      </c>
      <c r="H1027" t="s">
        <v>1562</v>
      </c>
      <c r="I1027" t="s">
        <v>33</v>
      </c>
      <c r="J1027" t="s">
        <v>184</v>
      </c>
      <c r="K1027" t="s">
        <v>51</v>
      </c>
      <c r="L1027" t="s">
        <v>24</v>
      </c>
      <c r="M1027" t="s">
        <v>122</v>
      </c>
      <c r="N1027" t="s">
        <v>31</v>
      </c>
      <c r="P1027" s="3">
        <v>76</v>
      </c>
      <c r="Q1027" t="str">
        <f>LEFT(B1027, 4)</f>
        <v>Dell</v>
      </c>
      <c r="R1027" t="str">
        <f t="shared" si="72"/>
        <v>Intel Core i5 (12th Gen)</v>
      </c>
      <c r="S1027" t="str">
        <f t="shared" si="73"/>
        <v>16 GB</v>
      </c>
    </row>
    <row r="1028" spans="1:19">
      <c r="A1028" t="str">
        <f>LEFT(B1028, LEN(B1028)-15)</f>
        <v>Lenovo Ideapad Gaming 3 (82K20289IN) Laptop (AMD Quad Core Ryzen 5/8 GB/512 GB SSD/Windows 11/4 GB)</v>
      </c>
      <c r="B1028" t="s">
        <v>1563</v>
      </c>
      <c r="C1028" s="1">
        <v>49990</v>
      </c>
      <c r="D1028" s="1">
        <v>661</v>
      </c>
      <c r="E1028" s="2">
        <v>82</v>
      </c>
      <c r="F1028" s="2" t="str" cm="1">
        <f t="array" ref="F1028">_xlfn.IFS(AND(101&gt;E1028, E1028&gt;69), "Top-Tier", AND(70&gt;E1028, E1028&gt;39), "Mid-Tier", 40&gt;E1028, "Low-Tier")</f>
        <v>Top-Tier</v>
      </c>
      <c r="G1028" s="4">
        <v>45200</v>
      </c>
      <c r="H1028" t="s">
        <v>1562</v>
      </c>
      <c r="I1028" t="s">
        <v>33</v>
      </c>
      <c r="J1028" t="s">
        <v>50</v>
      </c>
      <c r="K1028" t="s">
        <v>51</v>
      </c>
      <c r="L1028" t="s">
        <v>24</v>
      </c>
      <c r="N1028" t="s">
        <v>31</v>
      </c>
      <c r="P1028" s="3">
        <v>73</v>
      </c>
      <c r="Q1028" t="str">
        <f>LEFT(B1028, 6)</f>
        <v>Lenovo</v>
      </c>
      <c r="R1028" t="str">
        <f t="shared" si="72"/>
        <v>Intel Core i5 (12th Gen)</v>
      </c>
      <c r="S1028" t="str">
        <f t="shared" si="73"/>
        <v xml:space="preserve">8 GB </v>
      </c>
    </row>
    <row r="1029" spans="1:19">
      <c r="A1029" t="str">
        <f>LEFT(B1029, LEN(B1029)-15)</f>
        <v>HP 250 G9 (724X2EA) Laptop (Core i3 12th Gen/8 GB/256 GB SSD/Windows 11)</v>
      </c>
      <c r="B1029" t="s">
        <v>1564</v>
      </c>
      <c r="C1029" s="1">
        <v>33400</v>
      </c>
      <c r="D1029" s="1">
        <v>113</v>
      </c>
      <c r="E1029" s="2">
        <v>82</v>
      </c>
      <c r="F1029" s="2" t="str" cm="1">
        <f t="array" ref="F1029">_xlfn.IFS(AND(101&gt;E1029, E1029&gt;69), "Top-Tier", AND(70&gt;E1029, E1029&gt;39), "Mid-Tier", 40&gt;E1029, "Low-Tier")</f>
        <v>Top-Tier</v>
      </c>
      <c r="G1029" s="4">
        <v>45200</v>
      </c>
      <c r="H1029" t="s">
        <v>1562</v>
      </c>
      <c r="I1029" t="s">
        <v>33</v>
      </c>
      <c r="J1029" t="s">
        <v>338</v>
      </c>
      <c r="K1029" t="s">
        <v>51</v>
      </c>
      <c r="L1029" t="s">
        <v>24</v>
      </c>
      <c r="M1029" t="s">
        <v>52</v>
      </c>
      <c r="N1029" t="s">
        <v>31</v>
      </c>
      <c r="P1029" s="3">
        <v>76</v>
      </c>
      <c r="Q1029" t="str">
        <f>LEFT(B1029, 2)</f>
        <v>HP</v>
      </c>
      <c r="R1029" t="str">
        <f t="shared" si="72"/>
        <v>Intel Core i5 (12th Gen)</v>
      </c>
      <c r="S1029" t="str">
        <f t="shared" si="73"/>
        <v xml:space="preserve">8 GB </v>
      </c>
    </row>
    <row r="1030" spans="1:19">
      <c r="A1030" t="str">
        <f>LEFT(B1030, LEN(B1030)-15)</f>
        <v>HP 250 G9 (7M657PA) Laptop (Core i3 12th Gen/8 GB/512 GB SSD/Windows 11)</v>
      </c>
      <c r="B1030" t="s">
        <v>1565</v>
      </c>
      <c r="C1030" s="1">
        <v>34650</v>
      </c>
      <c r="D1030" s="1">
        <v>39</v>
      </c>
      <c r="E1030" s="2">
        <v>82</v>
      </c>
      <c r="F1030" s="2" t="str" cm="1">
        <f t="array" ref="F1030">_xlfn.IFS(AND(101&gt;E1030, E1030&gt;69), "Top-Tier", AND(70&gt;E1030, E1030&gt;39), "Mid-Tier", 40&gt;E1030, "Low-Tier")</f>
        <v>Top-Tier</v>
      </c>
      <c r="G1030" s="4">
        <v>45200</v>
      </c>
      <c r="H1030" t="s">
        <v>1562</v>
      </c>
      <c r="I1030" t="s">
        <v>33</v>
      </c>
      <c r="J1030" t="s">
        <v>50</v>
      </c>
      <c r="K1030" t="s">
        <v>674</v>
      </c>
      <c r="L1030" t="s">
        <v>24</v>
      </c>
      <c r="M1030" t="s">
        <v>52</v>
      </c>
      <c r="N1030" t="s">
        <v>31</v>
      </c>
      <c r="P1030" s="3">
        <v>72</v>
      </c>
      <c r="Q1030" t="str">
        <f>LEFT(B1030, 2)</f>
        <v>HP</v>
      </c>
      <c r="R1030" t="str">
        <f t="shared" ref="R1030:R1091" si="74">LEFT(H1029, 24)</f>
        <v>Intel Core i5 (12th Gen)</v>
      </c>
      <c r="S1030" t="str">
        <f t="shared" si="73"/>
        <v xml:space="preserve">8 GB </v>
      </c>
    </row>
    <row r="1031" spans="1:19">
      <c r="A1031" t="str">
        <f>LEFT(B1031, LEN(B1031)-15)</f>
        <v>Lenovo Ideapad Slim 3i (82RK00VWIN) Laptop (Core i3 12th Gen/8 GB/512 GB SSD/Windows 11)</v>
      </c>
      <c r="B1031" t="s">
        <v>1566</v>
      </c>
      <c r="C1031" s="1">
        <v>32850</v>
      </c>
      <c r="D1031" s="1">
        <v>819</v>
      </c>
      <c r="E1031" s="2">
        <v>82</v>
      </c>
      <c r="F1031" s="2" t="str" cm="1">
        <f t="array" ref="F1031">_xlfn.IFS(AND(101&gt;E1031, E1031&gt;69), "Top-Tier", AND(70&gt;E1031, E1031&gt;39), "Mid-Tier", 40&gt;E1031, "Low-Tier")</f>
        <v>Top-Tier</v>
      </c>
      <c r="G1031" s="4">
        <v>45200</v>
      </c>
      <c r="H1031" t="s">
        <v>1562</v>
      </c>
      <c r="I1031" t="s">
        <v>33</v>
      </c>
      <c r="J1031" t="s">
        <v>50</v>
      </c>
      <c r="K1031" t="s">
        <v>217</v>
      </c>
      <c r="L1031" t="s">
        <v>24</v>
      </c>
      <c r="M1031" t="s">
        <v>52</v>
      </c>
      <c r="N1031" t="s">
        <v>31</v>
      </c>
      <c r="P1031" s="3">
        <v>73</v>
      </c>
      <c r="Q1031" t="str">
        <f>LEFT(B1031, 6)</f>
        <v>Lenovo</v>
      </c>
      <c r="R1031" t="str">
        <f t="shared" si="74"/>
        <v>Intel Core i5 (12th Gen)</v>
      </c>
      <c r="S1031" t="str">
        <f t="shared" si="73"/>
        <v xml:space="preserve">8 GB </v>
      </c>
    </row>
    <row r="1032" spans="1:19">
      <c r="A1032" t="str">
        <f>LEFT(B1032, LEN(B1032)-15)</f>
        <v>Wings Nuvobook V1 Laptop (Core i5 11th Gen/8 GB/512 GB SSD/Windows 11)</v>
      </c>
      <c r="B1032" t="s">
        <v>1567</v>
      </c>
      <c r="C1032" s="1">
        <v>59999</v>
      </c>
      <c r="D1032" s="1">
        <v>2016</v>
      </c>
      <c r="E1032" s="2">
        <v>82</v>
      </c>
      <c r="F1032" s="2" t="str" cm="1">
        <f t="array" ref="F1032">_xlfn.IFS(AND(101&gt;E1032, E1032&gt;69), "Top-Tier", AND(70&gt;E1032, E1032&gt;39), "Mid-Tier", 40&gt;E1032, "Low-Tier")</f>
        <v>Top-Tier</v>
      </c>
      <c r="G1032" s="4">
        <v>45200</v>
      </c>
      <c r="H1032" t="s">
        <v>1562</v>
      </c>
      <c r="I1032" t="s">
        <v>33</v>
      </c>
      <c r="J1032" t="s">
        <v>50</v>
      </c>
      <c r="K1032" t="s">
        <v>1568</v>
      </c>
      <c r="L1032" t="s">
        <v>24</v>
      </c>
      <c r="M1032" t="s">
        <v>732</v>
      </c>
      <c r="N1032" t="s">
        <v>31</v>
      </c>
      <c r="O1032" t="s">
        <v>152</v>
      </c>
      <c r="P1032" s="3">
        <v>76</v>
      </c>
      <c r="Q1032" t="str">
        <f>LEFT(B1032, 5)</f>
        <v>Wings</v>
      </c>
      <c r="R1032" t="str">
        <f t="shared" si="74"/>
        <v>Intel Core i5 (12th Gen)</v>
      </c>
      <c r="S1032" t="str">
        <f t="shared" si="73"/>
        <v xml:space="preserve">8 GB </v>
      </c>
    </row>
    <row r="1033" spans="1:19">
      <c r="A1033" t="str">
        <f>LEFT(B1033, LEN(B1033)-15)</f>
        <v>Wings Nuvobook S1 Laptop (Core i3 11th Gen/8 GB/256 GB SSD/Windows 11)</v>
      </c>
      <c r="B1033" t="s">
        <v>1569</v>
      </c>
      <c r="C1033" s="1">
        <v>49999</v>
      </c>
      <c r="D1033" s="1">
        <v>820</v>
      </c>
      <c r="E1033" s="2">
        <v>82</v>
      </c>
      <c r="F1033" s="2" t="str" cm="1">
        <f t="array" ref="F1033">_xlfn.IFS(AND(101&gt;E1033, E1033&gt;69), "Top-Tier", AND(70&gt;E1033, E1033&gt;39), "Mid-Tier", 40&gt;E1033, "Low-Tier")</f>
        <v>Top-Tier</v>
      </c>
      <c r="G1033" s="4">
        <v>45200</v>
      </c>
      <c r="H1033" t="s">
        <v>1562</v>
      </c>
      <c r="I1033" t="s">
        <v>33</v>
      </c>
      <c r="J1033" t="s">
        <v>338</v>
      </c>
      <c r="K1033" t="s">
        <v>1568</v>
      </c>
      <c r="L1033" t="s">
        <v>24</v>
      </c>
      <c r="M1033" t="s">
        <v>732</v>
      </c>
      <c r="N1033" t="s">
        <v>31</v>
      </c>
      <c r="O1033" t="s">
        <v>152</v>
      </c>
      <c r="P1033" s="3">
        <v>73</v>
      </c>
      <c r="Q1033" t="str">
        <f>LEFT(B1033, 5)</f>
        <v>Wings</v>
      </c>
      <c r="R1033" t="str">
        <f t="shared" si="74"/>
        <v>Intel Core i5 (12th Gen)</v>
      </c>
      <c r="S1033" t="str">
        <f t="shared" si="73"/>
        <v xml:space="preserve">8 GB </v>
      </c>
    </row>
    <row r="1034" spans="1:19">
      <c r="A1034" t="str">
        <f>LEFT(B1034, LEN(B1034)-15)</f>
        <v>Wings Nuvobook Pro Laptop (Core i7 11th Gen/16 GB/512 GB SSD/Windows 11)</v>
      </c>
      <c r="B1034" t="s">
        <v>1570</v>
      </c>
      <c r="C1034" s="1">
        <v>39999</v>
      </c>
      <c r="D1034" s="1">
        <v>114</v>
      </c>
      <c r="E1034" s="2">
        <v>82</v>
      </c>
      <c r="F1034" s="2" t="str" cm="1">
        <f t="array" ref="F1034">_xlfn.IFS(AND(101&gt;E1034, E1034&gt;69), "Top-Tier", AND(70&gt;E1034, E1034&gt;39), "Mid-Tier", 40&gt;E1034, "Low-Tier")</f>
        <v>Top-Tier</v>
      </c>
      <c r="G1034" s="4">
        <v>45200</v>
      </c>
      <c r="H1034" t="s">
        <v>1562</v>
      </c>
      <c r="I1034" t="s">
        <v>33</v>
      </c>
      <c r="J1034" t="s">
        <v>34</v>
      </c>
      <c r="K1034" t="s">
        <v>1253</v>
      </c>
      <c r="L1034" t="s">
        <v>24</v>
      </c>
      <c r="M1034" t="s">
        <v>1571</v>
      </c>
      <c r="N1034" t="s">
        <v>31</v>
      </c>
      <c r="O1034" t="s">
        <v>152</v>
      </c>
      <c r="P1034" s="3">
        <v>73</v>
      </c>
      <c r="Q1034" t="str">
        <f>LEFT(B1034, 5)</f>
        <v>Wings</v>
      </c>
      <c r="R1034" t="str">
        <f t="shared" si="74"/>
        <v>Intel Core i5 (12th Gen)</v>
      </c>
      <c r="S1034" t="str">
        <f t="shared" si="73"/>
        <v>16 GB</v>
      </c>
    </row>
    <row r="1035" spans="1:19">
      <c r="A1035" t="str">
        <f>LEFT(B1035, LEN(B1035)-15)</f>
        <v>Wings Nuvobook S2 Laptop (Core i3 11th Gen/8 GB/512 GB SSD/Windows 11)</v>
      </c>
      <c r="B1035" t="s">
        <v>1572</v>
      </c>
      <c r="C1035" s="1">
        <v>24999</v>
      </c>
      <c r="D1035" s="1">
        <v>820</v>
      </c>
      <c r="E1035" s="2">
        <v>82</v>
      </c>
      <c r="F1035" s="2" t="str" cm="1">
        <f t="array" ref="F1035">_xlfn.IFS(AND(101&gt;E1035, E1035&gt;69), "Top-Tier", AND(70&gt;E1035, E1035&gt;39), "Mid-Tier", 40&gt;E1035, "Low-Tier")</f>
        <v>Top-Tier</v>
      </c>
      <c r="G1035" s="4">
        <v>45200</v>
      </c>
      <c r="H1035" t="s">
        <v>1562</v>
      </c>
      <c r="I1035" t="s">
        <v>33</v>
      </c>
      <c r="J1035" t="s">
        <v>50</v>
      </c>
      <c r="K1035" t="s">
        <v>1568</v>
      </c>
      <c r="L1035" t="s">
        <v>24</v>
      </c>
      <c r="M1035" t="s">
        <v>732</v>
      </c>
      <c r="N1035" t="s">
        <v>31</v>
      </c>
      <c r="O1035" t="s">
        <v>152</v>
      </c>
      <c r="P1035" s="3">
        <v>74</v>
      </c>
      <c r="Q1035" t="str">
        <f>LEFT(B1035, 5)</f>
        <v>Wings</v>
      </c>
      <c r="R1035" t="str">
        <f t="shared" si="74"/>
        <v>Intel Core i5 (12th Gen)</v>
      </c>
      <c r="S1035" t="str">
        <f t="shared" si="73"/>
        <v xml:space="preserve">8 GB </v>
      </c>
    </row>
    <row r="1036" spans="1:19">
      <c r="A1036" t="str">
        <f>LEFT(B1036, LEN(B1036)-15)</f>
        <v>Lenovo V15 G3 (82TTA00UIH) Laptop (Core i3 12th Gen/8 GB/512 GB SSD/DOS)</v>
      </c>
      <c r="B1036" t="s">
        <v>1573</v>
      </c>
      <c r="C1036" s="1">
        <v>30499</v>
      </c>
      <c r="D1036" s="1">
        <v>49</v>
      </c>
      <c r="E1036" s="2">
        <v>82</v>
      </c>
      <c r="F1036" s="2" t="str" cm="1">
        <f t="array" ref="F1036">_xlfn.IFS(AND(101&gt;E1036, E1036&gt;69), "Top-Tier", AND(70&gt;E1036, E1036&gt;39), "Mid-Tier", 40&gt;E1036, "Low-Tier")</f>
        <v>Top-Tier</v>
      </c>
      <c r="G1036" s="4">
        <v>45170</v>
      </c>
      <c r="H1036" t="s">
        <v>1562</v>
      </c>
      <c r="I1036" t="s">
        <v>124</v>
      </c>
      <c r="J1036" t="s">
        <v>50</v>
      </c>
      <c r="K1036" t="s">
        <v>217</v>
      </c>
      <c r="L1036" t="s">
        <v>24</v>
      </c>
      <c r="M1036" t="s">
        <v>253</v>
      </c>
      <c r="N1036" t="s">
        <v>31</v>
      </c>
      <c r="P1036" s="3">
        <v>71</v>
      </c>
      <c r="Q1036" t="str">
        <f>LEFT(B1036, 6)</f>
        <v>Lenovo</v>
      </c>
      <c r="R1036" t="str">
        <f t="shared" si="74"/>
        <v>Intel Core i5 (12th Gen)</v>
      </c>
      <c r="S1036" t="str">
        <f t="shared" si="73"/>
        <v xml:space="preserve">8 GB </v>
      </c>
    </row>
    <row r="1037" spans="1:19">
      <c r="A1037" t="str">
        <f>LEFT(B1037, LEN(B1037)-15)</f>
        <v>Lenovo V15 G3 (82TTA08AIN) Laptop (Core i7 12th Gen/16 GB/512 GB SSD/Windows 11)</v>
      </c>
      <c r="B1037" t="s">
        <v>1574</v>
      </c>
      <c r="C1037" s="1">
        <v>44990</v>
      </c>
      <c r="D1037" s="1">
        <v>1074</v>
      </c>
      <c r="E1037" s="2">
        <v>82</v>
      </c>
      <c r="F1037" s="2" t="str" cm="1">
        <f t="array" ref="F1037">_xlfn.IFS(AND(101&gt;E1037, E1037&gt;69), "Top-Tier", AND(70&gt;E1037, E1037&gt;39), "Mid-Tier", 40&gt;E1037, "Low-Tier")</f>
        <v>Top-Tier</v>
      </c>
      <c r="G1037" s="4">
        <v>45170</v>
      </c>
      <c r="H1037" t="s">
        <v>1562</v>
      </c>
      <c r="I1037" t="s">
        <v>33</v>
      </c>
      <c r="J1037" t="s">
        <v>34</v>
      </c>
      <c r="K1037" t="s">
        <v>51</v>
      </c>
      <c r="L1037" t="s">
        <v>24</v>
      </c>
      <c r="M1037" t="s">
        <v>52</v>
      </c>
      <c r="N1037" t="s">
        <v>31</v>
      </c>
      <c r="P1037" s="3">
        <v>80</v>
      </c>
      <c r="Q1037" t="str">
        <f>LEFT(B1037, 6)</f>
        <v>Lenovo</v>
      </c>
      <c r="R1037" t="str">
        <f t="shared" si="74"/>
        <v>Intel Core i5 (12th Gen)</v>
      </c>
      <c r="S1037" t="str">
        <f t="shared" si="73"/>
        <v>16 GB</v>
      </c>
    </row>
    <row r="1038" spans="1:19">
      <c r="A1038" t="str">
        <f>LEFT(B1038, LEN(B1038)-15)</f>
        <v>Lenovo Yoga 6 13ABR8 (83B2007UIN) Laptop (AMD Octa Core Ryzen 7/16 GB/1 TB SSD/Windows 11)</v>
      </c>
      <c r="B1038" t="s">
        <v>1575</v>
      </c>
      <c r="C1038" s="1">
        <v>87390</v>
      </c>
      <c r="D1038" s="1">
        <v>95</v>
      </c>
      <c r="E1038" s="2">
        <v>82</v>
      </c>
      <c r="F1038" s="2" t="str" cm="1">
        <f t="array" ref="F1038">_xlfn.IFS(AND(101&gt;E1038, E1038&gt;69), "Top-Tier", AND(70&gt;E1038, E1038&gt;39), "Mid-Tier", 40&gt;E1038, "Low-Tier")</f>
        <v>Top-Tier</v>
      </c>
      <c r="G1038" s="4">
        <v>45170</v>
      </c>
      <c r="H1038" t="s">
        <v>1562</v>
      </c>
      <c r="I1038" t="s">
        <v>33</v>
      </c>
      <c r="J1038" t="s">
        <v>329</v>
      </c>
      <c r="K1038" t="s">
        <v>806</v>
      </c>
      <c r="L1038" t="s">
        <v>24</v>
      </c>
      <c r="M1038" t="s">
        <v>381</v>
      </c>
      <c r="P1038" s="3">
        <v>77</v>
      </c>
      <c r="Q1038" t="str">
        <f>LEFT(B1038, 6)</f>
        <v>Lenovo</v>
      </c>
      <c r="R1038" t="str">
        <f t="shared" si="74"/>
        <v>Intel Core i5 (12th Gen)</v>
      </c>
      <c r="S1038" t="str">
        <f t="shared" si="73"/>
        <v>16 GB</v>
      </c>
    </row>
    <row r="1039" spans="1:19">
      <c r="A1039" t="str">
        <f>LEFT(B1039, LEN(B1039)-15)</f>
        <v>HP Victus 15-fb0131AX (87B77PA) Laptop (AMD Hexa Core Ryzen 5/8 GB/512 GB SSD/Windows 11/4 GB)</v>
      </c>
      <c r="B1039" t="s">
        <v>1576</v>
      </c>
      <c r="C1039" s="1">
        <v>51990</v>
      </c>
      <c r="D1039" s="1">
        <v>650</v>
      </c>
      <c r="E1039" s="2">
        <v>82</v>
      </c>
      <c r="F1039" s="2" t="str" cm="1">
        <f t="array" ref="F1039">_xlfn.IFS(AND(101&gt;E1039, E1039&gt;69), "Top-Tier", AND(70&gt;E1039, E1039&gt;39), "Mid-Tier", 40&gt;E1039, "Low-Tier")</f>
        <v>Top-Tier</v>
      </c>
      <c r="G1039" s="4">
        <v>45170</v>
      </c>
      <c r="H1039" t="s">
        <v>1562</v>
      </c>
      <c r="I1039" t="s">
        <v>33</v>
      </c>
      <c r="J1039" t="s">
        <v>50</v>
      </c>
      <c r="K1039" t="s">
        <v>51</v>
      </c>
      <c r="L1039" t="s">
        <v>24</v>
      </c>
      <c r="N1039" t="s">
        <v>31</v>
      </c>
      <c r="P1039" s="3">
        <v>75</v>
      </c>
      <c r="Q1039" t="str">
        <f>LEFT(B1039, 2)</f>
        <v>HP</v>
      </c>
      <c r="R1039" t="str">
        <f t="shared" si="74"/>
        <v>Intel Core i5 (12th Gen)</v>
      </c>
      <c r="S1039" t="str">
        <f t="shared" si="73"/>
        <v xml:space="preserve">8 GB </v>
      </c>
    </row>
    <row r="1040" spans="1:19">
      <c r="A1040" t="str">
        <f>LEFT(B1040, LEN(B1040)-15)</f>
        <v>Dell Inspiron 15 3520 (IN352092K4N001ORS1) Laptop (Core i5 12th Gen/16 GB/512 GB SSD/Windows 11)</v>
      </c>
      <c r="B1040" t="s">
        <v>1577</v>
      </c>
      <c r="C1040" s="1">
        <v>49990</v>
      </c>
      <c r="D1040" s="1">
        <v>238</v>
      </c>
      <c r="E1040" s="2">
        <v>82</v>
      </c>
      <c r="F1040" s="2" t="str" cm="1">
        <f t="array" ref="F1040">_xlfn.IFS(AND(101&gt;E1040, E1040&gt;69), "Top-Tier", AND(70&gt;E1040, E1040&gt;39), "Mid-Tier", 40&gt;E1040, "Low-Tier")</f>
        <v>Top-Tier</v>
      </c>
      <c r="G1040" s="4">
        <v>45170</v>
      </c>
      <c r="H1040" t="s">
        <v>1562</v>
      </c>
      <c r="I1040" t="s">
        <v>33</v>
      </c>
      <c r="J1040" t="s">
        <v>34</v>
      </c>
      <c r="K1040" t="s">
        <v>51</v>
      </c>
      <c r="L1040" t="s">
        <v>24</v>
      </c>
      <c r="M1040" t="s">
        <v>237</v>
      </c>
      <c r="N1040" t="s">
        <v>31</v>
      </c>
      <c r="P1040" s="3">
        <v>80</v>
      </c>
      <c r="Q1040" t="str">
        <f>LEFT(B1040, 4)</f>
        <v>Dell</v>
      </c>
      <c r="R1040" t="str">
        <f t="shared" si="74"/>
        <v>Intel Core i5 (12th Gen)</v>
      </c>
      <c r="S1040" t="str">
        <f t="shared" si="73"/>
        <v>16 GB</v>
      </c>
    </row>
    <row r="1041" spans="1:19">
      <c r="A1041" t="str">
        <f>LEFT(B1041, LEN(B1041)-15)</f>
        <v>Asus VivoBook 16 X1605VA-MB946WS Laptop (Core i9 13th Gen/16 GB/512 GB SSD/Windows 11)</v>
      </c>
      <c r="B1041" t="s">
        <v>1578</v>
      </c>
      <c r="C1041" s="1">
        <v>94990</v>
      </c>
      <c r="D1041" s="1">
        <v>130</v>
      </c>
      <c r="E1041" s="2">
        <v>82</v>
      </c>
      <c r="F1041" s="2" t="str" cm="1">
        <f t="array" ref="F1041">_xlfn.IFS(AND(101&gt;E1041, E1041&gt;69), "Top-Tier", AND(70&gt;E1041, E1041&gt;39), "Mid-Tier", 40&gt;E1041, "Low-Tier")</f>
        <v>Top-Tier</v>
      </c>
      <c r="G1041" s="4">
        <v>45170</v>
      </c>
      <c r="H1041" t="s">
        <v>1562</v>
      </c>
      <c r="I1041" t="s">
        <v>33</v>
      </c>
      <c r="J1041" t="s">
        <v>34</v>
      </c>
      <c r="K1041" t="s">
        <v>1110</v>
      </c>
      <c r="L1041" t="s">
        <v>24</v>
      </c>
      <c r="N1041" t="s">
        <v>31</v>
      </c>
      <c r="P1041" s="3">
        <v>82</v>
      </c>
      <c r="Q1041" t="str">
        <f>LEFT(B1041, 4)</f>
        <v>Asus</v>
      </c>
      <c r="R1041" t="str">
        <f t="shared" si="74"/>
        <v>Intel Core i5 (12th Gen)</v>
      </c>
      <c r="S1041" t="str">
        <f t="shared" si="73"/>
        <v>16 GB</v>
      </c>
    </row>
    <row r="1042" spans="1:19">
      <c r="A1042" t="str">
        <f>LEFT(B1042, LEN(B1042)-15)</f>
        <v>Dell Inspiron 15 3530 (IN3530RW8JY001ORS1) Laptop (Core i5 13th Gen/8 GB/1 TB SSD/Windows 11)</v>
      </c>
      <c r="B1042" t="s">
        <v>1579</v>
      </c>
      <c r="C1042" s="1">
        <v>57990</v>
      </c>
      <c r="D1042" s="1">
        <v>119</v>
      </c>
      <c r="E1042" s="2">
        <v>82</v>
      </c>
      <c r="F1042" s="2" t="str" cm="1">
        <f t="array" ref="F1042">_xlfn.IFS(AND(101&gt;E1042, E1042&gt;69), "Top-Tier", AND(70&gt;E1042, E1042&gt;39), "Mid-Tier", 40&gt;E1042, "Low-Tier")</f>
        <v>Top-Tier</v>
      </c>
      <c r="G1042" s="4">
        <v>45170</v>
      </c>
      <c r="H1042" t="s">
        <v>1562</v>
      </c>
      <c r="I1042" t="s">
        <v>33</v>
      </c>
      <c r="J1042" t="s">
        <v>98</v>
      </c>
      <c r="K1042" t="s">
        <v>159</v>
      </c>
      <c r="L1042" t="s">
        <v>24</v>
      </c>
      <c r="N1042" t="s">
        <v>31</v>
      </c>
      <c r="Q1042" t="str">
        <f>LEFT(B1042, 4)</f>
        <v>Dell</v>
      </c>
      <c r="R1042" t="str">
        <f t="shared" si="74"/>
        <v>Intel Core i5 (12th Gen)</v>
      </c>
      <c r="S1042" t="str">
        <f t="shared" si="73"/>
        <v xml:space="preserve">8 GB </v>
      </c>
    </row>
    <row r="1043" spans="1:19">
      <c r="A1043" t="str">
        <f>LEFT(B1043, LEN(B1043)-15)</f>
        <v>HP Victus 15-fb1001AX (8L083PA) Laptop (AMD Hexa Core Ryzen 5/8 GB/512 GB SSD/Windows 11/4 GB)</v>
      </c>
      <c r="B1043" t="s">
        <v>1580</v>
      </c>
      <c r="C1043" s="1">
        <v>54900</v>
      </c>
      <c r="D1043" s="1">
        <v>10</v>
      </c>
      <c r="E1043" s="2">
        <v>82</v>
      </c>
      <c r="F1043" s="2" t="str" cm="1">
        <f t="array" ref="F1043">_xlfn.IFS(AND(101&gt;E1043, E1043&gt;69), "Top-Tier", AND(70&gt;E1043, E1043&gt;39), "Mid-Tier", 40&gt;E1043, "Low-Tier")</f>
        <v>Top-Tier</v>
      </c>
      <c r="G1043" s="4">
        <v>45170</v>
      </c>
      <c r="H1043" t="s">
        <v>1562</v>
      </c>
      <c r="I1043" t="s">
        <v>33</v>
      </c>
      <c r="J1043" t="s">
        <v>119</v>
      </c>
      <c r="K1043" t="s">
        <v>51</v>
      </c>
      <c r="L1043" t="s">
        <v>24</v>
      </c>
      <c r="N1043" t="s">
        <v>31</v>
      </c>
      <c r="P1043" s="3">
        <v>84</v>
      </c>
      <c r="Q1043" t="str">
        <f>LEFT(B1043, 2)</f>
        <v>HP</v>
      </c>
      <c r="R1043" t="str">
        <f t="shared" si="74"/>
        <v>Intel Core i5 (12th Gen)</v>
      </c>
      <c r="S1043" t="str">
        <f t="shared" si="73"/>
        <v xml:space="preserve">8 GB </v>
      </c>
    </row>
    <row r="1044" spans="1:19">
      <c r="A1044" t="str">
        <f>LEFT(B1044, LEN(B1044)-15)</f>
        <v>Lenovo Ideapad Gaming 3 (82K2028AIN) Laptop (AMD Quad Core Ryzen 5/8 GB/512 GB SSD/Windows 11/4 GB)</v>
      </c>
      <c r="B1044" t="s">
        <v>1581</v>
      </c>
      <c r="C1044" s="1">
        <v>57990</v>
      </c>
      <c r="D1044" s="1">
        <v>537</v>
      </c>
      <c r="E1044" s="2">
        <v>82</v>
      </c>
      <c r="F1044" s="2" t="str" cm="1">
        <f t="array" ref="F1044">_xlfn.IFS(AND(101&gt;E1044, E1044&gt;69), "Top-Tier", AND(70&gt;E1044, E1044&gt;39), "Mid-Tier", 40&gt;E1044, "Low-Tier")</f>
        <v>Top-Tier</v>
      </c>
      <c r="G1044" s="4">
        <v>45139</v>
      </c>
      <c r="H1044" t="s">
        <v>1562</v>
      </c>
      <c r="I1044" t="s">
        <v>33</v>
      </c>
      <c r="J1044" t="s">
        <v>50</v>
      </c>
      <c r="K1044" t="s">
        <v>51</v>
      </c>
      <c r="L1044" t="s">
        <v>24</v>
      </c>
      <c r="M1044" t="s">
        <v>765</v>
      </c>
      <c r="N1044" t="s">
        <v>31</v>
      </c>
      <c r="P1044" s="3">
        <v>75</v>
      </c>
      <c r="Q1044" t="str">
        <f>LEFT(B1044, 6)</f>
        <v>Lenovo</v>
      </c>
      <c r="R1044" t="str">
        <f t="shared" si="74"/>
        <v>Intel Core i5 (12th Gen)</v>
      </c>
      <c r="S1044" t="str">
        <f t="shared" si="73"/>
        <v xml:space="preserve">8 GB </v>
      </c>
    </row>
    <row r="1045" spans="1:19">
      <c r="A1045" t="str">
        <f>LEFT(B1045, LEN(B1045)-15)</f>
        <v>Lenovo Ideapad Gaming 3i 15IHU6 (82K101PBIN) Laptop (Core i5 11th Gen/8 GB/512 GB SSD/Windows 11/4 GB)</v>
      </c>
      <c r="B1045" t="s">
        <v>1582</v>
      </c>
      <c r="C1045" s="1">
        <v>53990</v>
      </c>
      <c r="D1045" s="1">
        <v>1440</v>
      </c>
      <c r="E1045" s="2">
        <v>82</v>
      </c>
      <c r="F1045" s="2" t="str" cm="1">
        <f t="array" ref="F1045">_xlfn.IFS(AND(101&gt;E1045, E1045&gt;69), "Top-Tier", AND(70&gt;E1045, E1045&gt;39), "Mid-Tier", 40&gt;E1045, "Low-Tier")</f>
        <v>Top-Tier</v>
      </c>
      <c r="G1045" s="4">
        <v>45139</v>
      </c>
      <c r="H1045" t="s">
        <v>1562</v>
      </c>
      <c r="I1045" t="s">
        <v>33</v>
      </c>
      <c r="J1045" t="s">
        <v>50</v>
      </c>
      <c r="K1045" t="s">
        <v>51</v>
      </c>
      <c r="L1045" t="s">
        <v>24</v>
      </c>
      <c r="N1045" t="s">
        <v>31</v>
      </c>
      <c r="P1045" s="3">
        <v>79</v>
      </c>
      <c r="Q1045" t="str">
        <f>LEFT(B1045, 6)</f>
        <v>Lenovo</v>
      </c>
      <c r="R1045" t="str">
        <f t="shared" si="74"/>
        <v>Intel Core i5 (12th Gen)</v>
      </c>
      <c r="S1045" t="str">
        <f t="shared" si="73"/>
        <v xml:space="preserve">8 GB </v>
      </c>
    </row>
    <row r="1046" spans="1:19">
      <c r="A1046" t="str">
        <f>LEFT(B1046, LEN(B1046)-15)</f>
        <v>Lenovo ThinkBook 15 G4 (21DJA0Y0IN) Laptop (Core i7 12th Gen/16 GB/512 GB SSD/Windows 11)</v>
      </c>
      <c r="B1046" t="s">
        <v>1583</v>
      </c>
      <c r="C1046" s="1">
        <v>46999</v>
      </c>
      <c r="D1046" s="1">
        <v>550</v>
      </c>
      <c r="E1046" s="2">
        <v>82</v>
      </c>
      <c r="F1046" s="2" t="str" cm="1">
        <f t="array" ref="F1046">_xlfn.IFS(AND(101&gt;E1046, E1046&gt;69), "Top-Tier", AND(70&gt;E1046, E1046&gt;39), "Mid-Tier", 40&gt;E1046, "Low-Tier")</f>
        <v>Top-Tier</v>
      </c>
      <c r="G1046" s="4">
        <v>45139</v>
      </c>
      <c r="H1046" t="s">
        <v>1562</v>
      </c>
      <c r="I1046" t="s">
        <v>33</v>
      </c>
      <c r="J1046" t="s">
        <v>34</v>
      </c>
      <c r="K1046" t="s">
        <v>51</v>
      </c>
      <c r="L1046" t="s">
        <v>24</v>
      </c>
      <c r="N1046" t="s">
        <v>31</v>
      </c>
      <c r="P1046" s="3">
        <v>79</v>
      </c>
      <c r="Q1046" t="str">
        <f>LEFT(B1046, 6)</f>
        <v>Lenovo</v>
      </c>
      <c r="R1046" t="str">
        <f t="shared" si="74"/>
        <v>Intel Core i5 (12th Gen)</v>
      </c>
      <c r="S1046" t="str">
        <f t="shared" si="73"/>
        <v>16 GB</v>
      </c>
    </row>
    <row r="1047" spans="1:19">
      <c r="A1047" t="str">
        <f>LEFT(B1047, LEN(B1047)-15)</f>
        <v>Acer Travelmate TMP214-41-G3 (UN.VSQSI.007) Laptop (AMD Hexa Core Ryzen 5/16 GB/512 GB SSD/Windows 11)</v>
      </c>
      <c r="B1047" t="s">
        <v>1584</v>
      </c>
      <c r="C1047" s="1">
        <v>35990</v>
      </c>
      <c r="D1047" s="1">
        <v>90</v>
      </c>
      <c r="E1047" s="2">
        <v>82</v>
      </c>
      <c r="F1047" s="2" t="str" cm="1">
        <f t="array" ref="F1047">_xlfn.IFS(AND(101&gt;E1047, E1047&gt;69), "Top-Tier", AND(70&gt;E1047, E1047&gt;39), "Mid-Tier", 40&gt;E1047, "Low-Tier")</f>
        <v>Top-Tier</v>
      </c>
      <c r="G1047" s="4">
        <v>45139</v>
      </c>
      <c r="H1047" t="s">
        <v>1562</v>
      </c>
      <c r="I1047" t="s">
        <v>33</v>
      </c>
      <c r="J1047" t="s">
        <v>34</v>
      </c>
      <c r="K1047" t="s">
        <v>1585</v>
      </c>
      <c r="L1047" t="s">
        <v>24</v>
      </c>
      <c r="M1047" t="s">
        <v>52</v>
      </c>
      <c r="N1047" t="s">
        <v>31</v>
      </c>
      <c r="Q1047" t="str">
        <f>LEFT(B1047, 4)</f>
        <v>Acer</v>
      </c>
      <c r="R1047" t="str">
        <f t="shared" si="74"/>
        <v>Intel Core i5 (12th Gen)</v>
      </c>
      <c r="S1047" t="str">
        <f t="shared" si="73"/>
        <v>16 GB</v>
      </c>
    </row>
    <row r="1048" spans="1:19">
      <c r="A1048" t="str">
        <f>LEFT(B1048, LEN(B1048)-15)</f>
        <v>Acer Travelmate TMP214-41-G3 (UN.VSQSI.006) Laptop (AMD Hexa Core Ryzen 5/8 GB/512 GB SSD/Windows 11)</v>
      </c>
      <c r="B1048" t="s">
        <v>1586</v>
      </c>
      <c r="C1048" s="1">
        <v>34000</v>
      </c>
      <c r="D1048" s="1">
        <v>90</v>
      </c>
      <c r="E1048" s="2">
        <v>82</v>
      </c>
      <c r="F1048" s="2" t="str" cm="1">
        <f t="array" ref="F1048">_xlfn.IFS(AND(101&gt;E1048, E1048&gt;69), "Top-Tier", AND(70&gt;E1048, E1048&gt;39), "Mid-Tier", 40&gt;E1048, "Low-Tier")</f>
        <v>Top-Tier</v>
      </c>
      <c r="G1048" s="4">
        <v>45139</v>
      </c>
      <c r="H1048" t="s">
        <v>1587</v>
      </c>
      <c r="I1048" t="s">
        <v>33</v>
      </c>
      <c r="J1048" t="s">
        <v>50</v>
      </c>
      <c r="K1048" t="s">
        <v>1585</v>
      </c>
      <c r="L1048" t="s">
        <v>24</v>
      </c>
      <c r="M1048" t="s">
        <v>52</v>
      </c>
      <c r="N1048" t="s">
        <v>31</v>
      </c>
      <c r="Q1048" t="str">
        <f>LEFT(B1048, 4)</f>
        <v>Acer</v>
      </c>
      <c r="R1048" t="str">
        <f t="shared" si="74"/>
        <v>Intel Core i5 (12th Gen)</v>
      </c>
      <c r="S1048" t="str">
        <f t="shared" si="73"/>
        <v xml:space="preserve">8 GB </v>
      </c>
    </row>
    <row r="1049" spans="1:19">
      <c r="A1049" t="str">
        <f>LEFT(B1049, LEN(B1049)-15)</f>
        <v>Lenovo ThinkBook 15 (21DJA049IH) Laptop (Core i5 12th Gen/8 GB/512 GB SSD/Windows 11)</v>
      </c>
      <c r="B1049" t="s">
        <v>1588</v>
      </c>
      <c r="C1049" s="1">
        <v>47990</v>
      </c>
      <c r="D1049" s="1">
        <v>165</v>
      </c>
      <c r="E1049" s="2">
        <v>82</v>
      </c>
      <c r="F1049" s="2" t="str" cm="1">
        <f t="array" ref="F1049">_xlfn.IFS(AND(101&gt;E1049, E1049&gt;69), "Top-Tier", AND(70&gt;E1049, E1049&gt;39), "Mid-Tier", 40&gt;E1049, "Low-Tier")</f>
        <v>Top-Tier</v>
      </c>
      <c r="G1049" s="4">
        <v>45139</v>
      </c>
      <c r="H1049" t="s">
        <v>1587</v>
      </c>
      <c r="I1049" t="s">
        <v>33</v>
      </c>
      <c r="J1049" t="s">
        <v>50</v>
      </c>
      <c r="K1049" t="s">
        <v>51</v>
      </c>
      <c r="L1049" t="s">
        <v>24</v>
      </c>
      <c r="M1049" t="s">
        <v>122</v>
      </c>
      <c r="N1049" t="s">
        <v>31</v>
      </c>
      <c r="P1049" s="3">
        <v>79</v>
      </c>
      <c r="Q1049" t="str">
        <f>LEFT(B1049, 6)</f>
        <v>Lenovo</v>
      </c>
      <c r="R1049" t="str">
        <f>LEFT(H873, 24)</f>
        <v>Intel Core i5 (11th Gen)</v>
      </c>
      <c r="S1049" t="str">
        <f t="shared" si="73"/>
        <v xml:space="preserve">8 GB </v>
      </c>
    </row>
    <row r="1050" spans="1:19">
      <c r="A1050" t="str">
        <f>LEFT(B1050, LEN(B1050)-15)</f>
        <v>Lenovo LOQ 15APH8 (82XT004JIN) Laptop (AMD Octa Core Ryzen 7/16 GB/512 GB SSD/Windows 11/6 GB)</v>
      </c>
      <c r="B1050" t="s">
        <v>1589</v>
      </c>
      <c r="C1050" s="1">
        <v>93990</v>
      </c>
      <c r="D1050" s="1">
        <v>236</v>
      </c>
      <c r="E1050" s="2">
        <v>82</v>
      </c>
      <c r="F1050" s="2" t="str" cm="1">
        <f t="array" ref="F1050">_xlfn.IFS(AND(101&gt;E1050, E1050&gt;69), "Top-Tier", AND(70&gt;E1050, E1050&gt;39), "Mid-Tier", 40&gt;E1050, "Low-Tier")</f>
        <v>Top-Tier</v>
      </c>
      <c r="G1050" s="4">
        <v>45139</v>
      </c>
      <c r="H1050" t="s">
        <v>1587</v>
      </c>
      <c r="I1050" t="s">
        <v>33</v>
      </c>
      <c r="J1050" t="s">
        <v>54</v>
      </c>
      <c r="K1050" t="s">
        <v>51</v>
      </c>
      <c r="L1050" t="s">
        <v>24</v>
      </c>
      <c r="N1050" t="s">
        <v>31</v>
      </c>
      <c r="Q1050" t="str">
        <f>LEFT(B1050, 6)</f>
        <v>Lenovo</v>
      </c>
      <c r="R1050" t="str">
        <f t="shared" si="74"/>
        <v>Intel Core i5 (12th Gen)</v>
      </c>
      <c r="S1050" t="str">
        <f t="shared" si="73"/>
        <v>16 GB</v>
      </c>
    </row>
    <row r="1051" spans="1:19">
      <c r="A1051" t="str">
        <f>LEFT(B1051, LEN(B1051)-15)</f>
        <v>Infinix INBook X2 Plus XL25 Laptop (Core i7 11th Gen/16 GB/1 TB SSD/Windows 11)</v>
      </c>
      <c r="B1051" t="s">
        <v>1590</v>
      </c>
      <c r="C1051" s="1">
        <v>50999</v>
      </c>
      <c r="D1051" s="1">
        <v>11</v>
      </c>
      <c r="E1051" s="2">
        <v>82</v>
      </c>
      <c r="F1051" s="2" t="str" cm="1">
        <f t="array" ref="F1051">_xlfn.IFS(AND(101&gt;E1051, E1051&gt;69), "Top-Tier", AND(70&gt;E1051, E1051&gt;39), "Mid-Tier", 40&gt;E1051, "Low-Tier")</f>
        <v>Top-Tier</v>
      </c>
      <c r="G1051" s="4">
        <v>45108</v>
      </c>
      <c r="H1051" t="s">
        <v>1587</v>
      </c>
      <c r="I1051" t="s">
        <v>33</v>
      </c>
      <c r="J1051" t="s">
        <v>329</v>
      </c>
      <c r="K1051" t="s">
        <v>51</v>
      </c>
      <c r="L1051" t="s">
        <v>24</v>
      </c>
      <c r="N1051" t="s">
        <v>31</v>
      </c>
      <c r="O1051" t="s">
        <v>261</v>
      </c>
      <c r="P1051" s="3">
        <v>72</v>
      </c>
      <c r="Q1051" t="str">
        <f>LEFT(B1051, 7)</f>
        <v>Infinix</v>
      </c>
      <c r="R1051" t="str">
        <f t="shared" si="74"/>
        <v>Intel Core i5 (12th Gen)</v>
      </c>
      <c r="S1051" t="str">
        <f t="shared" si="73"/>
        <v>16 GB</v>
      </c>
    </row>
    <row r="1052" spans="1:19">
      <c r="A1052" t="str">
        <f>LEFT(B1052, LEN(B1052)-15)</f>
        <v>Lenovo Ideapad Slim 5i 14IRL8 (82XD0040IN) Laptop (Core i7 13th Gen/16 GB/512 GB SSD/Windows 11)</v>
      </c>
      <c r="B1052" t="s">
        <v>1591</v>
      </c>
      <c r="C1052" s="1">
        <v>127590</v>
      </c>
      <c r="D1052" s="1">
        <v>113</v>
      </c>
      <c r="E1052" s="2">
        <v>82</v>
      </c>
      <c r="F1052" s="2" t="str" cm="1">
        <f t="array" ref="F1052">_xlfn.IFS(AND(101&gt;E1052, E1052&gt;69), "Top-Tier", AND(70&gt;E1052, E1052&gt;39), "Mid-Tier", 40&gt;E1052, "Low-Tier")</f>
        <v>Top-Tier</v>
      </c>
      <c r="G1052" s="4">
        <v>45108</v>
      </c>
      <c r="H1052" t="s">
        <v>1587</v>
      </c>
      <c r="I1052" t="s">
        <v>33</v>
      </c>
      <c r="J1052" t="s">
        <v>121</v>
      </c>
      <c r="K1052" t="s">
        <v>59</v>
      </c>
      <c r="L1052" t="s">
        <v>24</v>
      </c>
      <c r="M1052" t="s">
        <v>178</v>
      </c>
      <c r="N1052" t="s">
        <v>31</v>
      </c>
      <c r="P1052" s="3">
        <v>83</v>
      </c>
      <c r="Q1052" t="str">
        <f>LEFT(B1052, 6)</f>
        <v>Lenovo</v>
      </c>
      <c r="R1052" t="str">
        <f t="shared" si="74"/>
        <v>Intel Core i5 (12th Gen)</v>
      </c>
      <c r="S1052" t="str">
        <f t="shared" si="73"/>
        <v>16 GB</v>
      </c>
    </row>
    <row r="1053" spans="1:19">
      <c r="A1053" t="str">
        <f>LEFT(B1053, LEN(B1053)-15)</f>
        <v>Lenovo IdeaPad Flex 5 14ABR8 (82XX007KIN) Laptop (AMD Hexa Core Ryzen 5/16 GB/512 GB SSD/Windows 11)</v>
      </c>
      <c r="B1053" t="s">
        <v>1592</v>
      </c>
      <c r="C1053" s="1">
        <v>60490</v>
      </c>
      <c r="D1053" s="1">
        <v>71</v>
      </c>
      <c r="E1053" s="2">
        <v>82</v>
      </c>
      <c r="F1053" s="2" t="str" cm="1">
        <f t="array" ref="F1053">_xlfn.IFS(AND(101&gt;E1053, E1053&gt;69), "Top-Tier", AND(70&gt;E1053, E1053&gt;39), "Mid-Tier", 40&gt;E1053, "Low-Tier")</f>
        <v>Top-Tier</v>
      </c>
      <c r="G1053" s="4">
        <v>45108</v>
      </c>
      <c r="H1053" t="s">
        <v>1593</v>
      </c>
      <c r="I1053" t="s">
        <v>33</v>
      </c>
      <c r="J1053" t="s">
        <v>214</v>
      </c>
      <c r="K1053" t="s">
        <v>94</v>
      </c>
      <c r="L1053" t="s">
        <v>24</v>
      </c>
      <c r="N1053" t="s">
        <v>31</v>
      </c>
      <c r="P1053" s="3">
        <v>71</v>
      </c>
      <c r="Q1053" t="str">
        <f>LEFT(B1053, 6)</f>
        <v>Lenovo</v>
      </c>
      <c r="R1053" t="str">
        <f t="shared" si="74"/>
        <v>Intel Core i5 (12th Gen)</v>
      </c>
      <c r="S1053" t="str">
        <f t="shared" si="73"/>
        <v>16 GB</v>
      </c>
    </row>
    <row r="1054" spans="1:19">
      <c r="A1054" t="str">
        <f>LEFT(B1054, LEN(B1054)-15)</f>
        <v>Lenovo Ideapad Slim 5 16IRL8 (82XF003GIN) Laptop (Core i5 13th Gen/16 GB/512 GB SSD/Windows 11)</v>
      </c>
      <c r="B1054" t="s">
        <v>1594</v>
      </c>
      <c r="C1054" s="1">
        <v>75990</v>
      </c>
      <c r="D1054" s="1">
        <v>340</v>
      </c>
      <c r="E1054" s="2">
        <v>82</v>
      </c>
      <c r="F1054" s="2" t="str" cm="1">
        <f t="array" ref="F1054">_xlfn.IFS(AND(101&gt;E1054, E1054&gt;69), "Top-Tier", AND(70&gt;E1054, E1054&gt;39), "Mid-Tier", 40&gt;E1054, "Low-Tier")</f>
        <v>Top-Tier</v>
      </c>
      <c r="G1054" s="4">
        <v>45108</v>
      </c>
      <c r="H1054" t="s">
        <v>1593</v>
      </c>
      <c r="I1054" t="s">
        <v>33</v>
      </c>
      <c r="J1054" t="s">
        <v>121</v>
      </c>
      <c r="K1054" t="s">
        <v>155</v>
      </c>
      <c r="L1054" t="s">
        <v>24</v>
      </c>
      <c r="M1054" t="s">
        <v>178</v>
      </c>
      <c r="N1054" t="s">
        <v>31</v>
      </c>
      <c r="P1054" s="3">
        <v>82</v>
      </c>
      <c r="Q1054" t="str">
        <f>LEFT(B1054, 6)</f>
        <v>Lenovo</v>
      </c>
      <c r="R1054" t="str">
        <f t="shared" si="74"/>
        <v>Intel Core i5 (12th Gen)</v>
      </c>
      <c r="S1054" t="str">
        <f t="shared" si="73"/>
        <v>16 GB</v>
      </c>
    </row>
    <row r="1055" spans="1:19">
      <c r="A1055" t="str">
        <f>LEFT(B1055, LEN(B1055)-15)</f>
        <v>Lenovo Ideapad Slim 5 16IRL8 (82XF003JIN) Laptop (Core i7 13th Gen/16 GB/512 GB SSD/Windows 11)</v>
      </c>
      <c r="B1055" t="s">
        <v>1595</v>
      </c>
      <c r="C1055" s="1">
        <v>79690</v>
      </c>
      <c r="D1055" s="1">
        <v>109</v>
      </c>
      <c r="E1055" s="2">
        <v>82</v>
      </c>
      <c r="F1055" s="2" t="str" cm="1">
        <f t="array" ref="F1055">_xlfn.IFS(AND(101&gt;E1055, E1055&gt;69), "Top-Tier", AND(70&gt;E1055, E1055&gt;39), "Mid-Tier", 40&gt;E1055, "Low-Tier")</f>
        <v>Top-Tier</v>
      </c>
      <c r="G1055" s="4">
        <v>45108</v>
      </c>
      <c r="H1055" t="s">
        <v>1596</v>
      </c>
      <c r="I1055" t="s">
        <v>33</v>
      </c>
      <c r="J1055" t="s">
        <v>121</v>
      </c>
      <c r="K1055" t="s">
        <v>155</v>
      </c>
      <c r="L1055" t="s">
        <v>24</v>
      </c>
      <c r="M1055" t="s">
        <v>178</v>
      </c>
      <c r="N1055" t="s">
        <v>31</v>
      </c>
      <c r="P1055" s="3">
        <v>85</v>
      </c>
      <c r="Q1055" t="str">
        <f>LEFT(B1055, 6)</f>
        <v>Lenovo</v>
      </c>
      <c r="R1055" t="str">
        <f t="shared" si="74"/>
        <v>Intel Core i5 (12th Gen)</v>
      </c>
      <c r="S1055" t="str">
        <f t="shared" si="73"/>
        <v>16 GB</v>
      </c>
    </row>
    <row r="1056" spans="1:19">
      <c r="A1056" t="str">
        <f>LEFT(B1056, LEN(B1056)-15)</f>
        <v>Infinix Zero Book 13 ZL513 Laptop (Core i7 13th Gen/16 GB/512 GB SSD/Windows 11)</v>
      </c>
      <c r="B1056" t="s">
        <v>1597</v>
      </c>
      <c r="C1056" s="1">
        <v>60989</v>
      </c>
      <c r="D1056" s="1">
        <v>141</v>
      </c>
      <c r="E1056" s="2">
        <v>82</v>
      </c>
      <c r="F1056" s="2" t="str" cm="1">
        <f t="array" ref="F1056">_xlfn.IFS(AND(101&gt;E1056, E1056&gt;69), "Top-Tier", AND(70&gt;E1056, E1056&gt;39), "Mid-Tier", 40&gt;E1056, "Low-Tier")</f>
        <v>Top-Tier</v>
      </c>
      <c r="G1056" s="4">
        <v>45108</v>
      </c>
      <c r="H1056" t="s">
        <v>1596</v>
      </c>
      <c r="I1056" t="s">
        <v>33</v>
      </c>
      <c r="J1056" t="s">
        <v>63</v>
      </c>
      <c r="K1056" t="s">
        <v>51</v>
      </c>
      <c r="L1056" t="s">
        <v>24</v>
      </c>
      <c r="M1056" t="s">
        <v>178</v>
      </c>
      <c r="N1056" t="s">
        <v>31</v>
      </c>
      <c r="O1056" t="s">
        <v>261</v>
      </c>
      <c r="P1056" s="3">
        <v>79</v>
      </c>
      <c r="Q1056" t="str">
        <f>LEFT(B1056, 7)</f>
        <v>Infinix</v>
      </c>
      <c r="R1056" t="str">
        <f t="shared" si="74"/>
        <v>Intel Core i5 (12th Gen)</v>
      </c>
      <c r="S1056" t="str">
        <f t="shared" si="73"/>
        <v>16 GB</v>
      </c>
    </row>
    <row r="1057" spans="1:19">
      <c r="A1057" t="str">
        <f>LEFT(B1057, LEN(B1057)-15)</f>
        <v>Infinix Zero Book 13 ZL513 Laptop (Core i5 13th Gen/16 GB/512 GB SSD/Windows 11)</v>
      </c>
      <c r="B1057" t="s">
        <v>1598</v>
      </c>
      <c r="C1057" s="1">
        <v>51990</v>
      </c>
      <c r="D1057" s="1">
        <v>494</v>
      </c>
      <c r="E1057" s="2">
        <v>82</v>
      </c>
      <c r="F1057" s="2" t="str" cm="1">
        <f t="array" ref="F1057">_xlfn.IFS(AND(101&gt;E1057, E1057&gt;69), "Top-Tier", AND(70&gt;E1057, E1057&gt;39), "Mid-Tier", 40&gt;E1057, "Low-Tier")</f>
        <v>Top-Tier</v>
      </c>
      <c r="G1057" s="4">
        <v>45108</v>
      </c>
      <c r="H1057" t="s">
        <v>1596</v>
      </c>
      <c r="I1057" t="s">
        <v>33</v>
      </c>
      <c r="J1057" t="s">
        <v>63</v>
      </c>
      <c r="K1057" t="s">
        <v>51</v>
      </c>
      <c r="L1057" t="s">
        <v>24</v>
      </c>
      <c r="M1057" t="s">
        <v>178</v>
      </c>
      <c r="N1057" t="s">
        <v>31</v>
      </c>
      <c r="O1057" t="s">
        <v>261</v>
      </c>
      <c r="P1057" s="3">
        <v>77</v>
      </c>
      <c r="Q1057" t="str">
        <f>LEFT(B1057, 7)</f>
        <v>Infinix</v>
      </c>
      <c r="R1057" t="str">
        <f t="shared" si="74"/>
        <v>Intel Core i5 (12th Gen)</v>
      </c>
      <c r="S1057" t="str">
        <f t="shared" si="73"/>
        <v>16 GB</v>
      </c>
    </row>
    <row r="1058" spans="1:19">
      <c r="A1058" t="str">
        <f>LEFT(B1058, LEN(B1058)-15)</f>
        <v>MSI Modern 14 C12M-459IN Laptop (Core i7 12th Gen/16 GB/512 GB SSD/Windows 11)</v>
      </c>
      <c r="B1058" t="s">
        <v>1599</v>
      </c>
      <c r="C1058" s="1">
        <v>77411</v>
      </c>
      <c r="D1058" s="1">
        <v>92</v>
      </c>
      <c r="E1058" s="2">
        <v>82</v>
      </c>
      <c r="F1058" s="2" t="str" cm="1">
        <f t="array" ref="F1058">_xlfn.IFS(AND(101&gt;E1058, E1058&gt;69), "Top-Tier", AND(70&gt;E1058, E1058&gt;39), "Mid-Tier", 40&gt;E1058, "Low-Tier")</f>
        <v>Top-Tier</v>
      </c>
      <c r="G1058" s="4">
        <v>45108</v>
      </c>
      <c r="H1058" t="s">
        <v>1596</v>
      </c>
      <c r="I1058" t="s">
        <v>33</v>
      </c>
      <c r="J1058" t="s">
        <v>34</v>
      </c>
      <c r="K1058" t="s">
        <v>149</v>
      </c>
      <c r="L1058" t="s">
        <v>24</v>
      </c>
      <c r="M1058" t="s">
        <v>253</v>
      </c>
      <c r="N1058" t="s">
        <v>31</v>
      </c>
      <c r="O1058" t="s">
        <v>152</v>
      </c>
      <c r="P1058" s="3">
        <v>80</v>
      </c>
      <c r="Q1058" t="str">
        <f>LEFT(B1058, 3)</f>
        <v>MSI</v>
      </c>
      <c r="R1058" t="str">
        <f t="shared" si="74"/>
        <v>Intel Core i5 (12th Gen)</v>
      </c>
      <c r="S1058" t="str">
        <f t="shared" si="73"/>
        <v>16 GB</v>
      </c>
    </row>
    <row r="1059" spans="1:19">
      <c r="A1059" t="str">
        <f>LEFT(B1059, LEN(B1059)-15)</f>
        <v>Lenovo Ideapad Gaming 3 15ARH7 (82SB00NXIN) Laptop (AMD Hexa Core Ryzen 5/16 GB/512 GB SSD/Windows 11/4 GB)</v>
      </c>
      <c r="B1059" t="s">
        <v>1600</v>
      </c>
      <c r="C1059" s="1">
        <v>57990</v>
      </c>
      <c r="D1059" s="1">
        <v>614</v>
      </c>
      <c r="E1059" s="2">
        <v>82</v>
      </c>
      <c r="F1059" s="2" t="str" cm="1">
        <f t="array" ref="F1059">_xlfn.IFS(AND(101&gt;E1059, E1059&gt;69), "Top-Tier", AND(70&gt;E1059, E1059&gt;39), "Mid-Tier", 40&gt;E1059, "Low-Tier")</f>
        <v>Top-Tier</v>
      </c>
      <c r="G1059" s="4">
        <v>45108</v>
      </c>
      <c r="H1059" t="s">
        <v>1596</v>
      </c>
      <c r="I1059" t="s">
        <v>33</v>
      </c>
      <c r="J1059" t="s">
        <v>54</v>
      </c>
      <c r="K1059" t="s">
        <v>51</v>
      </c>
      <c r="L1059" t="s">
        <v>24</v>
      </c>
      <c r="M1059" t="s">
        <v>738</v>
      </c>
      <c r="N1059" t="s">
        <v>31</v>
      </c>
      <c r="P1059" s="3">
        <v>84</v>
      </c>
      <c r="Q1059" t="str">
        <f>LEFT(B1059, 6)</f>
        <v>Lenovo</v>
      </c>
      <c r="R1059" t="str">
        <f t="shared" si="74"/>
        <v>Intel Core i5 (12th Gen)</v>
      </c>
      <c r="S1059" t="str">
        <f t="shared" si="73"/>
        <v>16 GB</v>
      </c>
    </row>
    <row r="1060" spans="1:19">
      <c r="A1060" t="str">
        <f>LEFT(B1060, LEN(B1060)-15)</f>
        <v>Asus VivoBook 15 X1504ZA-NJ521WS Laptop (Core i5 12th Gen/8 GB/512 GB SSD/Windows 11)</v>
      </c>
      <c r="B1060" t="s">
        <v>1601</v>
      </c>
      <c r="C1060" s="1">
        <v>42190</v>
      </c>
      <c r="D1060" s="1">
        <v>35</v>
      </c>
      <c r="E1060" s="2">
        <v>82</v>
      </c>
      <c r="F1060" s="2" t="str" cm="1">
        <f t="array" ref="F1060">_xlfn.IFS(AND(101&gt;E1060, E1060&gt;69), "Top-Tier", AND(70&gt;E1060, E1060&gt;39), "Mid-Tier", 40&gt;E1060, "Low-Tier")</f>
        <v>Top-Tier</v>
      </c>
      <c r="G1060" s="4">
        <v>45078</v>
      </c>
      <c r="H1060" t="s">
        <v>1596</v>
      </c>
      <c r="I1060" t="s">
        <v>33</v>
      </c>
      <c r="J1060" t="s">
        <v>50</v>
      </c>
      <c r="K1060" t="s">
        <v>1342</v>
      </c>
      <c r="L1060" t="s">
        <v>24</v>
      </c>
      <c r="N1060" t="s">
        <v>31</v>
      </c>
      <c r="O1060" t="s">
        <v>152</v>
      </c>
      <c r="Q1060" t="str">
        <f>LEFT(B1060, 4)</f>
        <v>Asus</v>
      </c>
      <c r="R1060" t="str">
        <f t="shared" si="74"/>
        <v>Intel Core i5 (12th Gen)</v>
      </c>
      <c r="S1060" t="str">
        <f t="shared" si="73"/>
        <v xml:space="preserve">8 GB </v>
      </c>
    </row>
    <row r="1061" spans="1:19">
      <c r="A1061" t="str">
        <f>LEFT(B1061, LEN(B1061)-15)</f>
        <v>Asus VivoBook 15 X515EA-EJ328WS Laptop (Core i3 11th Gen/8 GB/512 GB SSD/Windows 11)</v>
      </c>
      <c r="B1061" t="s">
        <v>1602</v>
      </c>
      <c r="C1061" s="1">
        <v>49990</v>
      </c>
      <c r="D1061" s="1">
        <v>255</v>
      </c>
      <c r="E1061" s="2">
        <v>82</v>
      </c>
      <c r="F1061" s="2" t="str" cm="1">
        <f t="array" ref="F1061">_xlfn.IFS(AND(101&gt;E1061, E1061&gt;69), "Top-Tier", AND(70&gt;E1061, E1061&gt;39), "Mid-Tier", 40&gt;E1061, "Low-Tier")</f>
        <v>Top-Tier</v>
      </c>
      <c r="G1061" s="4">
        <v>45078</v>
      </c>
      <c r="H1061" t="s">
        <v>1596</v>
      </c>
      <c r="I1061" t="s">
        <v>33</v>
      </c>
      <c r="J1061" t="s">
        <v>50</v>
      </c>
      <c r="K1061" t="s">
        <v>51</v>
      </c>
      <c r="L1061" t="s">
        <v>24</v>
      </c>
      <c r="M1061" t="s">
        <v>52</v>
      </c>
      <c r="N1061" t="s">
        <v>31</v>
      </c>
      <c r="Q1061" t="str">
        <f>LEFT(B1061, 4)</f>
        <v>Asus</v>
      </c>
      <c r="R1061" t="str">
        <f t="shared" si="74"/>
        <v>Intel Core i5 (12th Gen)</v>
      </c>
      <c r="S1061" t="str">
        <f t="shared" si="73"/>
        <v xml:space="preserve">8 GB </v>
      </c>
    </row>
    <row r="1062" spans="1:19">
      <c r="A1062" t="str">
        <f>LEFT(B1062, LEN(B1062)-15)</f>
        <v>HP 15s-ey1509AU (832R0PA) Laptop (AMD Dual Core Athlon/8 GB/512 GB SSD/Windows 11)</v>
      </c>
      <c r="B1062" t="s">
        <v>1603</v>
      </c>
      <c r="C1062" s="1">
        <v>29680</v>
      </c>
      <c r="D1062" s="1">
        <v>3736</v>
      </c>
      <c r="E1062" s="2">
        <v>82</v>
      </c>
      <c r="F1062" s="2" t="str" cm="1">
        <f t="array" ref="F1062">_xlfn.IFS(AND(101&gt;E1062, E1062&gt;69), "Top-Tier", AND(70&gt;E1062, E1062&gt;39), "Mid-Tier", 40&gt;E1062, "Low-Tier")</f>
        <v>Top-Tier</v>
      </c>
      <c r="G1062" s="4">
        <v>45078</v>
      </c>
      <c r="H1062" t="s">
        <v>1596</v>
      </c>
      <c r="I1062" t="s">
        <v>33</v>
      </c>
      <c r="J1062" t="s">
        <v>50</v>
      </c>
      <c r="K1062" t="s">
        <v>560</v>
      </c>
      <c r="L1062" t="s">
        <v>24</v>
      </c>
      <c r="M1062" t="s">
        <v>95</v>
      </c>
      <c r="N1062" t="s">
        <v>31</v>
      </c>
      <c r="Q1062" t="str">
        <f>LEFT(B1062, 2)</f>
        <v>HP</v>
      </c>
      <c r="R1062" t="str">
        <f t="shared" si="74"/>
        <v>Intel Core i5 (12th Gen)</v>
      </c>
      <c r="S1062" t="str">
        <f t="shared" si="73"/>
        <v xml:space="preserve">8 GB </v>
      </c>
    </row>
    <row r="1063" spans="1:19">
      <c r="A1063" t="str">
        <f>LEFT(B1063, LEN(B1063)-15)</f>
        <v>Infinix INBook X2 Slim XL23 Laptop (Core i3 11th Gen/8 GB/512 GB SSD/Windows 11)</v>
      </c>
      <c r="B1063" t="s">
        <v>1604</v>
      </c>
      <c r="C1063" s="1">
        <v>25999</v>
      </c>
      <c r="D1063" s="1">
        <v>2051</v>
      </c>
      <c r="E1063" s="2">
        <v>82</v>
      </c>
      <c r="F1063" s="2" t="str" cm="1">
        <f t="array" ref="F1063">_xlfn.IFS(AND(101&gt;E1063, E1063&gt;69), "Top-Tier", AND(70&gt;E1063, E1063&gt;39), "Mid-Tier", 40&gt;E1063, "Low-Tier")</f>
        <v>Top-Tier</v>
      </c>
      <c r="G1063" s="4">
        <v>45078</v>
      </c>
      <c r="H1063" t="s">
        <v>1596</v>
      </c>
      <c r="I1063" t="s">
        <v>33</v>
      </c>
      <c r="J1063" t="s">
        <v>494</v>
      </c>
      <c r="K1063" t="s">
        <v>149</v>
      </c>
      <c r="L1063" t="s">
        <v>24</v>
      </c>
      <c r="M1063" t="s">
        <v>968</v>
      </c>
      <c r="N1063" t="s">
        <v>31</v>
      </c>
      <c r="O1063" t="s">
        <v>261</v>
      </c>
      <c r="P1063" s="3">
        <v>74</v>
      </c>
      <c r="Q1063" t="str">
        <f>LEFT(B1063, 7)</f>
        <v>Infinix</v>
      </c>
      <c r="R1063" t="str">
        <f t="shared" si="74"/>
        <v>Intel Core i5 (12th Gen)</v>
      </c>
      <c r="S1063" t="str">
        <f t="shared" si="73"/>
        <v xml:space="preserve">8 GB </v>
      </c>
    </row>
    <row r="1064" spans="1:19">
      <c r="A1064" t="str">
        <f>LEFT(B1064, LEN(B1064)-15)</f>
        <v>Lenovo Thinkpad E14 Gen 5 (21JRS00T00) Laptop (AMD Hexa Core Ryzen 5/8 GB/512 GB SSD/Windows 11)</v>
      </c>
      <c r="B1064" t="s">
        <v>1605</v>
      </c>
      <c r="C1064" s="1">
        <v>47990</v>
      </c>
      <c r="D1064" s="1">
        <v>79</v>
      </c>
      <c r="E1064" s="2">
        <v>82</v>
      </c>
      <c r="F1064" s="2" t="str" cm="1">
        <f t="array" ref="F1064">_xlfn.IFS(AND(101&gt;E1064, E1064&gt;69), "Top-Tier", AND(70&gt;E1064, E1064&gt;39), "Mid-Tier", 40&gt;E1064, "Low-Tier")</f>
        <v>Top-Tier</v>
      </c>
      <c r="G1064" s="4">
        <v>45078</v>
      </c>
      <c r="H1064" t="s">
        <v>1596</v>
      </c>
      <c r="I1064" t="s">
        <v>33</v>
      </c>
      <c r="J1064" t="s">
        <v>50</v>
      </c>
      <c r="K1064" t="s">
        <v>94</v>
      </c>
      <c r="L1064" t="s">
        <v>24</v>
      </c>
      <c r="M1064" t="s">
        <v>95</v>
      </c>
      <c r="N1064" t="s">
        <v>31</v>
      </c>
      <c r="P1064" s="3">
        <v>75</v>
      </c>
      <c r="Q1064" t="str">
        <f>LEFT(B1064, 6)</f>
        <v>Lenovo</v>
      </c>
      <c r="R1064" t="str">
        <f t="shared" si="74"/>
        <v>Intel Core i5 (12th Gen)</v>
      </c>
      <c r="S1064" t="str">
        <f t="shared" si="73"/>
        <v xml:space="preserve">8 GB </v>
      </c>
    </row>
    <row r="1065" spans="1:19">
      <c r="A1065" t="str">
        <f>LEFT(B1065, LEN(B1065)-15)</f>
        <v>HP ProBook 445 G8 (7K2K0PA) Laptop (AMD Octa Core Ryzen 7/8 GB/512 GB SSD/DOS)</v>
      </c>
      <c r="B1065" t="s">
        <v>1606</v>
      </c>
      <c r="C1065" s="1">
        <v>49990</v>
      </c>
      <c r="D1065" s="1">
        <v>8</v>
      </c>
      <c r="E1065" s="2">
        <v>82</v>
      </c>
      <c r="F1065" s="2" t="str" cm="1">
        <f t="array" ref="F1065">_xlfn.IFS(AND(101&gt;E1065, E1065&gt;69), "Top-Tier", AND(70&gt;E1065, E1065&gt;39), "Mid-Tier", 40&gt;E1065, "Low-Tier")</f>
        <v>Top-Tier</v>
      </c>
      <c r="G1065" s="4">
        <v>45047</v>
      </c>
      <c r="H1065" t="s">
        <v>1596</v>
      </c>
      <c r="I1065" t="s">
        <v>124</v>
      </c>
      <c r="J1065" t="s">
        <v>50</v>
      </c>
      <c r="K1065" t="s">
        <v>149</v>
      </c>
      <c r="L1065" t="s">
        <v>24</v>
      </c>
      <c r="M1065" t="s">
        <v>52</v>
      </c>
      <c r="N1065" t="s">
        <v>31</v>
      </c>
      <c r="P1065" s="3">
        <v>75</v>
      </c>
      <c r="Q1065" t="str">
        <f>LEFT(B1065, 2)</f>
        <v>HP</v>
      </c>
      <c r="R1065" t="str">
        <f t="shared" si="74"/>
        <v>Intel Core i5 (12th Gen)</v>
      </c>
      <c r="S1065" t="str">
        <f t="shared" si="73"/>
        <v xml:space="preserve">8 GB </v>
      </c>
    </row>
    <row r="1066" spans="1:19">
      <c r="A1066" t="str">
        <f>LEFT(B1066, LEN(B1066)-15)</f>
        <v>HP 15-fd0019TU (7Q6Z0PA) Laptop (Core i3 13th Gen/8 GB/512 GB SSD/Windows 11)</v>
      </c>
      <c r="B1066" t="s">
        <v>1607</v>
      </c>
      <c r="C1066" s="1">
        <v>38900</v>
      </c>
      <c r="D1066" s="1">
        <v>239</v>
      </c>
      <c r="E1066" s="2">
        <v>82</v>
      </c>
      <c r="F1066" s="2" t="str" cm="1">
        <f t="array" ref="F1066">_xlfn.IFS(AND(101&gt;E1066, E1066&gt;69), "Top-Tier", AND(70&gt;E1066, E1066&gt;39), "Mid-Tier", 40&gt;E1066, "Low-Tier")</f>
        <v>Top-Tier</v>
      </c>
      <c r="G1066" s="4">
        <v>45017</v>
      </c>
      <c r="H1066" t="s">
        <v>1596</v>
      </c>
      <c r="I1066" t="s">
        <v>33</v>
      </c>
      <c r="J1066" t="s">
        <v>50</v>
      </c>
      <c r="K1066" t="s">
        <v>51</v>
      </c>
      <c r="L1066" t="s">
        <v>24</v>
      </c>
      <c r="M1066" t="s">
        <v>99</v>
      </c>
      <c r="N1066" t="s">
        <v>31</v>
      </c>
      <c r="P1066" s="3">
        <v>73</v>
      </c>
      <c r="Q1066" t="str">
        <f>LEFT(B1066, 2)</f>
        <v>HP</v>
      </c>
      <c r="R1066" t="str">
        <f t="shared" si="74"/>
        <v>Intel Core i5 (12th Gen)</v>
      </c>
      <c r="S1066" t="str">
        <f t="shared" si="73"/>
        <v xml:space="preserve">8 GB </v>
      </c>
    </row>
    <row r="1067" spans="1:19">
      <c r="A1067" t="str">
        <f>LEFT(B1067, LEN(B1067)-15)</f>
        <v>MSI GF63 Thin 11SC-1401IN Laptop (Core i5 11th Gen/8 GB/512 GB SSD/Windows 11/4 GB)</v>
      </c>
      <c r="B1067" t="s">
        <v>1608</v>
      </c>
      <c r="C1067" s="1">
        <v>48999</v>
      </c>
      <c r="D1067" s="1">
        <v>297</v>
      </c>
      <c r="E1067" s="2">
        <v>82</v>
      </c>
      <c r="F1067" s="2" t="str" cm="1">
        <f t="array" ref="F1067">_xlfn.IFS(AND(101&gt;E1067, E1067&gt;69), "Top-Tier", AND(70&gt;E1067, E1067&gt;39), "Mid-Tier", 40&gt;E1067, "Low-Tier")</f>
        <v>Top-Tier</v>
      </c>
      <c r="G1067" s="4">
        <v>45017</v>
      </c>
      <c r="H1067" t="s">
        <v>1596</v>
      </c>
      <c r="I1067" t="s">
        <v>33</v>
      </c>
      <c r="J1067" t="s">
        <v>50</v>
      </c>
      <c r="K1067" t="s">
        <v>51</v>
      </c>
      <c r="L1067" t="s">
        <v>24</v>
      </c>
      <c r="N1067" t="s">
        <v>31</v>
      </c>
      <c r="P1067" s="3">
        <v>74</v>
      </c>
      <c r="Q1067" t="str">
        <f>LEFT(B1067, 3)</f>
        <v>MSI</v>
      </c>
      <c r="R1067" t="str">
        <f t="shared" si="74"/>
        <v>Intel Core i5 (12th Gen)</v>
      </c>
      <c r="S1067" t="str">
        <f t="shared" si="73"/>
        <v xml:space="preserve">8 GB </v>
      </c>
    </row>
    <row r="1068" spans="1:19">
      <c r="A1068" t="str">
        <f>LEFT(B1068, LEN(B1068)-15)</f>
        <v>HP 15-fc0031AU (7L035PA) Laptop (AMD Quad Core Ryzen 5/16 GB/512 GB SSD/Windows 11)</v>
      </c>
      <c r="B1068" t="s">
        <v>1609</v>
      </c>
      <c r="C1068" s="1">
        <v>55990</v>
      </c>
      <c r="D1068" s="1">
        <v>584</v>
      </c>
      <c r="E1068" s="2">
        <v>82</v>
      </c>
      <c r="F1068" s="2" t="str" cm="1">
        <f t="array" ref="F1068">_xlfn.IFS(AND(101&gt;E1068, E1068&gt;69), "Top-Tier", AND(70&gt;E1068, E1068&gt;39), "Mid-Tier", 40&gt;E1068, "Low-Tier")</f>
        <v>Top-Tier</v>
      </c>
      <c r="G1068" s="4">
        <v>45017</v>
      </c>
      <c r="H1068" t="s">
        <v>1596</v>
      </c>
      <c r="I1068" t="s">
        <v>33</v>
      </c>
      <c r="J1068" t="s">
        <v>121</v>
      </c>
      <c r="K1068" t="s">
        <v>51</v>
      </c>
      <c r="L1068" t="s">
        <v>24</v>
      </c>
      <c r="M1068" t="s">
        <v>99</v>
      </c>
      <c r="P1068" s="3">
        <v>77</v>
      </c>
      <c r="Q1068" t="str">
        <f>LEFT(B1068, 2)</f>
        <v>HP</v>
      </c>
      <c r="R1068" t="str">
        <f t="shared" si="74"/>
        <v>Intel Core i5 (12th Gen)</v>
      </c>
      <c r="S1068" t="str">
        <f t="shared" si="73"/>
        <v>16 GB</v>
      </c>
    </row>
    <row r="1069" spans="1:19">
      <c r="A1069" t="str">
        <f>LEFT(B1069, LEN(B1069)-15)</f>
        <v>Asus VivoBook S15 OLED S5504VA-MA953WS Laptop (Core i9 13th Gen/16 GB/1 TB SSD/Windows 11)</v>
      </c>
      <c r="B1069" t="s">
        <v>1610</v>
      </c>
      <c r="C1069" s="1">
        <v>99990</v>
      </c>
      <c r="D1069" s="1">
        <v>110</v>
      </c>
      <c r="E1069" s="2">
        <v>82</v>
      </c>
      <c r="F1069" s="2" t="str" cm="1">
        <f t="array" ref="F1069">_xlfn.IFS(AND(101&gt;E1069, E1069&gt;69), "Top-Tier", AND(70&gt;E1069, E1069&gt;39), "Mid-Tier", 40&gt;E1069, "Low-Tier")</f>
        <v>Top-Tier</v>
      </c>
      <c r="G1069" s="4">
        <v>45017</v>
      </c>
      <c r="H1069" t="s">
        <v>1596</v>
      </c>
      <c r="I1069" t="s">
        <v>33</v>
      </c>
      <c r="J1069" t="s">
        <v>167</v>
      </c>
      <c r="K1069" t="s">
        <v>43</v>
      </c>
      <c r="L1069" t="s">
        <v>24</v>
      </c>
      <c r="N1069" t="s">
        <v>31</v>
      </c>
      <c r="P1069" s="3">
        <v>79</v>
      </c>
      <c r="Q1069" t="str">
        <f>LEFT(B1069, 4)</f>
        <v>Asus</v>
      </c>
      <c r="R1069" t="str">
        <f t="shared" si="74"/>
        <v>Intel Core i5 (12th Gen)</v>
      </c>
      <c r="S1069" t="str">
        <f t="shared" si="73"/>
        <v>16 GB</v>
      </c>
    </row>
    <row r="1070" spans="1:19">
      <c r="A1070" t="str">
        <f>LEFT(B1070, LEN(B1070)-15)</f>
        <v>Dell G15-5530 (GN5530D83M6001ORB1) Laptop (Core i5 13th Gen/16 GB/512 GB SSD/Windows 11/6 GB)</v>
      </c>
      <c r="B1070" t="s">
        <v>1611</v>
      </c>
      <c r="C1070" s="1">
        <v>72990</v>
      </c>
      <c r="D1070" s="1">
        <v>15</v>
      </c>
      <c r="E1070" s="2">
        <v>82</v>
      </c>
      <c r="F1070" s="2" t="str" cm="1">
        <f t="array" ref="F1070">_xlfn.IFS(AND(101&gt;E1070, E1070&gt;69), "Top-Tier", AND(70&gt;E1070, E1070&gt;39), "Mid-Tier", 40&gt;E1070, "Low-Tier")</f>
        <v>Top-Tier</v>
      </c>
      <c r="G1070" s="4">
        <v>45017</v>
      </c>
      <c r="H1070" t="s">
        <v>1596</v>
      </c>
      <c r="I1070" t="s">
        <v>33</v>
      </c>
      <c r="J1070" t="s">
        <v>54</v>
      </c>
      <c r="K1070" t="s">
        <v>159</v>
      </c>
      <c r="L1070" t="s">
        <v>24</v>
      </c>
      <c r="N1070" t="s">
        <v>31</v>
      </c>
      <c r="P1070" s="3">
        <v>87</v>
      </c>
      <c r="Q1070" t="str">
        <f>LEFT(B1070, 4)</f>
        <v>Dell</v>
      </c>
      <c r="R1070" t="str">
        <f t="shared" si="74"/>
        <v>Intel Core i5 (12th Gen)</v>
      </c>
      <c r="S1070" t="str">
        <f t="shared" si="73"/>
        <v>16 GB</v>
      </c>
    </row>
    <row r="1071" spans="1:19">
      <c r="A1071" t="str">
        <f>LEFT(B1071, LEN(B1071)-15)</f>
        <v>Asus Vivobook 15X K3504VAB-NJ541WS Laptop (Core i5 13th Gen/16 GB/512 GB SSD/Windows 11)</v>
      </c>
      <c r="B1071" t="s">
        <v>1612</v>
      </c>
      <c r="C1071" s="1">
        <v>54990</v>
      </c>
      <c r="D1071" s="1">
        <v>56</v>
      </c>
      <c r="E1071" s="2">
        <v>82</v>
      </c>
      <c r="F1071" s="2" t="str" cm="1">
        <f t="array" ref="F1071">_xlfn.IFS(AND(101&gt;E1071, E1071&gt;69), "Top-Tier", AND(70&gt;E1071, E1071&gt;39), "Mid-Tier", 40&gt;E1071, "Low-Tier")</f>
        <v>Top-Tier</v>
      </c>
      <c r="G1071" s="4">
        <v>45017</v>
      </c>
      <c r="H1071" t="s">
        <v>1596</v>
      </c>
      <c r="I1071" t="s">
        <v>33</v>
      </c>
      <c r="J1071" t="s">
        <v>34</v>
      </c>
      <c r="K1071" t="s">
        <v>51</v>
      </c>
      <c r="L1071" t="s">
        <v>24</v>
      </c>
      <c r="M1071" t="s">
        <v>95</v>
      </c>
      <c r="N1071" t="s">
        <v>31</v>
      </c>
      <c r="P1071" s="3">
        <v>80</v>
      </c>
      <c r="Q1071" t="str">
        <f>LEFT(B1071, 4)</f>
        <v>Asus</v>
      </c>
      <c r="R1071" t="str">
        <f t="shared" si="74"/>
        <v>Intel Core i5 (12th Gen)</v>
      </c>
      <c r="S1071" t="str">
        <f t="shared" si="73"/>
        <v>16 GB</v>
      </c>
    </row>
    <row r="1072" spans="1:19">
      <c r="A1072" t="str">
        <f>LEFT(B1072, LEN(B1072)-15)</f>
        <v>MSI Modern 15 B13M-290IN Laptop (Core i7 13th Gen/8 GB/512 GB SSD/Windows 11)</v>
      </c>
      <c r="B1072" t="s">
        <v>1613</v>
      </c>
      <c r="C1072" s="1">
        <v>47499</v>
      </c>
      <c r="D1072" s="1">
        <v>55</v>
      </c>
      <c r="E1072" s="2">
        <v>82</v>
      </c>
      <c r="F1072" s="2" t="str" cm="1">
        <f t="array" ref="F1072">_xlfn.IFS(AND(101&gt;E1072, E1072&gt;69), "Top-Tier", AND(70&gt;E1072, E1072&gt;39), "Mid-Tier", 40&gt;E1072, "Low-Tier")</f>
        <v>Top-Tier</v>
      </c>
      <c r="G1072" s="4">
        <v>44986</v>
      </c>
      <c r="H1072" t="s">
        <v>1596</v>
      </c>
      <c r="I1072" t="s">
        <v>33</v>
      </c>
      <c r="J1072" t="s">
        <v>50</v>
      </c>
      <c r="K1072" t="s">
        <v>51</v>
      </c>
      <c r="L1072" t="s">
        <v>24</v>
      </c>
      <c r="M1072" t="s">
        <v>52</v>
      </c>
      <c r="N1072" t="s">
        <v>31</v>
      </c>
      <c r="P1072" s="3">
        <v>75</v>
      </c>
      <c r="Q1072" t="str">
        <f>LEFT(B1072, 3)</f>
        <v>MSI</v>
      </c>
      <c r="R1072" t="str">
        <f t="shared" si="74"/>
        <v>Intel Core i5 (12th Gen)</v>
      </c>
      <c r="S1072" t="str">
        <f t="shared" si="73"/>
        <v xml:space="preserve">8 GB </v>
      </c>
    </row>
    <row r="1073" spans="1:19">
      <c r="A1073" t="str">
        <f>LEFT(B1073, LEN(B1073)-15)</f>
        <v>MSI Modern 14 C13M-435IN Laptop (Core i7 13th Gen/16 GB/512 GB SSD/Windows 11)</v>
      </c>
      <c r="B1073" t="s">
        <v>1614</v>
      </c>
      <c r="C1073" s="1">
        <v>57990</v>
      </c>
      <c r="D1073" s="1">
        <v>145</v>
      </c>
      <c r="E1073" s="2">
        <v>82</v>
      </c>
      <c r="F1073" s="2" t="str" cm="1">
        <f t="array" ref="F1073">_xlfn.IFS(AND(101&gt;E1073, E1073&gt;69), "Top-Tier", AND(70&gt;E1073, E1073&gt;39), "Mid-Tier", 40&gt;E1073, "Low-Tier")</f>
        <v>Top-Tier</v>
      </c>
      <c r="G1073" s="4">
        <v>44986</v>
      </c>
      <c r="H1073" t="s">
        <v>1596</v>
      </c>
      <c r="I1073" t="s">
        <v>33</v>
      </c>
      <c r="J1073" t="s">
        <v>34</v>
      </c>
      <c r="K1073" t="s">
        <v>149</v>
      </c>
      <c r="L1073" t="s">
        <v>24</v>
      </c>
      <c r="M1073" t="s">
        <v>428</v>
      </c>
      <c r="N1073" t="s">
        <v>31</v>
      </c>
      <c r="P1073" s="3">
        <v>76</v>
      </c>
      <c r="Q1073" t="str">
        <f>LEFT(B1073, 3)</f>
        <v>MSI</v>
      </c>
      <c r="R1073" t="str">
        <f t="shared" si="74"/>
        <v>Intel Core i5 (12th Gen)</v>
      </c>
      <c r="S1073" t="str">
        <f t="shared" si="73"/>
        <v>16 GB</v>
      </c>
    </row>
    <row r="1074" spans="1:19">
      <c r="A1074" t="str">
        <f>LEFT(B1074, LEN(B1074)-15)</f>
        <v>Dell Vostro 3425 (M552321WIN9S) Laptop (AMD Hexa Core Ryzen 5/16 GB/512 GB SSD/Windows 11)</v>
      </c>
      <c r="B1074" t="s">
        <v>1615</v>
      </c>
      <c r="C1074" s="1">
        <v>44528</v>
      </c>
      <c r="D1074" s="1">
        <v>12</v>
      </c>
      <c r="E1074" s="2">
        <v>82</v>
      </c>
      <c r="F1074" s="2" t="str" cm="1">
        <f t="array" ref="F1074">_xlfn.IFS(AND(101&gt;E1074, E1074&gt;69), "Top-Tier", AND(70&gt;E1074, E1074&gt;39), "Mid-Tier", 40&gt;E1074, "Low-Tier")</f>
        <v>Top-Tier</v>
      </c>
      <c r="G1074" s="4">
        <v>44986</v>
      </c>
      <c r="H1074" t="s">
        <v>1596</v>
      </c>
      <c r="I1074" t="s">
        <v>33</v>
      </c>
      <c r="J1074" t="s">
        <v>34</v>
      </c>
      <c r="K1074" t="s">
        <v>1616</v>
      </c>
      <c r="L1074" t="s">
        <v>24</v>
      </c>
      <c r="N1074" t="s">
        <v>31</v>
      </c>
      <c r="Q1074" t="str">
        <f>LEFT(B1074, 4)</f>
        <v>Dell</v>
      </c>
      <c r="R1074" t="str">
        <f t="shared" si="74"/>
        <v>Intel Core i5 (12th Gen)</v>
      </c>
      <c r="S1074" t="str">
        <f t="shared" si="73"/>
        <v>16 GB</v>
      </c>
    </row>
    <row r="1075" spans="1:19">
      <c r="A1075" t="str">
        <f>LEFT(B1075, LEN(B1075)-15)</f>
        <v>Lenovo V15 (82TTA00VIH) Laptop (Core i3 12th Gen/8 GB/512 GB SSD/Windows 11)</v>
      </c>
      <c r="B1075" t="s">
        <v>1617</v>
      </c>
      <c r="C1075" s="1">
        <v>31490</v>
      </c>
      <c r="D1075" s="1">
        <v>310</v>
      </c>
      <c r="E1075" s="2">
        <v>82</v>
      </c>
      <c r="F1075" s="2" t="str" cm="1">
        <f t="array" ref="F1075">_xlfn.IFS(AND(101&gt;E1075, E1075&gt;69), "Top-Tier", AND(70&gt;E1075, E1075&gt;39), "Mid-Tier", 40&gt;E1075, "Low-Tier")</f>
        <v>Top-Tier</v>
      </c>
      <c r="G1075" s="4">
        <v>44986</v>
      </c>
      <c r="H1075" t="s">
        <v>1596</v>
      </c>
      <c r="I1075" t="s">
        <v>33</v>
      </c>
      <c r="J1075" t="s">
        <v>50</v>
      </c>
      <c r="K1075" t="s">
        <v>51</v>
      </c>
      <c r="L1075" t="s">
        <v>24</v>
      </c>
      <c r="M1075" t="s">
        <v>253</v>
      </c>
      <c r="N1075" t="s">
        <v>31</v>
      </c>
      <c r="P1075" s="3">
        <v>72</v>
      </c>
      <c r="Q1075" t="str">
        <f>LEFT(B1075, 6)</f>
        <v>Lenovo</v>
      </c>
      <c r="R1075" t="str">
        <f>LEFT(H873, 24)</f>
        <v>Intel Core i5 (11th Gen)</v>
      </c>
      <c r="S1075" t="str">
        <f t="shared" si="73"/>
        <v xml:space="preserve">8 GB </v>
      </c>
    </row>
    <row r="1076" spans="1:19">
      <c r="A1076" t="str">
        <f>LEFT(B1076, LEN(B1076)-15)</f>
        <v>HP Pavilion Aero 13-be2055AU (7S458PA) Laptop (AMD Hexa Core Ryzen 5/16 GB/512 GB SSD/Windows 11)</v>
      </c>
      <c r="B1076" t="s">
        <v>1618</v>
      </c>
      <c r="C1076" s="1">
        <v>70990</v>
      </c>
      <c r="D1076" s="1">
        <v>210</v>
      </c>
      <c r="E1076" s="2">
        <v>82</v>
      </c>
      <c r="F1076" s="2" t="str" cm="1">
        <f t="array" ref="F1076">_xlfn.IFS(AND(101&gt;E1076, E1076&gt;69), "Top-Tier", AND(70&gt;E1076, E1076&gt;39), "Mid-Tier", 40&gt;E1076, "Low-Tier")</f>
        <v>Top-Tier</v>
      </c>
      <c r="G1076" s="4">
        <v>44986</v>
      </c>
      <c r="H1076" t="s">
        <v>1596</v>
      </c>
      <c r="I1076" t="s">
        <v>33</v>
      </c>
      <c r="J1076" t="s">
        <v>54</v>
      </c>
      <c r="K1076" t="s">
        <v>806</v>
      </c>
      <c r="L1076" t="s">
        <v>24</v>
      </c>
      <c r="M1076" t="s">
        <v>178</v>
      </c>
      <c r="N1076" t="s">
        <v>31</v>
      </c>
      <c r="P1076" s="3">
        <v>76</v>
      </c>
      <c r="Q1076" t="str">
        <f>LEFT(B1076, 2)</f>
        <v>HP</v>
      </c>
      <c r="R1076" t="str">
        <f t="shared" si="74"/>
        <v>Intel Core i5 (12th Gen)</v>
      </c>
      <c r="S1076" t="str">
        <f t="shared" si="73"/>
        <v>16 GB</v>
      </c>
    </row>
    <row r="1077" spans="1:19">
      <c r="A1077" t="str">
        <f>LEFT(B1077, LEN(B1077)-15)</f>
        <v>HP Pavilion Aero 13-be2056AU (7S459PA) Laptop (AMD Hexa Core Ryzen 5/16 GB/512 GB SSD/Windows 11)</v>
      </c>
      <c r="B1077" t="s">
        <v>1619</v>
      </c>
      <c r="C1077" s="1">
        <v>71990</v>
      </c>
      <c r="D1077" s="1">
        <v>210</v>
      </c>
      <c r="E1077" s="2">
        <v>82</v>
      </c>
      <c r="F1077" s="2" t="str" cm="1">
        <f t="array" ref="F1077">_xlfn.IFS(AND(101&gt;E1077, E1077&gt;69), "Top-Tier", AND(70&gt;E1077, E1077&gt;39), "Mid-Tier", 40&gt;E1077, "Low-Tier")</f>
        <v>Top-Tier</v>
      </c>
      <c r="G1077" s="4">
        <v>44986</v>
      </c>
      <c r="H1077" t="s">
        <v>1596</v>
      </c>
      <c r="I1077" t="s">
        <v>33</v>
      </c>
      <c r="J1077" t="s">
        <v>54</v>
      </c>
      <c r="K1077" t="s">
        <v>806</v>
      </c>
      <c r="L1077" t="s">
        <v>24</v>
      </c>
      <c r="M1077" t="s">
        <v>178</v>
      </c>
      <c r="N1077" t="s">
        <v>31</v>
      </c>
      <c r="P1077" s="3">
        <v>76</v>
      </c>
      <c r="Q1077" t="str">
        <f>LEFT(B1077, 2)</f>
        <v>HP</v>
      </c>
      <c r="R1077" t="str">
        <f t="shared" si="74"/>
        <v>Intel Core i5 (12th Gen)</v>
      </c>
      <c r="S1077" t="str">
        <f t="shared" ref="S1077:S1140" si="75">LEFT(J1077, 5)</f>
        <v>16 GB</v>
      </c>
    </row>
    <row r="1078" spans="1:19">
      <c r="A1078" t="str">
        <f>LEFT(B1078, LEN(B1078)-15)</f>
        <v>MSI Modern 15 B13M-288IN Laptop (Core i7 13th Gen/16 GB/512 GB SSD/Windows 11)</v>
      </c>
      <c r="B1078" t="s">
        <v>1620</v>
      </c>
      <c r="C1078" s="1">
        <v>59990</v>
      </c>
      <c r="D1078" s="1">
        <v>62</v>
      </c>
      <c r="E1078" s="2">
        <v>82</v>
      </c>
      <c r="F1078" s="2" t="str" cm="1">
        <f t="array" ref="F1078">_xlfn.IFS(AND(101&gt;E1078, E1078&gt;69), "Top-Tier", AND(70&gt;E1078, E1078&gt;39), "Mid-Tier", 40&gt;E1078, "Low-Tier")</f>
        <v>Top-Tier</v>
      </c>
      <c r="G1078" s="4">
        <v>44986</v>
      </c>
      <c r="H1078" t="s">
        <v>1596</v>
      </c>
      <c r="I1078" t="s">
        <v>33</v>
      </c>
      <c r="J1078" t="s">
        <v>34</v>
      </c>
      <c r="K1078" t="s">
        <v>51</v>
      </c>
      <c r="L1078" t="s">
        <v>24</v>
      </c>
      <c r="M1078" t="s">
        <v>253</v>
      </c>
      <c r="N1078" t="s">
        <v>31</v>
      </c>
      <c r="P1078" s="3">
        <v>75</v>
      </c>
      <c r="Q1078" t="str">
        <f>LEFT(B1078, 3)</f>
        <v>MSI</v>
      </c>
      <c r="R1078" t="str">
        <f t="shared" si="74"/>
        <v>Intel Core i5 (12th Gen)</v>
      </c>
      <c r="S1078" t="str">
        <f t="shared" si="75"/>
        <v>16 GB</v>
      </c>
    </row>
    <row r="1079" spans="1:19">
      <c r="A1079" t="str">
        <f>LEFT(B1079, LEN(B1079)-15)</f>
        <v>MSI Modern 14 C13M-438IN Laptop (Core i3 13th Gen/8 GB/512 GB SSD/Windows 11)</v>
      </c>
      <c r="B1079" t="s">
        <v>1621</v>
      </c>
      <c r="C1079" s="1">
        <v>34100</v>
      </c>
      <c r="D1079" s="1">
        <v>71</v>
      </c>
      <c r="E1079" s="2">
        <v>82</v>
      </c>
      <c r="F1079" s="2" t="str" cm="1">
        <f t="array" ref="F1079">_xlfn.IFS(AND(101&gt;E1079, E1079&gt;69), "Top-Tier", AND(70&gt;E1079, E1079&gt;39), "Mid-Tier", 40&gt;E1079, "Low-Tier")</f>
        <v>Top-Tier</v>
      </c>
      <c r="G1079" s="4">
        <v>44986</v>
      </c>
      <c r="H1079" t="s">
        <v>1596</v>
      </c>
      <c r="I1079" t="s">
        <v>33</v>
      </c>
      <c r="J1079" t="s">
        <v>50</v>
      </c>
      <c r="K1079" t="s">
        <v>149</v>
      </c>
      <c r="L1079" t="s">
        <v>24</v>
      </c>
      <c r="M1079" t="s">
        <v>135</v>
      </c>
      <c r="N1079" t="s">
        <v>31</v>
      </c>
      <c r="P1079" s="3">
        <v>72</v>
      </c>
      <c r="Q1079" t="str">
        <f>LEFT(B1079, 3)</f>
        <v>MSI</v>
      </c>
      <c r="R1079" t="str">
        <f t="shared" si="74"/>
        <v>Intel Core i5 (12th Gen)</v>
      </c>
      <c r="S1079" t="str">
        <f t="shared" si="75"/>
        <v xml:space="preserve">8 GB </v>
      </c>
    </row>
    <row r="1080" spans="1:19">
      <c r="A1080" t="str">
        <f>LEFT(B1080, LEN(B1080)-15)</f>
        <v>MSI Prestige 13 Intel Evo A13M-063IN Laptop (Core i7 13th Gen/16 GB/1 TB SSD/Windows 11)</v>
      </c>
      <c r="B1080" t="s">
        <v>1622</v>
      </c>
      <c r="C1080" s="1">
        <v>98999</v>
      </c>
      <c r="D1080" s="1">
        <v>9</v>
      </c>
      <c r="E1080" s="2">
        <v>82</v>
      </c>
      <c r="F1080" s="2" t="str" cm="1">
        <f t="array" ref="F1080">_xlfn.IFS(AND(101&gt;E1080, E1080&gt;69), "Top-Tier", AND(70&gt;E1080, E1080&gt;39), "Mid-Tier", 40&gt;E1080, "Low-Tier")</f>
        <v>Top-Tier</v>
      </c>
      <c r="G1080" s="4">
        <v>44986</v>
      </c>
      <c r="H1080" t="s">
        <v>1596</v>
      </c>
      <c r="I1080" t="s">
        <v>33</v>
      </c>
      <c r="J1080" t="s">
        <v>167</v>
      </c>
      <c r="K1080" t="s">
        <v>806</v>
      </c>
      <c r="L1080" t="s">
        <v>24</v>
      </c>
      <c r="M1080" t="s">
        <v>178</v>
      </c>
      <c r="N1080" t="s">
        <v>31</v>
      </c>
      <c r="P1080" s="3">
        <v>80</v>
      </c>
      <c r="Q1080" t="str">
        <f>LEFT(B1080, 3)</f>
        <v>MSI</v>
      </c>
      <c r="R1080" t="str">
        <f t="shared" si="74"/>
        <v>Intel Core i5 (12th Gen)</v>
      </c>
      <c r="S1080" t="str">
        <f t="shared" si="75"/>
        <v>16 GB</v>
      </c>
    </row>
    <row r="1081" spans="1:19">
      <c r="A1081" t="str">
        <f>LEFT(B1081, LEN(B1081)-15)</f>
        <v>Acer Extensa EX215-23 (NX.EH3SI.003) Laptop (AMD Quad Core Ryzen 5/8 GB/512 GB SSD/Windows 11)</v>
      </c>
      <c r="B1081" t="s">
        <v>1623</v>
      </c>
      <c r="C1081" s="1">
        <v>32790</v>
      </c>
      <c r="D1081" s="1">
        <v>2137</v>
      </c>
      <c r="E1081" s="2">
        <v>82</v>
      </c>
      <c r="F1081" s="2" t="str" cm="1">
        <f t="array" ref="F1081">_xlfn.IFS(AND(101&gt;E1081, E1081&gt;69), "Top-Tier", AND(70&gt;E1081, E1081&gt;39), "Mid-Tier", 40&gt;E1081, "Low-Tier")</f>
        <v>Top-Tier</v>
      </c>
      <c r="G1081" s="4">
        <v>44958</v>
      </c>
      <c r="H1081" t="s">
        <v>1596</v>
      </c>
      <c r="I1081" t="s">
        <v>33</v>
      </c>
      <c r="J1081" t="s">
        <v>162</v>
      </c>
      <c r="K1081" t="s">
        <v>51</v>
      </c>
      <c r="L1081" t="s">
        <v>24</v>
      </c>
      <c r="M1081" t="s">
        <v>122</v>
      </c>
      <c r="N1081" t="s">
        <v>31</v>
      </c>
      <c r="Q1081" t="str">
        <f>LEFT(B1081, 4)</f>
        <v>Acer</v>
      </c>
      <c r="R1081" t="str">
        <f t="shared" si="74"/>
        <v>Intel Core i5 (12th Gen)</v>
      </c>
      <c r="S1081" t="str">
        <f t="shared" si="75"/>
        <v xml:space="preserve">8 GB </v>
      </c>
    </row>
    <row r="1082" spans="1:19">
      <c r="A1082" t="str">
        <f>LEFT(B1082, LEN(B1082)-15)</f>
        <v>MSI Katana 17 B13UDXK-255IN Laptop (Core i7 13th Gen/16 GB/512 GB SSD/Windows 11/6 GB)</v>
      </c>
      <c r="B1082" t="s">
        <v>1624</v>
      </c>
      <c r="C1082" s="1">
        <v>79990</v>
      </c>
      <c r="D1082" s="1">
        <v>24</v>
      </c>
      <c r="E1082" s="2">
        <v>82</v>
      </c>
      <c r="F1082" s="2" t="str" cm="1">
        <f t="array" ref="F1082">_xlfn.IFS(AND(101&gt;E1082, E1082&gt;69), "Top-Tier", AND(70&gt;E1082, E1082&gt;39), "Mid-Tier", 40&gt;E1082, "Low-Tier")</f>
        <v>Top-Tier</v>
      </c>
      <c r="G1082" s="4">
        <v>44958</v>
      </c>
      <c r="H1082" t="s">
        <v>1596</v>
      </c>
      <c r="I1082" t="s">
        <v>33</v>
      </c>
      <c r="J1082" t="s">
        <v>54</v>
      </c>
      <c r="K1082" t="s">
        <v>395</v>
      </c>
      <c r="L1082" t="s">
        <v>24</v>
      </c>
      <c r="N1082" t="s">
        <v>31</v>
      </c>
      <c r="P1082" s="3">
        <v>83</v>
      </c>
      <c r="Q1082" t="str">
        <f>LEFT(B1082, 3)</f>
        <v>MSI</v>
      </c>
      <c r="R1082" t="str">
        <f t="shared" si="74"/>
        <v>Intel Core i5 (12th Gen)</v>
      </c>
      <c r="S1082" t="str">
        <f t="shared" si="75"/>
        <v>16 GB</v>
      </c>
    </row>
    <row r="1083" spans="1:19">
      <c r="A1083" t="str">
        <f>LEFT(B1083, LEN(B1083)-15)</f>
        <v>Asus VivoBook 14 X1402ZA-EK312WS Laptop (Core i3 12th Gen/8 GB/512 GB SSD/Windows 11)</v>
      </c>
      <c r="B1083" t="s">
        <v>1625</v>
      </c>
      <c r="C1083" s="1">
        <v>57990</v>
      </c>
      <c r="D1083" s="1">
        <v>108</v>
      </c>
      <c r="E1083" s="2">
        <v>82</v>
      </c>
      <c r="F1083" s="2" t="str" cm="1">
        <f t="array" ref="F1083">_xlfn.IFS(AND(101&gt;E1083, E1083&gt;69), "Top-Tier", AND(70&gt;E1083, E1083&gt;39), "Mid-Tier", 40&gt;E1083, "Low-Tier")</f>
        <v>Top-Tier</v>
      </c>
      <c r="G1083" s="4">
        <v>44958</v>
      </c>
      <c r="H1083" t="s">
        <v>1596</v>
      </c>
      <c r="I1083" t="s">
        <v>33</v>
      </c>
      <c r="J1083" t="s">
        <v>50</v>
      </c>
      <c r="K1083" t="s">
        <v>149</v>
      </c>
      <c r="L1083" t="s">
        <v>24</v>
      </c>
      <c r="M1083" t="s">
        <v>52</v>
      </c>
      <c r="N1083" t="s">
        <v>31</v>
      </c>
      <c r="P1083" s="3">
        <v>72</v>
      </c>
      <c r="Q1083" t="str">
        <f>LEFT(B1083, 4)</f>
        <v>Asus</v>
      </c>
      <c r="R1083" t="str">
        <f t="shared" si="74"/>
        <v>Intel Core i5 (12th Gen)</v>
      </c>
      <c r="S1083" t="str">
        <f t="shared" si="75"/>
        <v xml:space="preserve">8 GB </v>
      </c>
    </row>
    <row r="1084" spans="1:19">
      <c r="A1084" t="str">
        <f>LEFT(B1084, LEN(B1084)-15)</f>
        <v>HP 245 G8 (689T3PA) Laptop (AMD Dual Core Ryzen 3/8 GB/512 GB SSD/Windows 11)</v>
      </c>
      <c r="B1084" t="s">
        <v>1626</v>
      </c>
      <c r="C1084" s="1">
        <v>28900</v>
      </c>
      <c r="D1084" s="1">
        <v>528</v>
      </c>
      <c r="E1084" s="2">
        <v>82</v>
      </c>
      <c r="F1084" s="2" t="str" cm="1">
        <f t="array" ref="F1084">_xlfn.IFS(AND(101&gt;E1084, E1084&gt;69), "Top-Tier", AND(70&gt;E1084, E1084&gt;39), "Mid-Tier", 40&gt;E1084, "Low-Tier")</f>
        <v>Top-Tier</v>
      </c>
      <c r="G1084" s="4">
        <v>44927</v>
      </c>
      <c r="H1084" t="s">
        <v>1596</v>
      </c>
      <c r="I1084" t="s">
        <v>33</v>
      </c>
      <c r="J1084" t="s">
        <v>50</v>
      </c>
      <c r="K1084" t="s">
        <v>224</v>
      </c>
      <c r="L1084" t="s">
        <v>24</v>
      </c>
      <c r="M1084" t="s">
        <v>52</v>
      </c>
      <c r="N1084" t="s">
        <v>31</v>
      </c>
      <c r="Q1084" t="str">
        <f>LEFT(B1084, 2)</f>
        <v>HP</v>
      </c>
      <c r="R1084" t="str">
        <f t="shared" si="74"/>
        <v>Intel Core i5 (12th Gen)</v>
      </c>
      <c r="S1084" t="str">
        <f t="shared" si="75"/>
        <v xml:space="preserve">8 GB </v>
      </c>
    </row>
    <row r="1085" spans="1:19">
      <c r="A1085" t="str">
        <f>LEFT(B1085, LEN(B1085)-15)</f>
        <v>HP Envy x360 Intel Evo 15-ew0043TU (7F692PA) Laptop (Core i5 12th Gen/16 GB/512 GB SSD/Windows 11)</v>
      </c>
      <c r="B1085" t="s">
        <v>1627</v>
      </c>
      <c r="C1085" s="1">
        <v>89999</v>
      </c>
      <c r="D1085" s="1">
        <v>22</v>
      </c>
      <c r="E1085" s="2">
        <v>82</v>
      </c>
      <c r="F1085" s="2" t="str" cm="1">
        <f t="array" ref="F1085">_xlfn.IFS(AND(101&gt;E1085, E1085&gt;69), "Top-Tier", AND(70&gt;E1085, E1085&gt;39), "Mid-Tier", 40&gt;E1085, "Low-Tier")</f>
        <v>Top-Tier</v>
      </c>
      <c r="G1085" s="4">
        <v>44927</v>
      </c>
      <c r="H1085" t="s">
        <v>1596</v>
      </c>
      <c r="I1085" t="s">
        <v>33</v>
      </c>
      <c r="J1085" t="s">
        <v>34</v>
      </c>
      <c r="K1085" t="s">
        <v>215</v>
      </c>
      <c r="L1085" t="s">
        <v>24</v>
      </c>
      <c r="M1085" t="s">
        <v>99</v>
      </c>
      <c r="P1085" s="3">
        <v>76</v>
      </c>
      <c r="Q1085" t="str">
        <f>LEFT(B1085, 2)</f>
        <v>HP</v>
      </c>
      <c r="R1085" t="str">
        <f t="shared" si="74"/>
        <v>Intel Core i5 (12th Gen)</v>
      </c>
      <c r="S1085" t="str">
        <f t="shared" si="75"/>
        <v>16 GB</v>
      </c>
    </row>
    <row r="1086" spans="1:19">
      <c r="A1086" t="str">
        <f>LEFT(B1086, LEN(B1086)-15)</f>
        <v>HP Pavilion x360 14-ek1010TU (7N760PA) Laptop (Core i5 13th Gen/16 GB/1 TB SSD/Windows 11)</v>
      </c>
      <c r="B1086" t="s">
        <v>1628</v>
      </c>
      <c r="C1086" s="1">
        <v>73990</v>
      </c>
      <c r="D1086" s="1">
        <v>223</v>
      </c>
      <c r="E1086" s="2">
        <v>82</v>
      </c>
      <c r="F1086" s="2" t="str" cm="1">
        <f t="array" ref="F1086">_xlfn.IFS(AND(101&gt;E1086, E1086&gt;69), "Top-Tier", AND(70&gt;E1086, E1086&gt;39), "Mid-Tier", 40&gt;E1086, "Low-Tier")</f>
        <v>Top-Tier</v>
      </c>
      <c r="G1086" s="4">
        <v>44927</v>
      </c>
      <c r="H1086" t="s">
        <v>1596</v>
      </c>
      <c r="I1086" t="s">
        <v>33</v>
      </c>
      <c r="J1086" t="s">
        <v>184</v>
      </c>
      <c r="K1086" t="s">
        <v>149</v>
      </c>
      <c r="L1086" t="s">
        <v>24</v>
      </c>
      <c r="M1086" t="s">
        <v>203</v>
      </c>
      <c r="N1086" t="s">
        <v>31</v>
      </c>
      <c r="P1086" s="3">
        <v>76</v>
      </c>
      <c r="Q1086" t="str">
        <f>LEFT(B1086, 2)</f>
        <v>HP</v>
      </c>
      <c r="R1086" t="str">
        <f t="shared" si="74"/>
        <v>Intel Core i5 (12th Gen)</v>
      </c>
      <c r="S1086" t="str">
        <f t="shared" si="75"/>
        <v>16 GB</v>
      </c>
    </row>
    <row r="1087" spans="1:19">
      <c r="A1087" t="str">
        <f>LEFT(B1087, LEN(B1087)-15)</f>
        <v>HP 15s-eq2213AU (7G6H2PA) Laptop (AMD Quad Core Ryzen 3/8 GB/512 GB SSD/Windows 11)</v>
      </c>
      <c r="B1087" t="s">
        <v>1629</v>
      </c>
      <c r="C1087" s="1">
        <v>34565</v>
      </c>
      <c r="D1087" s="1">
        <v>1345</v>
      </c>
      <c r="E1087" s="2">
        <v>82</v>
      </c>
      <c r="F1087" s="2" t="str" cm="1">
        <f t="array" ref="F1087">_xlfn.IFS(AND(101&gt;E1087, E1087&gt;69), "Top-Tier", AND(70&gt;E1087, E1087&gt;39), "Mid-Tier", 40&gt;E1087, "Low-Tier")</f>
        <v>Top-Tier</v>
      </c>
      <c r="G1087" s="4">
        <v>44896</v>
      </c>
      <c r="H1087" t="s">
        <v>1596</v>
      </c>
      <c r="I1087" t="s">
        <v>33</v>
      </c>
      <c r="J1087" t="s">
        <v>50</v>
      </c>
      <c r="K1087" t="s">
        <v>51</v>
      </c>
      <c r="L1087" t="s">
        <v>24</v>
      </c>
      <c r="M1087" t="s">
        <v>95</v>
      </c>
      <c r="N1087" t="s">
        <v>31</v>
      </c>
      <c r="Q1087" t="str">
        <f>LEFT(B1087, 2)</f>
        <v>HP</v>
      </c>
      <c r="R1087" t="str">
        <f t="shared" si="74"/>
        <v>Intel Core i5 (12th Gen)</v>
      </c>
      <c r="S1087" t="str">
        <f t="shared" si="75"/>
        <v xml:space="preserve">8 GB </v>
      </c>
    </row>
    <row r="1088" spans="1:19">
      <c r="A1088" t="str">
        <f>LEFT(B1088, LEN(B1088)-15)</f>
        <v>Lenovo Legion 5 Pro 16ARH7H (82RG00ELIN) Laptop (AMD Octa Core Ryzen 7/16 GB/1 TB SSD/Windows 11/6 GB)</v>
      </c>
      <c r="B1088" t="s">
        <v>1630</v>
      </c>
      <c r="C1088" s="1">
        <v>151688</v>
      </c>
      <c r="D1088" s="1">
        <v>48</v>
      </c>
      <c r="E1088" s="2">
        <v>82</v>
      </c>
      <c r="F1088" s="2" t="str" cm="1">
        <f t="array" ref="F1088">_xlfn.IFS(AND(101&gt;E1088, E1088&gt;69), "Top-Tier", AND(70&gt;E1088, E1088&gt;39), "Mid-Tier", 40&gt;E1088, "Low-Tier")</f>
        <v>Top-Tier</v>
      </c>
      <c r="G1088" s="4">
        <v>44896</v>
      </c>
      <c r="H1088" t="s">
        <v>1596</v>
      </c>
      <c r="I1088" t="s">
        <v>33</v>
      </c>
      <c r="J1088" t="s">
        <v>72</v>
      </c>
      <c r="K1088" t="s">
        <v>117</v>
      </c>
      <c r="L1088" t="s">
        <v>24</v>
      </c>
      <c r="M1088" t="s">
        <v>253</v>
      </c>
      <c r="N1088" t="s">
        <v>31</v>
      </c>
      <c r="P1088" s="3">
        <v>85</v>
      </c>
      <c r="Q1088" t="str">
        <f>LEFT(B1088, 6)</f>
        <v>Lenovo</v>
      </c>
      <c r="R1088" t="str">
        <f t="shared" si="74"/>
        <v>Intel Core i5 (12th Gen)</v>
      </c>
      <c r="S1088" t="str">
        <f t="shared" si="75"/>
        <v>16 GB</v>
      </c>
    </row>
    <row r="1089" spans="1:19">
      <c r="A1089" t="str">
        <f>LEFT(B1089, LEN(B1089)-15)</f>
        <v>Dell Inspiron 14 7420 (D560903WIN9S) Laptop (Core i5 12th Gen/8 GB/512 GB SSD/Windows 11)</v>
      </c>
      <c r="B1089" t="s">
        <v>1631</v>
      </c>
      <c r="C1089" s="1">
        <v>76519</v>
      </c>
      <c r="D1089" s="1">
        <v>25</v>
      </c>
      <c r="E1089" s="2">
        <v>82</v>
      </c>
      <c r="F1089" s="2" t="str" cm="1">
        <f t="array" ref="F1089">_xlfn.IFS(AND(101&gt;E1089, E1089&gt;69), "Top-Tier", AND(70&gt;E1089, E1089&gt;39), "Mid-Tier", 40&gt;E1089, "Low-Tier")</f>
        <v>Top-Tier</v>
      </c>
      <c r="G1089" s="4">
        <v>44896</v>
      </c>
      <c r="H1089" t="s">
        <v>1632</v>
      </c>
      <c r="I1089" t="s">
        <v>33</v>
      </c>
      <c r="J1089" t="s">
        <v>50</v>
      </c>
      <c r="K1089" t="s">
        <v>149</v>
      </c>
      <c r="L1089" t="s">
        <v>24</v>
      </c>
      <c r="M1089" t="s">
        <v>630</v>
      </c>
      <c r="N1089" t="s">
        <v>31</v>
      </c>
      <c r="P1089" s="3">
        <v>76</v>
      </c>
      <c r="Q1089" t="str">
        <f>LEFT(B1089, 4)</f>
        <v>Dell</v>
      </c>
      <c r="R1089" t="str">
        <f t="shared" si="74"/>
        <v>Intel Core i5 (12th Gen)</v>
      </c>
      <c r="S1089" t="str">
        <f t="shared" si="75"/>
        <v xml:space="preserve">8 GB </v>
      </c>
    </row>
    <row r="1090" spans="1:19">
      <c r="A1090" t="str">
        <f>LEFT(B1090, LEN(B1090)-15)</f>
        <v>HP Pavilion x360 14-ek0137TU (7C273PA) Laptop (Core i3 12th Gen/8 GB/512 GB SSD/Windows 11)</v>
      </c>
      <c r="B1090" t="s">
        <v>1633</v>
      </c>
      <c r="C1090" s="1">
        <v>60628</v>
      </c>
      <c r="D1090" s="1">
        <v>197</v>
      </c>
      <c r="E1090" s="2">
        <v>82</v>
      </c>
      <c r="F1090" s="2" t="str" cm="1">
        <f t="array" ref="F1090">_xlfn.IFS(AND(101&gt;E1090, E1090&gt;69), "Top-Tier", AND(70&gt;E1090, E1090&gt;39), "Mid-Tier", 40&gt;E1090, "Low-Tier")</f>
        <v>Top-Tier</v>
      </c>
      <c r="G1090" s="4">
        <v>44896</v>
      </c>
      <c r="H1090" t="s">
        <v>1632</v>
      </c>
      <c r="I1090" t="s">
        <v>33</v>
      </c>
      <c r="J1090" t="s">
        <v>50</v>
      </c>
      <c r="K1090" t="s">
        <v>149</v>
      </c>
      <c r="L1090" t="s">
        <v>24</v>
      </c>
      <c r="M1090" t="s">
        <v>52</v>
      </c>
      <c r="N1090" t="s">
        <v>31</v>
      </c>
      <c r="P1090" s="3">
        <v>77</v>
      </c>
      <c r="Q1090" t="str">
        <f>LEFT(B1090, 2)</f>
        <v>HP</v>
      </c>
      <c r="R1090" t="str">
        <f t="shared" si="74"/>
        <v>Intel Core i5 (12th Gen)</v>
      </c>
      <c r="S1090" t="str">
        <f t="shared" si="75"/>
        <v xml:space="preserve">8 GB </v>
      </c>
    </row>
    <row r="1091" spans="1:19">
      <c r="A1091" t="str">
        <f>LEFT(B1091, LEN(B1091)-15)</f>
        <v>Dell Vostro 3510 (ICC-D585031WIN8) Laptop (Core i3 10th Gen/8 GB/1 TB 256 GB SSD/Windows 11)</v>
      </c>
      <c r="B1091" t="s">
        <v>1634</v>
      </c>
      <c r="C1091" s="1">
        <v>45500</v>
      </c>
      <c r="D1091" s="1">
        <v>970</v>
      </c>
      <c r="E1091" s="2">
        <v>82</v>
      </c>
      <c r="F1091" s="2" t="str" cm="1">
        <f t="array" ref="F1091">_xlfn.IFS(AND(101&gt;E1091, E1091&gt;69), "Top-Tier", AND(70&gt;E1091, E1091&gt;39), "Mid-Tier", 40&gt;E1091, "Low-Tier")</f>
        <v>Top-Tier</v>
      </c>
      <c r="G1091" s="4">
        <v>44866</v>
      </c>
      <c r="H1091" t="s">
        <v>1632</v>
      </c>
      <c r="I1091" t="s">
        <v>33</v>
      </c>
      <c r="J1091" t="s">
        <v>332</v>
      </c>
      <c r="K1091" t="s">
        <v>51</v>
      </c>
      <c r="L1091" t="s">
        <v>24</v>
      </c>
      <c r="M1091" t="s">
        <v>122</v>
      </c>
      <c r="N1091" t="s">
        <v>31</v>
      </c>
      <c r="Q1091" t="str">
        <f>LEFT(B1091, 4)</f>
        <v>Dell</v>
      </c>
      <c r="R1091" t="str">
        <f t="shared" si="74"/>
        <v>Intel Core i5 (12th Gen)</v>
      </c>
      <c r="S1091" t="str">
        <f t="shared" si="75"/>
        <v xml:space="preserve">8 GB </v>
      </c>
    </row>
    <row r="1092" spans="1:19">
      <c r="A1092" t="str">
        <f>LEFT(B1092, LEN(B1092)-15)</f>
        <v>Lenovo Ideapad Gaming 3i 15IHU6 (82K1004EIN) Laptop (Core i7 11th Gen/8 GB/512 GB SSD/Windows 10/4 GB)</v>
      </c>
      <c r="B1092" t="s">
        <v>1635</v>
      </c>
      <c r="C1092" s="1">
        <v>72990</v>
      </c>
      <c r="D1092" s="1">
        <v>40</v>
      </c>
      <c r="E1092" s="2">
        <v>82</v>
      </c>
      <c r="F1092" s="2" t="str" cm="1">
        <f t="array" ref="F1092">_xlfn.IFS(AND(101&gt;E1092, E1092&gt;69), "Top-Tier", AND(70&gt;E1092, E1092&gt;39), "Mid-Tier", 40&gt;E1092, "Low-Tier")</f>
        <v>Top-Tier</v>
      </c>
      <c r="G1092" s="4">
        <v>44866</v>
      </c>
      <c r="H1092" t="s">
        <v>1632</v>
      </c>
      <c r="I1092" t="s">
        <v>248</v>
      </c>
      <c r="J1092" t="s">
        <v>50</v>
      </c>
      <c r="K1092" t="s">
        <v>249</v>
      </c>
      <c r="L1092" t="s">
        <v>24</v>
      </c>
      <c r="N1092" t="s">
        <v>31</v>
      </c>
      <c r="P1092" s="3">
        <v>77</v>
      </c>
      <c r="Q1092" t="str">
        <f>LEFT(B1092, 6)</f>
        <v>Lenovo</v>
      </c>
      <c r="R1092" t="str">
        <f t="shared" ref="R1092:R1155" si="76">LEFT(H1091, 24)</f>
        <v>Intel Core i5 (12th Gen)</v>
      </c>
      <c r="S1092" t="str">
        <f t="shared" si="75"/>
        <v xml:space="preserve">8 GB </v>
      </c>
    </row>
    <row r="1093" spans="1:19">
      <c r="A1093" t="str">
        <f>LEFT(B1093, LEN(B1093)-15)</f>
        <v>Asus VivoBook 15 X1502ZA-EJ381WS Laptop (Core i3 12th Gen/8 GB/512 GB SSD/Windows 11)</v>
      </c>
      <c r="B1093" t="s">
        <v>1636</v>
      </c>
      <c r="C1093" s="1">
        <v>36990</v>
      </c>
      <c r="D1093" s="1">
        <v>1212</v>
      </c>
      <c r="E1093" s="2">
        <v>82</v>
      </c>
      <c r="F1093" s="2" t="str" cm="1">
        <f t="array" ref="F1093">_xlfn.IFS(AND(101&gt;E1093, E1093&gt;69), "Top-Tier", AND(70&gt;E1093, E1093&gt;39), "Mid-Tier", 40&gt;E1093, "Low-Tier")</f>
        <v>Top-Tier</v>
      </c>
      <c r="G1093" s="4">
        <v>44866</v>
      </c>
      <c r="H1093" t="s">
        <v>1632</v>
      </c>
      <c r="I1093" t="s">
        <v>33</v>
      </c>
      <c r="J1093" t="s">
        <v>50</v>
      </c>
      <c r="K1093" t="s">
        <v>159</v>
      </c>
      <c r="L1093" t="s">
        <v>24</v>
      </c>
      <c r="M1093" t="s">
        <v>52</v>
      </c>
      <c r="N1093" t="s">
        <v>31</v>
      </c>
      <c r="P1093" s="3">
        <v>73</v>
      </c>
      <c r="Q1093" t="str">
        <f>LEFT(B1093, 4)</f>
        <v>Asus</v>
      </c>
      <c r="R1093" t="str">
        <f t="shared" si="76"/>
        <v>Intel Core i5 (12th Gen)</v>
      </c>
      <c r="S1093" t="str">
        <f t="shared" si="75"/>
        <v xml:space="preserve">8 GB </v>
      </c>
    </row>
    <row r="1094" spans="1:19">
      <c r="A1094" t="str">
        <f>LEFT(B1094, LEN(B1094)-15)</f>
        <v>Infinix INBook X2 Plus XL25 Laptop (Core i5 11th Gen/8 GB/512 GB SSD/Windows 11)</v>
      </c>
      <c r="B1094" t="s">
        <v>1637</v>
      </c>
      <c r="C1094" s="1">
        <v>54990</v>
      </c>
      <c r="D1094" s="1">
        <v>357</v>
      </c>
      <c r="E1094" s="2">
        <v>82</v>
      </c>
      <c r="F1094" s="2" t="str" cm="1">
        <f t="array" ref="F1094">_xlfn.IFS(AND(101&gt;E1094, E1094&gt;69), "Top-Tier", AND(70&gt;E1094, E1094&gt;39), "Mid-Tier", 40&gt;E1094, "Low-Tier")</f>
        <v>Top-Tier</v>
      </c>
      <c r="G1094" s="4">
        <v>44835</v>
      </c>
      <c r="H1094" t="s">
        <v>1632</v>
      </c>
      <c r="I1094" t="s">
        <v>33</v>
      </c>
      <c r="J1094" t="s">
        <v>494</v>
      </c>
      <c r="K1094" t="s">
        <v>51</v>
      </c>
      <c r="L1094" t="s">
        <v>24</v>
      </c>
      <c r="N1094" t="s">
        <v>31</v>
      </c>
      <c r="O1094" t="s">
        <v>261</v>
      </c>
      <c r="Q1094" t="str">
        <f>LEFT(B1094, 7)</f>
        <v>Infinix</v>
      </c>
      <c r="R1094" t="str">
        <f t="shared" si="76"/>
        <v>Intel Core i5 (12th Gen)</v>
      </c>
      <c r="S1094" t="str">
        <f t="shared" si="75"/>
        <v xml:space="preserve">8 GB </v>
      </c>
    </row>
    <row r="1095" spans="1:19">
      <c r="A1095" t="str">
        <f>LEFT(B1095, LEN(B1095)-15)</f>
        <v>Dell G15-5520 (D560897WIN9S) Laptop (Core i9 12th Gen/16 GB/1 TB SSD/Windows 11/6 GB)</v>
      </c>
      <c r="B1095" t="s">
        <v>1638</v>
      </c>
      <c r="C1095" s="1">
        <v>180000</v>
      </c>
      <c r="D1095" s="1">
        <v>54</v>
      </c>
      <c r="E1095" s="2">
        <v>82</v>
      </c>
      <c r="F1095" s="2" t="str" cm="1">
        <f t="array" ref="F1095">_xlfn.IFS(AND(101&gt;E1095, E1095&gt;69), "Top-Tier", AND(70&gt;E1095, E1095&gt;39), "Mid-Tier", 40&gt;E1095, "Low-Tier")</f>
        <v>Top-Tier</v>
      </c>
      <c r="G1095" s="4">
        <v>44835</v>
      </c>
      <c r="H1095" t="s">
        <v>1632</v>
      </c>
      <c r="I1095" t="s">
        <v>33</v>
      </c>
      <c r="J1095" t="s">
        <v>72</v>
      </c>
      <c r="K1095" t="s">
        <v>51</v>
      </c>
      <c r="L1095" t="s">
        <v>24</v>
      </c>
      <c r="N1095" t="s">
        <v>31</v>
      </c>
      <c r="P1095" s="3">
        <v>85</v>
      </c>
      <c r="Q1095" t="str">
        <f>LEFT(B1095, 4)</f>
        <v>Dell</v>
      </c>
      <c r="R1095" t="str">
        <f t="shared" si="76"/>
        <v>Intel Core i5 (12th Gen)</v>
      </c>
      <c r="S1095" t="str">
        <f t="shared" si="75"/>
        <v>16 GB</v>
      </c>
    </row>
    <row r="1096" spans="1:19">
      <c r="A1096" t="str">
        <f>LEFT(B1096, LEN(B1096)-15)</f>
        <v>Gigabyte G5 MD-51IN123SE (RC45MD) Laptop (Core i5 11th Gen/16 GB/512 GB SSD/Windows 11/4 GB)</v>
      </c>
      <c r="B1096" t="s">
        <v>1639</v>
      </c>
      <c r="C1096" s="1">
        <v>76990</v>
      </c>
      <c r="D1096" s="1">
        <v>13</v>
      </c>
      <c r="E1096" s="2">
        <v>82</v>
      </c>
      <c r="F1096" s="2" t="str" cm="1">
        <f t="array" ref="F1096">_xlfn.IFS(AND(101&gt;E1096, E1096&gt;69), "Top-Tier", AND(70&gt;E1096, E1096&gt;39), "Mid-Tier", 40&gt;E1096, "Low-Tier")</f>
        <v>Top-Tier</v>
      </c>
      <c r="G1096" s="4">
        <v>44835</v>
      </c>
      <c r="H1096" t="s">
        <v>1632</v>
      </c>
      <c r="I1096" t="s">
        <v>33</v>
      </c>
      <c r="J1096" t="s">
        <v>34</v>
      </c>
      <c r="K1096" t="s">
        <v>51</v>
      </c>
      <c r="L1096" t="s">
        <v>24</v>
      </c>
      <c r="N1096" t="s">
        <v>31</v>
      </c>
      <c r="P1096" s="3">
        <v>78</v>
      </c>
      <c r="Q1096" t="str">
        <f>LEFT(B1096, 8)</f>
        <v>Gigabyte</v>
      </c>
      <c r="R1096" t="str">
        <f t="shared" si="76"/>
        <v>Intel Core i5 (12th Gen)</v>
      </c>
      <c r="S1096" t="str">
        <f t="shared" si="75"/>
        <v>16 GB</v>
      </c>
    </row>
    <row r="1097" spans="1:19">
      <c r="A1097" t="str">
        <f>LEFT(B1097, LEN(B1097)-15)</f>
        <v>Lenovo V15 (82KDA00XIH) Laptop (AMD Hexa Core Ryzen 5/8 GB/512 GB SSD/Windows 11)</v>
      </c>
      <c r="B1097" t="s">
        <v>1640</v>
      </c>
      <c r="C1097" s="1">
        <v>46190</v>
      </c>
      <c r="D1097" s="1">
        <v>152</v>
      </c>
      <c r="E1097" s="2">
        <v>82</v>
      </c>
      <c r="F1097" s="2" t="str" cm="1">
        <f t="array" ref="F1097">_xlfn.IFS(AND(101&gt;E1097, E1097&gt;69), "Top-Tier", AND(70&gt;E1097, E1097&gt;39), "Mid-Tier", 40&gt;E1097, "Low-Tier")</f>
        <v>Top-Tier</v>
      </c>
      <c r="G1097" s="4">
        <v>44835</v>
      </c>
      <c r="H1097" t="s">
        <v>1632</v>
      </c>
      <c r="I1097" t="s">
        <v>33</v>
      </c>
      <c r="J1097" t="s">
        <v>50</v>
      </c>
      <c r="K1097" t="s">
        <v>51</v>
      </c>
      <c r="L1097" t="s">
        <v>24</v>
      </c>
      <c r="M1097" t="s">
        <v>253</v>
      </c>
      <c r="N1097" t="s">
        <v>31</v>
      </c>
      <c r="O1097" t="s">
        <v>152</v>
      </c>
      <c r="Q1097" t="str">
        <f>LEFT(B1097, 6)</f>
        <v>Lenovo</v>
      </c>
      <c r="R1097" t="str">
        <f t="shared" si="76"/>
        <v>Intel Core i5 (12th Gen)</v>
      </c>
      <c r="S1097" t="str">
        <f t="shared" si="75"/>
        <v xml:space="preserve">8 GB </v>
      </c>
    </row>
    <row r="1098" spans="1:19">
      <c r="A1098" t="str">
        <f>LEFT(B1098, LEN(B1098)-15)</f>
        <v>Dell Inspiron 15 3520 (D560896WIN9B) Laptop (Core i3 12th Gen/8 GB/512 GB SSD/Windows 11)</v>
      </c>
      <c r="B1098" t="s">
        <v>1641</v>
      </c>
      <c r="C1098" s="1">
        <v>36990</v>
      </c>
      <c r="D1098" s="1">
        <v>1680</v>
      </c>
      <c r="E1098" s="2">
        <v>82</v>
      </c>
      <c r="F1098" s="2" t="str" cm="1">
        <f t="array" ref="F1098">_xlfn.IFS(AND(101&gt;E1098, E1098&gt;69), "Top-Tier", AND(70&gt;E1098, E1098&gt;39), "Mid-Tier", 40&gt;E1098, "Low-Tier")</f>
        <v>Top-Tier</v>
      </c>
      <c r="G1098" s="4">
        <v>44835</v>
      </c>
      <c r="H1098" t="s">
        <v>1632</v>
      </c>
      <c r="I1098" t="s">
        <v>33</v>
      </c>
      <c r="J1098" t="s">
        <v>50</v>
      </c>
      <c r="K1098" t="s">
        <v>51</v>
      </c>
      <c r="L1098" t="s">
        <v>24</v>
      </c>
      <c r="M1098" t="s">
        <v>237</v>
      </c>
      <c r="N1098" t="s">
        <v>31</v>
      </c>
      <c r="P1098" s="3">
        <v>72</v>
      </c>
      <c r="Q1098" t="str">
        <f>LEFT(B1098, 4)</f>
        <v>Dell</v>
      </c>
      <c r="R1098" t="str">
        <f t="shared" si="76"/>
        <v>Intel Core i5 (12th Gen)</v>
      </c>
      <c r="S1098" t="str">
        <f t="shared" si="75"/>
        <v xml:space="preserve">8 GB </v>
      </c>
    </row>
    <row r="1099" spans="1:19">
      <c r="A1099" t="str">
        <f>LEFT(B1099, LEN(B1099)-15)</f>
        <v>Dell Inspiron 13 5320 (D560853WIN9S) Laptop (Core i5 12th Gen/16 GB/512 GB SSD/Windows 11)</v>
      </c>
      <c r="B1099" t="s">
        <v>1642</v>
      </c>
      <c r="C1099" s="1">
        <v>64999</v>
      </c>
      <c r="D1099" s="1">
        <v>32</v>
      </c>
      <c r="E1099" s="2">
        <v>82</v>
      </c>
      <c r="F1099" s="2" t="str" cm="1">
        <f t="array" ref="F1099">_xlfn.IFS(AND(101&gt;E1099, E1099&gt;69), "Top-Tier", AND(70&gt;E1099, E1099&gt;39), "Mid-Tier", 40&gt;E1099, "Low-Tier")</f>
        <v>Top-Tier</v>
      </c>
      <c r="G1099" s="4">
        <v>44805</v>
      </c>
      <c r="H1099" t="s">
        <v>1632</v>
      </c>
      <c r="I1099" t="s">
        <v>33</v>
      </c>
      <c r="J1099" t="s">
        <v>121</v>
      </c>
      <c r="K1099" t="s">
        <v>406</v>
      </c>
      <c r="L1099" t="s">
        <v>24</v>
      </c>
      <c r="M1099" t="s">
        <v>60</v>
      </c>
      <c r="N1099" t="s">
        <v>31</v>
      </c>
      <c r="P1099" s="3">
        <v>72</v>
      </c>
      <c r="Q1099" t="str">
        <f>LEFT(B1099, 4)</f>
        <v>Dell</v>
      </c>
      <c r="R1099" t="str">
        <f t="shared" si="76"/>
        <v>Intel Core i5 (12th Gen)</v>
      </c>
      <c r="S1099" t="str">
        <f t="shared" si="75"/>
        <v>16 GB</v>
      </c>
    </row>
    <row r="1100" spans="1:19">
      <c r="A1100" t="str">
        <f>LEFT(B1100, LEN(B1100)-15)</f>
        <v>Lenovo Ideapad Gaming 3 Gen 6 (82K201UEIN) Laptop (AMD Hexa Core Ryzen 5/8 GB/512 GB SSD/Windows 11/4 GB)</v>
      </c>
      <c r="B1100" t="s">
        <v>1643</v>
      </c>
      <c r="C1100" s="1">
        <v>46999</v>
      </c>
      <c r="D1100" s="1">
        <v>462</v>
      </c>
      <c r="E1100" s="2">
        <v>82</v>
      </c>
      <c r="F1100" s="2" t="str" cm="1">
        <f t="array" ref="F1100">_xlfn.IFS(AND(101&gt;E1100, E1100&gt;69), "Top-Tier", AND(70&gt;E1100, E1100&gt;39), "Mid-Tier", 40&gt;E1100, "Low-Tier")</f>
        <v>Top-Tier</v>
      </c>
      <c r="G1100" s="4">
        <v>44774</v>
      </c>
      <c r="H1100" t="s">
        <v>1632</v>
      </c>
      <c r="I1100" t="s">
        <v>33</v>
      </c>
      <c r="J1100" t="s">
        <v>50</v>
      </c>
      <c r="K1100" t="s">
        <v>51</v>
      </c>
      <c r="L1100" t="s">
        <v>24</v>
      </c>
      <c r="N1100" t="s">
        <v>31</v>
      </c>
      <c r="P1100" s="3">
        <v>76</v>
      </c>
      <c r="Q1100" t="str">
        <f>LEFT(B1100, 6)</f>
        <v>Lenovo</v>
      </c>
      <c r="R1100" t="str">
        <f t="shared" si="76"/>
        <v>Intel Core i5 (12th Gen)</v>
      </c>
      <c r="S1100" t="str">
        <f t="shared" si="75"/>
        <v xml:space="preserve">8 GB </v>
      </c>
    </row>
    <row r="1101" spans="1:19">
      <c r="A1101" t="str">
        <f>LEFT(B1101, LEN(B1101)-15)</f>
        <v>HP Pavilion x360 14-ek0074TU (6Q0Y9PA) Laptop (Core i5 12th Gen/16 GB/512 GB SSD/Windows 11)</v>
      </c>
      <c r="B1101" t="s">
        <v>1644</v>
      </c>
      <c r="C1101" s="1">
        <v>71990</v>
      </c>
      <c r="D1101" s="1">
        <v>219</v>
      </c>
      <c r="E1101" s="2">
        <v>82</v>
      </c>
      <c r="F1101" s="2" t="str" cm="1">
        <f t="array" ref="F1101">_xlfn.IFS(AND(101&gt;E1101, E1101&gt;69), "Top-Tier", AND(70&gt;E1101, E1101&gt;39), "Mid-Tier", 40&gt;E1101, "Low-Tier")</f>
        <v>Top-Tier</v>
      </c>
      <c r="G1101" s="4">
        <v>44774</v>
      </c>
      <c r="H1101" t="s">
        <v>1632</v>
      </c>
      <c r="I1101" t="s">
        <v>33</v>
      </c>
      <c r="J1101" t="s">
        <v>34</v>
      </c>
      <c r="K1101" t="s">
        <v>149</v>
      </c>
      <c r="L1101" t="s">
        <v>24</v>
      </c>
      <c r="M1101" t="s">
        <v>52</v>
      </c>
      <c r="N1101" t="s">
        <v>31</v>
      </c>
      <c r="P1101" s="3">
        <v>76</v>
      </c>
      <c r="Q1101" t="str">
        <f>LEFT(B1101, 2)</f>
        <v>HP</v>
      </c>
      <c r="R1101" t="str">
        <f t="shared" si="76"/>
        <v>Intel Core i5 (12th Gen)</v>
      </c>
      <c r="S1101" t="str">
        <f t="shared" si="75"/>
        <v>16 GB</v>
      </c>
    </row>
    <row r="1102" spans="1:19">
      <c r="A1102" t="str">
        <f>LEFT(B1102, LEN(B1102)-15)</f>
        <v>Asus VivoBook 15 X515JA-EJ382WS Laptop (Core i3 10th Gen/8 GB/512 GB SSD/Windows 11)</v>
      </c>
      <c r="B1102" t="s">
        <v>1645</v>
      </c>
      <c r="C1102" s="1">
        <v>28330</v>
      </c>
      <c r="D1102" s="1">
        <v>299</v>
      </c>
      <c r="E1102" s="2">
        <v>82</v>
      </c>
      <c r="F1102" s="2" t="str" cm="1">
        <f t="array" ref="F1102">_xlfn.IFS(AND(101&gt;E1102, E1102&gt;69), "Top-Tier", AND(70&gt;E1102, E1102&gt;39), "Mid-Tier", 40&gt;E1102, "Low-Tier")</f>
        <v>Top-Tier</v>
      </c>
      <c r="G1102" s="4">
        <v>44774</v>
      </c>
      <c r="H1102" t="s">
        <v>1632</v>
      </c>
      <c r="I1102" t="s">
        <v>33</v>
      </c>
      <c r="J1102" t="s">
        <v>50</v>
      </c>
      <c r="K1102" t="s">
        <v>159</v>
      </c>
      <c r="L1102" t="s">
        <v>24</v>
      </c>
      <c r="M1102" t="s">
        <v>253</v>
      </c>
      <c r="N1102" t="s">
        <v>31</v>
      </c>
      <c r="Q1102" t="str">
        <f>LEFT(B1102, 4)</f>
        <v>Asus</v>
      </c>
      <c r="R1102" t="str">
        <f t="shared" si="76"/>
        <v>Intel Core i5 (12th Gen)</v>
      </c>
      <c r="S1102" t="str">
        <f t="shared" si="75"/>
        <v xml:space="preserve">8 GB </v>
      </c>
    </row>
    <row r="1103" spans="1:19">
      <c r="A1103" t="str">
        <f>LEFT(B1103, LEN(B1103)-15)</f>
        <v>Lenovo Ideapad Slim 3 (81X800LCIN) Laptop (Core i3 11th Gen/8 GB/256 GB SSD/Windows 11)</v>
      </c>
      <c r="B1103" t="s">
        <v>1646</v>
      </c>
      <c r="C1103" s="1">
        <v>35499</v>
      </c>
      <c r="D1103" s="1">
        <v>2306</v>
      </c>
      <c r="E1103" s="2">
        <v>82</v>
      </c>
      <c r="F1103" s="2" t="str" cm="1">
        <f t="array" ref="F1103">_xlfn.IFS(AND(101&gt;E1103, E1103&gt;69), "Top-Tier", AND(70&gt;E1103, E1103&gt;39), "Mid-Tier", 40&gt;E1103, "Low-Tier")</f>
        <v>Top-Tier</v>
      </c>
      <c r="G1103" s="4">
        <v>44774</v>
      </c>
      <c r="H1103" t="s">
        <v>1632</v>
      </c>
      <c r="I1103" t="s">
        <v>33</v>
      </c>
      <c r="J1103" t="s">
        <v>338</v>
      </c>
      <c r="K1103" t="s">
        <v>217</v>
      </c>
      <c r="L1103" t="s">
        <v>24</v>
      </c>
      <c r="M1103" t="s">
        <v>52</v>
      </c>
      <c r="N1103" t="s">
        <v>31</v>
      </c>
      <c r="Q1103" t="str">
        <f>LEFT(B1103, 6)</f>
        <v>Lenovo</v>
      </c>
      <c r="R1103" t="str">
        <f t="shared" si="76"/>
        <v>Intel Core i5 (12th Gen)</v>
      </c>
      <c r="S1103" t="str">
        <f t="shared" si="75"/>
        <v xml:space="preserve">8 GB </v>
      </c>
    </row>
    <row r="1104" spans="1:19">
      <c r="A1104" t="str">
        <f>LEFT(B1104, LEN(B1104)-15)</f>
        <v>HP Victus 15-fa0351TX (6N029PA) Laptop (Core i7 12th Gen/8 GB/512 GB SSD/Windows 11/4 GB)</v>
      </c>
      <c r="B1104" t="s">
        <v>1647</v>
      </c>
      <c r="C1104" s="1">
        <v>103483</v>
      </c>
      <c r="D1104" s="1">
        <v>14</v>
      </c>
      <c r="E1104" s="2">
        <v>82</v>
      </c>
      <c r="F1104" s="2" t="str" cm="1">
        <f t="array" ref="F1104">_xlfn.IFS(AND(101&gt;E1104, E1104&gt;69), "Top-Tier", AND(70&gt;E1104, E1104&gt;39), "Mid-Tier", 40&gt;E1104, "Low-Tier")</f>
        <v>Top-Tier</v>
      </c>
      <c r="G1104" s="4">
        <v>44774</v>
      </c>
      <c r="H1104" t="s">
        <v>1632</v>
      </c>
      <c r="I1104" t="s">
        <v>33</v>
      </c>
      <c r="J1104" t="s">
        <v>50</v>
      </c>
      <c r="K1104" t="s">
        <v>159</v>
      </c>
      <c r="L1104" t="s">
        <v>24</v>
      </c>
      <c r="N1104" t="s">
        <v>31</v>
      </c>
      <c r="P1104" s="3">
        <v>81</v>
      </c>
      <c r="Q1104" t="str">
        <f>LEFT(B1104, 2)</f>
        <v>HP</v>
      </c>
      <c r="R1104" t="str">
        <f t="shared" si="76"/>
        <v>Intel Core i5 (12th Gen)</v>
      </c>
      <c r="S1104" t="str">
        <f t="shared" si="75"/>
        <v xml:space="preserve">8 GB </v>
      </c>
    </row>
    <row r="1105" spans="1:19">
      <c r="A1105" t="str">
        <f>LEFT(B1105, LEN(B1105)-15)</f>
        <v>Lenovo Ideapad Slim 3i (81X800LAIN) Laptop (Core i3 11th Gen/8 GB/512 GB SSD/Windows 11)</v>
      </c>
      <c r="B1105" t="s">
        <v>1648</v>
      </c>
      <c r="C1105" s="1">
        <v>34500</v>
      </c>
      <c r="D1105" s="1">
        <v>1764</v>
      </c>
      <c r="E1105" s="2">
        <v>82</v>
      </c>
      <c r="F1105" s="2" t="str" cm="1">
        <f t="array" ref="F1105">_xlfn.IFS(AND(101&gt;E1105, E1105&gt;69), "Top-Tier", AND(70&gt;E1105, E1105&gt;39), "Mid-Tier", 40&gt;E1105, "Low-Tier")</f>
        <v>Top-Tier</v>
      </c>
      <c r="G1105" s="4">
        <v>44774</v>
      </c>
      <c r="H1105" t="s">
        <v>1632</v>
      </c>
      <c r="I1105" t="s">
        <v>33</v>
      </c>
      <c r="J1105" t="s">
        <v>50</v>
      </c>
      <c r="K1105" t="s">
        <v>217</v>
      </c>
      <c r="L1105" t="s">
        <v>24</v>
      </c>
      <c r="M1105" t="s">
        <v>253</v>
      </c>
      <c r="N1105" t="s">
        <v>31</v>
      </c>
      <c r="P1105" s="3">
        <v>73</v>
      </c>
      <c r="Q1105" t="str">
        <f>LEFT(B1105, 6)</f>
        <v>Lenovo</v>
      </c>
      <c r="R1105" t="str">
        <f t="shared" si="76"/>
        <v>Intel Core i5 (12th Gen)</v>
      </c>
      <c r="S1105" t="str">
        <f t="shared" si="75"/>
        <v xml:space="preserve">8 GB </v>
      </c>
    </row>
    <row r="1106" spans="1:19">
      <c r="A1106" t="str">
        <f>LEFT(B1106, LEN(B1106)-15)</f>
        <v>Asus VivoBook Pro 15 OLED M3500QC-L901WS Laptop (AMD Octa Core Ryzen 9/16 GB/1 TB SSD/Windows 11/4 GB)</v>
      </c>
      <c r="B1106" t="s">
        <v>1649</v>
      </c>
      <c r="C1106" s="1">
        <v>117635</v>
      </c>
      <c r="D1106" s="1">
        <v>13</v>
      </c>
      <c r="E1106" s="2">
        <v>82</v>
      </c>
      <c r="F1106" s="2" t="str" cm="1">
        <f t="array" ref="F1106">_xlfn.IFS(AND(101&gt;E1106, E1106&gt;69), "Top-Tier", AND(70&gt;E1106, E1106&gt;39), "Mid-Tier", 40&gt;E1106, "Low-Tier")</f>
        <v>Top-Tier</v>
      </c>
      <c r="G1106" s="4">
        <v>44774</v>
      </c>
      <c r="H1106" t="s">
        <v>1632</v>
      </c>
      <c r="I1106" t="s">
        <v>33</v>
      </c>
      <c r="J1106" t="s">
        <v>72</v>
      </c>
      <c r="K1106" t="s">
        <v>215</v>
      </c>
      <c r="L1106" t="s">
        <v>24</v>
      </c>
      <c r="M1106" t="s">
        <v>52</v>
      </c>
      <c r="N1106" t="s">
        <v>31</v>
      </c>
      <c r="O1106" t="s">
        <v>152</v>
      </c>
      <c r="P1106" s="3">
        <v>82</v>
      </c>
      <c r="Q1106" t="str">
        <f>LEFT(B1106, 4)</f>
        <v>Asus</v>
      </c>
      <c r="R1106" t="str">
        <f t="shared" si="76"/>
        <v>Intel Core i5 (12th Gen)</v>
      </c>
      <c r="S1106" t="str">
        <f t="shared" si="75"/>
        <v>16 GB</v>
      </c>
    </row>
    <row r="1107" spans="1:19">
      <c r="A1107" t="str">
        <f>LEFT(B1107, LEN(B1107)-15)</f>
        <v>HP 255 G8 (689T4PA) Laptop (AMD Dual Core Ryzen 3/8 GB/512 GB SSD/Windows 11)</v>
      </c>
      <c r="B1107" t="s">
        <v>1650</v>
      </c>
      <c r="C1107" s="1">
        <v>26890</v>
      </c>
      <c r="D1107" s="1">
        <v>492</v>
      </c>
      <c r="E1107" s="2">
        <v>82</v>
      </c>
      <c r="F1107" s="2" t="str" cm="1">
        <f t="array" ref="F1107">_xlfn.IFS(AND(101&gt;E1107, E1107&gt;69), "Top-Tier", AND(70&gt;E1107, E1107&gt;39), "Mid-Tier", 40&gt;E1107, "Low-Tier")</f>
        <v>Top-Tier</v>
      </c>
      <c r="G1107" s="4">
        <v>44774</v>
      </c>
      <c r="H1107" t="s">
        <v>1632</v>
      </c>
      <c r="I1107" t="s">
        <v>33</v>
      </c>
      <c r="J1107" t="s">
        <v>50</v>
      </c>
      <c r="K1107" t="s">
        <v>159</v>
      </c>
      <c r="L1107" t="s">
        <v>24</v>
      </c>
      <c r="N1107" t="s">
        <v>31</v>
      </c>
      <c r="Q1107" t="str">
        <f>LEFT(B1107, 2)</f>
        <v>HP</v>
      </c>
      <c r="R1107" t="str">
        <f t="shared" si="76"/>
        <v>Intel Core i5 (12th Gen)</v>
      </c>
      <c r="S1107" t="str">
        <f t="shared" si="75"/>
        <v xml:space="preserve">8 GB </v>
      </c>
    </row>
    <row r="1108" spans="1:19">
      <c r="A1108" t="str">
        <f>LEFT(B1108, LEN(B1108)-15)</f>
        <v>Lenovo Ideapad Slim 3i (82RJ0040IN) Laptop (Core i3 12th Gen/8 GB/512 GB SSD/Windows 11)</v>
      </c>
      <c r="B1108" t="s">
        <v>1651</v>
      </c>
      <c r="C1108" s="1">
        <v>35990</v>
      </c>
      <c r="D1108" s="1">
        <v>761</v>
      </c>
      <c r="E1108" s="2">
        <v>82</v>
      </c>
      <c r="F1108" s="2" t="str" cm="1">
        <f t="array" ref="F1108">_xlfn.IFS(AND(101&gt;E1108, E1108&gt;69), "Top-Tier", AND(70&gt;E1108, E1108&gt;39), "Mid-Tier", 40&gt;E1108, "Low-Tier")</f>
        <v>Top-Tier</v>
      </c>
      <c r="G1108" s="4">
        <v>44743</v>
      </c>
      <c r="H1108" t="s">
        <v>1632</v>
      </c>
      <c r="I1108" t="s">
        <v>33</v>
      </c>
      <c r="J1108" t="s">
        <v>50</v>
      </c>
      <c r="K1108" t="s">
        <v>149</v>
      </c>
      <c r="L1108" t="s">
        <v>24</v>
      </c>
      <c r="M1108" t="s">
        <v>253</v>
      </c>
      <c r="N1108" t="s">
        <v>31</v>
      </c>
      <c r="P1108" s="3">
        <v>73</v>
      </c>
      <c r="Q1108" t="str">
        <f>LEFT(B1108, 6)</f>
        <v>Lenovo</v>
      </c>
      <c r="R1108" t="str">
        <f t="shared" si="76"/>
        <v>Intel Core i5 (12th Gen)</v>
      </c>
      <c r="S1108" t="str">
        <f t="shared" si="75"/>
        <v xml:space="preserve">8 GB </v>
      </c>
    </row>
    <row r="1109" spans="1:19">
      <c r="A1109" t="str">
        <f>LEFT(B1109, LEN(B1109)-15)</f>
        <v>Lenovo Ideapad Flex 5i (82R70068IN) Laptop (Core i5 12th Gen/8 GB/512 GB SSD/Windows 11)</v>
      </c>
      <c r="B1109" t="s">
        <v>1652</v>
      </c>
      <c r="C1109" s="1">
        <v>73990</v>
      </c>
      <c r="D1109" s="1">
        <v>36</v>
      </c>
      <c r="E1109" s="2">
        <v>82</v>
      </c>
      <c r="F1109" s="2" t="str" cm="1">
        <f t="array" ref="F1109">_xlfn.IFS(AND(101&gt;E1109, E1109&gt;69), "Top-Tier", AND(70&gt;E1109, E1109&gt;39), "Mid-Tier", 40&gt;E1109, "Low-Tier")</f>
        <v>Top-Tier</v>
      </c>
      <c r="G1109" s="4">
        <v>44743</v>
      </c>
      <c r="H1109" t="s">
        <v>1632</v>
      </c>
      <c r="I1109" t="s">
        <v>33</v>
      </c>
      <c r="J1109" t="s">
        <v>494</v>
      </c>
      <c r="K1109" t="s">
        <v>94</v>
      </c>
      <c r="L1109" t="s">
        <v>24</v>
      </c>
      <c r="M1109" t="s">
        <v>381</v>
      </c>
      <c r="N1109" t="s">
        <v>31</v>
      </c>
      <c r="P1109" s="3">
        <v>76</v>
      </c>
      <c r="Q1109" t="str">
        <f>LEFT(B1109, 6)</f>
        <v>Lenovo</v>
      </c>
      <c r="R1109" t="str">
        <f t="shared" si="76"/>
        <v>Intel Core i5 (12th Gen)</v>
      </c>
      <c r="S1109" t="str">
        <f t="shared" si="75"/>
        <v xml:space="preserve">8 GB </v>
      </c>
    </row>
    <row r="1110" spans="1:19">
      <c r="A1110" t="str">
        <f>LEFT(B1110, LEN(B1110)-15)</f>
        <v>HP 14s-fq0568AU (6C4A9PA) Laptop (AMD Dual Core Athlon/8 GB/256 GB SSD/Windows 11)</v>
      </c>
      <c r="B1110" t="s">
        <v>1653</v>
      </c>
      <c r="C1110" s="1">
        <v>28500</v>
      </c>
      <c r="D1110" s="1">
        <v>3809</v>
      </c>
      <c r="E1110" s="2">
        <v>82</v>
      </c>
      <c r="F1110" s="2" t="str" cm="1">
        <f t="array" ref="F1110">_xlfn.IFS(AND(101&gt;E1110, E1110&gt;69), "Top-Tier", AND(70&gt;E1110, E1110&gt;39), "Mid-Tier", 40&gt;E1110, "Low-Tier")</f>
        <v>Top-Tier</v>
      </c>
      <c r="G1110" s="4">
        <v>44743</v>
      </c>
      <c r="H1110" t="s">
        <v>1632</v>
      </c>
      <c r="I1110" t="s">
        <v>33</v>
      </c>
      <c r="J1110" t="s">
        <v>338</v>
      </c>
      <c r="K1110" t="s">
        <v>1585</v>
      </c>
      <c r="L1110" t="s">
        <v>24</v>
      </c>
      <c r="M1110" t="s">
        <v>203</v>
      </c>
      <c r="N1110" t="s">
        <v>31</v>
      </c>
      <c r="Q1110" t="str">
        <f>LEFT(B1110, 2)</f>
        <v>HP</v>
      </c>
      <c r="R1110" t="str">
        <f t="shared" si="76"/>
        <v>Intel Core i5 (12th Gen)</v>
      </c>
      <c r="S1110" t="str">
        <f t="shared" si="75"/>
        <v xml:space="preserve">8 GB </v>
      </c>
    </row>
    <row r="1111" spans="1:19">
      <c r="A1111" t="str">
        <f>LEFT(B1111, LEN(B1111)-15)</f>
        <v>HP 14s-dy5005TU Laptop (Core i5 12th Gen/16 GB/512 GB SSD/Windows 11)</v>
      </c>
      <c r="B1111" t="s">
        <v>1654</v>
      </c>
      <c r="C1111" s="1">
        <v>62990</v>
      </c>
      <c r="D1111" s="1">
        <v>2897</v>
      </c>
      <c r="E1111" s="2">
        <v>82</v>
      </c>
      <c r="F1111" s="2" t="str" cm="1">
        <f t="array" ref="F1111">_xlfn.IFS(AND(101&gt;E1111, E1111&gt;69), "Top-Tier", AND(70&gt;E1111, E1111&gt;39), "Mid-Tier", 40&gt;E1111, "Low-Tier")</f>
        <v>Top-Tier</v>
      </c>
      <c r="G1111" s="4">
        <v>44743</v>
      </c>
      <c r="H1111" t="s">
        <v>1632</v>
      </c>
      <c r="I1111" t="s">
        <v>33</v>
      </c>
      <c r="J1111" t="s">
        <v>34</v>
      </c>
      <c r="K1111" t="s">
        <v>1655</v>
      </c>
      <c r="L1111" t="s">
        <v>24</v>
      </c>
      <c r="M1111" t="s">
        <v>74</v>
      </c>
      <c r="N1111" t="s">
        <v>31</v>
      </c>
      <c r="P1111" s="3">
        <v>80</v>
      </c>
      <c r="Q1111" t="str">
        <f>LEFT(B1111, 2)</f>
        <v>HP</v>
      </c>
      <c r="R1111" t="str">
        <f t="shared" si="76"/>
        <v>Intel Core i5 (12th Gen)</v>
      </c>
      <c r="S1111" t="str">
        <f t="shared" si="75"/>
        <v>16 GB</v>
      </c>
    </row>
    <row r="1112" spans="1:19">
      <c r="A1112" t="str">
        <f>LEFT(B1112, LEN(B1112)-15)</f>
        <v>Lenovo Ideapad Slim 3i (82RK0085IN) Laptop (Core i5 12th Gen/16 GB/512 GB SSD/Windows 11)</v>
      </c>
      <c r="B1112" t="s">
        <v>1656</v>
      </c>
      <c r="C1112" s="1">
        <v>52750</v>
      </c>
      <c r="D1112" s="1">
        <v>2109</v>
      </c>
      <c r="E1112" s="2">
        <v>82</v>
      </c>
      <c r="F1112" s="2" t="str" cm="1">
        <f t="array" ref="F1112">_xlfn.IFS(AND(101&gt;E1112, E1112&gt;69), "Top-Tier", AND(70&gt;E1112, E1112&gt;39), "Mid-Tier", 40&gt;E1112, "Low-Tier")</f>
        <v>Top-Tier</v>
      </c>
      <c r="G1112" s="4">
        <v>44743</v>
      </c>
      <c r="H1112" t="s">
        <v>1632</v>
      </c>
      <c r="I1112" t="s">
        <v>33</v>
      </c>
      <c r="J1112" t="s">
        <v>34</v>
      </c>
      <c r="K1112" t="s">
        <v>217</v>
      </c>
      <c r="L1112" t="s">
        <v>24</v>
      </c>
      <c r="M1112" t="s">
        <v>253</v>
      </c>
      <c r="N1112" t="s">
        <v>31</v>
      </c>
      <c r="P1112" s="3">
        <v>80</v>
      </c>
      <c r="Q1112" t="str">
        <f>LEFT(B1112, 6)</f>
        <v>Lenovo</v>
      </c>
      <c r="R1112" t="str">
        <f t="shared" si="76"/>
        <v>Intel Core i5 (12th Gen)</v>
      </c>
      <c r="S1112" t="str">
        <f t="shared" si="75"/>
        <v>16 GB</v>
      </c>
    </row>
    <row r="1113" spans="1:19">
      <c r="A1113" t="str">
        <f>LEFT(B1113, LEN(B1113)-15)</f>
        <v>HP Envy 13 x360 Intel Evo 13-bf0059TU (6K7X2PA) Laptop (Core i7 12th Gen/16 GB/512 GB SSD/Windows 11)</v>
      </c>
      <c r="B1113" t="s">
        <v>1657</v>
      </c>
      <c r="C1113" s="1">
        <v>115500</v>
      </c>
      <c r="D1113" s="1">
        <v>97</v>
      </c>
      <c r="E1113" s="2">
        <v>82</v>
      </c>
      <c r="F1113" s="2" t="str" cm="1">
        <f t="array" ref="F1113">_xlfn.IFS(AND(101&gt;E1113, E1113&gt;69), "Top-Tier", AND(70&gt;E1113, E1113&gt;39), "Mid-Tier", 40&gt;E1113, "Low-Tier")</f>
        <v>Top-Tier</v>
      </c>
      <c r="G1113" s="4">
        <v>44743</v>
      </c>
      <c r="H1113" t="s">
        <v>1632</v>
      </c>
      <c r="I1113" t="s">
        <v>33</v>
      </c>
      <c r="J1113" t="s">
        <v>214</v>
      </c>
      <c r="K1113" t="s">
        <v>131</v>
      </c>
      <c r="L1113" t="s">
        <v>24</v>
      </c>
      <c r="M1113" t="s">
        <v>1387</v>
      </c>
      <c r="N1113" t="s">
        <v>31</v>
      </c>
      <c r="P1113" s="3">
        <v>78</v>
      </c>
      <c r="Q1113" t="str">
        <f>LEFT(B1113, 2)</f>
        <v>HP</v>
      </c>
      <c r="R1113" t="str">
        <f t="shared" si="76"/>
        <v>Intel Core i5 (12th Gen)</v>
      </c>
      <c r="S1113" t="str">
        <f t="shared" si="75"/>
        <v>16 GB</v>
      </c>
    </row>
    <row r="1114" spans="1:19">
      <c r="A1114" t="str">
        <f>LEFT(B1114, LEN(B1114)-15)</f>
        <v>Asus Chromebook Flip C214MA-BU0704 Laptop (Intel Celeron Dual Core/4 GB/32 GB eMMC/Google Chrome)</v>
      </c>
      <c r="B1114" t="s">
        <v>1658</v>
      </c>
      <c r="C1114" s="1">
        <v>17990</v>
      </c>
      <c r="D1114" s="1">
        <v>5157</v>
      </c>
      <c r="E1114" s="2">
        <v>82</v>
      </c>
      <c r="F1114" s="2" t="str" cm="1">
        <f t="array" ref="F1114">_xlfn.IFS(AND(101&gt;E1114, E1114&gt;69), "Top-Tier", AND(70&gt;E1114, E1114&gt;39), "Mid-Tier", 40&gt;E1114, "Low-Tier")</f>
        <v>Top-Tier</v>
      </c>
      <c r="G1114" s="4">
        <v>44743</v>
      </c>
      <c r="H1114" t="s">
        <v>1632</v>
      </c>
      <c r="I1114" t="s">
        <v>735</v>
      </c>
      <c r="J1114" t="s">
        <v>1358</v>
      </c>
      <c r="K1114" t="s">
        <v>1359</v>
      </c>
      <c r="L1114" t="s">
        <v>24</v>
      </c>
      <c r="M1114" t="s">
        <v>1659</v>
      </c>
      <c r="Q1114" t="str">
        <f>LEFT(B1114, 4)</f>
        <v>Asus</v>
      </c>
      <c r="R1114" t="str">
        <f t="shared" si="76"/>
        <v>Intel Core i5 (12th Gen)</v>
      </c>
      <c r="S1114" t="str">
        <f t="shared" si="75"/>
        <v xml:space="preserve">4 GB </v>
      </c>
    </row>
    <row r="1115" spans="1:19">
      <c r="A1115" t="str">
        <f>LEFT(B1115, LEN(B1115)-15)</f>
        <v>Dell Inspiron 15 3511 (D560841WIN9S) Laptop (Core i3 11th Gen/8 GB/1 TB 256 GB SSD/Windows 11)</v>
      </c>
      <c r="B1115" t="s">
        <v>1660</v>
      </c>
      <c r="C1115" s="1">
        <v>61202</v>
      </c>
      <c r="D1115" s="1">
        <v>731</v>
      </c>
      <c r="E1115" s="2">
        <v>82</v>
      </c>
      <c r="F1115" s="2" t="str" cm="1">
        <f t="array" ref="F1115">_xlfn.IFS(AND(101&gt;E1115, E1115&gt;69), "Top-Tier", AND(70&gt;E1115, E1115&gt;39), "Mid-Tier", 40&gt;E1115, "Low-Tier")</f>
        <v>Top-Tier</v>
      </c>
      <c r="G1115" s="4">
        <v>44743</v>
      </c>
      <c r="H1115" t="s">
        <v>1632</v>
      </c>
      <c r="I1115" t="s">
        <v>33</v>
      </c>
      <c r="J1115" t="s">
        <v>332</v>
      </c>
      <c r="K1115" t="s">
        <v>159</v>
      </c>
      <c r="L1115" t="s">
        <v>24</v>
      </c>
      <c r="N1115" t="s">
        <v>31</v>
      </c>
      <c r="Q1115" t="str">
        <f>LEFT(B1115, 4)</f>
        <v>Dell</v>
      </c>
      <c r="R1115" t="str">
        <f t="shared" si="76"/>
        <v>Intel Core i5 (12th Gen)</v>
      </c>
      <c r="S1115" t="str">
        <f t="shared" si="75"/>
        <v xml:space="preserve">8 GB </v>
      </c>
    </row>
    <row r="1116" spans="1:19">
      <c r="A1116" t="str">
        <f>LEFT(B1116, LEN(B1116)-15)</f>
        <v>Lenovo Ideapad Gaming 3 15IHU6 (82K10198IN) Laptop (Core i5 11th Gen/8 GB/512 GB SSD/Windows 11/4 GB)</v>
      </c>
      <c r="B1116" t="s">
        <v>1661</v>
      </c>
      <c r="C1116" s="1">
        <v>49990</v>
      </c>
      <c r="D1116" s="1">
        <v>859</v>
      </c>
      <c r="E1116" s="2">
        <v>82</v>
      </c>
      <c r="F1116" s="2" t="str" cm="1">
        <f t="array" ref="F1116">_xlfn.IFS(AND(101&gt;E1116, E1116&gt;69), "Top-Tier", AND(70&gt;E1116, E1116&gt;39), "Mid-Tier", 40&gt;E1116, "Low-Tier")</f>
        <v>Top-Tier</v>
      </c>
      <c r="G1116" s="4">
        <v>44743</v>
      </c>
      <c r="H1116" t="s">
        <v>1662</v>
      </c>
      <c r="I1116" t="s">
        <v>33</v>
      </c>
      <c r="J1116" t="s">
        <v>50</v>
      </c>
      <c r="K1116" t="s">
        <v>159</v>
      </c>
      <c r="L1116" t="s">
        <v>24</v>
      </c>
      <c r="N1116" t="s">
        <v>31</v>
      </c>
      <c r="P1116" s="3">
        <v>75</v>
      </c>
      <c r="Q1116" t="str">
        <f>LEFT(B1116, 6)</f>
        <v>Lenovo</v>
      </c>
      <c r="R1116" t="str">
        <f t="shared" si="76"/>
        <v>Intel Core i5 (12th Gen)</v>
      </c>
      <c r="S1116" t="str">
        <f t="shared" si="75"/>
        <v xml:space="preserve">8 GB </v>
      </c>
    </row>
    <row r="1117" spans="1:19">
      <c r="A1117" t="str">
        <f>LEFT(B1117, LEN(B1117)-15)</f>
        <v>Dell Vostro 3400 (D552221WIN9BE) Laptop (Core i3 11th Gen/4 GB/1 TB 256 GB SSD/Windows 11)</v>
      </c>
      <c r="B1117" t="s">
        <v>1663</v>
      </c>
      <c r="C1117" s="1">
        <v>42690</v>
      </c>
      <c r="D1117" s="1">
        <v>107</v>
      </c>
      <c r="E1117" s="2">
        <v>82</v>
      </c>
      <c r="F1117" s="2" t="str" cm="1">
        <f t="array" ref="F1117">_xlfn.IFS(AND(101&gt;E1117, E1117&gt;69), "Top-Tier", AND(70&gt;E1117, E1117&gt;39), "Mid-Tier", 40&gt;E1117, "Low-Tier")</f>
        <v>Top-Tier</v>
      </c>
      <c r="G1117" s="4">
        <v>44743</v>
      </c>
      <c r="H1117" t="s">
        <v>1662</v>
      </c>
      <c r="I1117" t="s">
        <v>33</v>
      </c>
      <c r="J1117" t="s">
        <v>542</v>
      </c>
      <c r="K1117" t="s">
        <v>427</v>
      </c>
      <c r="L1117" t="s">
        <v>24</v>
      </c>
      <c r="M1117" t="s">
        <v>74</v>
      </c>
      <c r="N1117" t="s">
        <v>31</v>
      </c>
      <c r="Q1117" t="str">
        <f>LEFT(B1117, 4)</f>
        <v>Dell</v>
      </c>
      <c r="R1117" t="str">
        <f t="shared" si="76"/>
        <v>Intel Core i5 (12th Gen)</v>
      </c>
      <c r="S1117" t="str">
        <f t="shared" si="75"/>
        <v xml:space="preserve">4 GB </v>
      </c>
    </row>
    <row r="1118" spans="1:19">
      <c r="A1118" t="str">
        <f>LEFT(B1118, LEN(B1118)-15)</f>
        <v>Lenovo Ideapad Slim 3i 15ITL6 (82H801LHIN) Laptop (Core i3 11th Gen/8 GB/512 GB SSD/Windows 11)</v>
      </c>
      <c r="B1118" t="s">
        <v>1664</v>
      </c>
      <c r="C1118" s="1">
        <v>37399</v>
      </c>
      <c r="D1118" s="1">
        <v>50</v>
      </c>
      <c r="E1118" s="2">
        <v>82</v>
      </c>
      <c r="F1118" s="2" t="str" cm="1">
        <f t="array" ref="F1118">_xlfn.IFS(AND(101&gt;E1118, E1118&gt;69), "Top-Tier", AND(70&gt;E1118, E1118&gt;39), "Mid-Tier", 40&gt;E1118, "Low-Tier")</f>
        <v>Top-Tier</v>
      </c>
      <c r="G1118" s="4">
        <v>44743</v>
      </c>
      <c r="H1118" t="s">
        <v>1662</v>
      </c>
      <c r="I1118" t="s">
        <v>33</v>
      </c>
      <c r="J1118" t="s">
        <v>50</v>
      </c>
      <c r="K1118" t="s">
        <v>217</v>
      </c>
      <c r="L1118" t="s">
        <v>24</v>
      </c>
      <c r="M1118" t="s">
        <v>253</v>
      </c>
      <c r="N1118" t="s">
        <v>31</v>
      </c>
      <c r="Q1118" t="str">
        <f>LEFT(B1118, 6)</f>
        <v>Lenovo</v>
      </c>
      <c r="R1118" t="str">
        <f t="shared" si="76"/>
        <v>Intel Core i5 (12th Gen)</v>
      </c>
      <c r="S1118" t="str">
        <f t="shared" si="75"/>
        <v xml:space="preserve">8 GB </v>
      </c>
    </row>
    <row r="1119" spans="1:19">
      <c r="A1119" t="str">
        <f>LEFT(B1119, LEN(B1119)-15)</f>
        <v>Asus ROG Zephyrus G14 GA402RJZ-L4135WS Laptop (AMD Octa Core Ryzen 7/16 GB/1 TB SSD/Windows 11/8 GB)</v>
      </c>
      <c r="B1119" t="s">
        <v>1665</v>
      </c>
      <c r="C1119" s="1">
        <v>131990</v>
      </c>
      <c r="D1119" s="1">
        <v>9</v>
      </c>
      <c r="E1119" s="2">
        <v>82</v>
      </c>
      <c r="F1119" s="2" t="str" cm="1">
        <f t="array" ref="F1119">_xlfn.IFS(AND(101&gt;E1119, E1119&gt;69), "Top-Tier", AND(70&gt;E1119, E1119&gt;39), "Mid-Tier", 40&gt;E1119, "Low-Tier")</f>
        <v>Top-Tier</v>
      </c>
      <c r="G1119" s="4">
        <v>44743</v>
      </c>
      <c r="H1119" t="s">
        <v>1662</v>
      </c>
      <c r="I1119" t="s">
        <v>33</v>
      </c>
      <c r="J1119" t="s">
        <v>72</v>
      </c>
      <c r="K1119" t="s">
        <v>185</v>
      </c>
      <c r="L1119" t="s">
        <v>24</v>
      </c>
      <c r="M1119" t="s">
        <v>135</v>
      </c>
      <c r="N1119" t="s">
        <v>31</v>
      </c>
      <c r="P1119" s="3">
        <v>84</v>
      </c>
      <c r="Q1119" t="str">
        <f>LEFT(B1119, 4)</f>
        <v>Asus</v>
      </c>
      <c r="R1119" t="str">
        <f t="shared" si="76"/>
        <v>Intel Core i5 (12th Gen)</v>
      </c>
      <c r="S1119" t="str">
        <f t="shared" si="75"/>
        <v>16 GB</v>
      </c>
    </row>
    <row r="1120" spans="1:19">
      <c r="A1120" t="str">
        <f>LEFT(B1120, LEN(B1120)-15)</f>
        <v>Dell Vostro 3400 (D552260WIN9D) Laptop (Core i5 11th Gen/8 GB/512 GB SSD/Windows 11)</v>
      </c>
      <c r="B1120" t="s">
        <v>1666</v>
      </c>
      <c r="C1120" s="1">
        <v>48999</v>
      </c>
      <c r="D1120" s="1">
        <v>25</v>
      </c>
      <c r="E1120" s="2">
        <v>82</v>
      </c>
      <c r="F1120" s="2" t="str" cm="1">
        <f t="array" ref="F1120">_xlfn.IFS(AND(101&gt;E1120, E1120&gt;69), "Top-Tier", AND(70&gt;E1120, E1120&gt;39), "Mid-Tier", 40&gt;E1120, "Low-Tier")</f>
        <v>Top-Tier</v>
      </c>
      <c r="G1120" s="4">
        <v>44713</v>
      </c>
      <c r="H1120" t="s">
        <v>1662</v>
      </c>
      <c r="I1120" t="s">
        <v>33</v>
      </c>
      <c r="J1120" t="s">
        <v>50</v>
      </c>
      <c r="K1120" t="s">
        <v>149</v>
      </c>
      <c r="L1120" t="s">
        <v>24</v>
      </c>
      <c r="M1120" t="s">
        <v>74</v>
      </c>
      <c r="N1120" t="s">
        <v>31</v>
      </c>
      <c r="P1120" s="3">
        <v>72</v>
      </c>
      <c r="Q1120" t="str">
        <f>LEFT(B1120, 4)</f>
        <v>Dell</v>
      </c>
      <c r="R1120" t="str">
        <f t="shared" si="76"/>
        <v>Intel Core i5 (12th Gen)</v>
      </c>
      <c r="S1120" t="str">
        <f t="shared" si="75"/>
        <v xml:space="preserve">8 GB </v>
      </c>
    </row>
    <row r="1121" spans="1:19">
      <c r="A1121" t="str">
        <f>LEFT(B1121, LEN(B1121)-15)</f>
        <v>Asus VivoBook 15 X512DA-BQ302WS Laptop (AMD Dual Core Ryzen 3/8 GB/256 GB SSD/Windows 11)</v>
      </c>
      <c r="B1121" t="s">
        <v>1667</v>
      </c>
      <c r="C1121" s="1">
        <v>33990</v>
      </c>
      <c r="D1121" s="1">
        <v>507</v>
      </c>
      <c r="E1121" s="2">
        <v>82</v>
      </c>
      <c r="F1121" s="2" t="str" cm="1">
        <f t="array" ref="F1121">_xlfn.IFS(AND(101&gt;E1121, E1121&gt;69), "Top-Tier", AND(70&gt;E1121, E1121&gt;39), "Mid-Tier", 40&gt;E1121, "Low-Tier")</f>
        <v>Top-Tier</v>
      </c>
      <c r="G1121" s="4">
        <v>44713</v>
      </c>
      <c r="H1121" t="s">
        <v>1662</v>
      </c>
      <c r="I1121" t="s">
        <v>33</v>
      </c>
      <c r="J1121" t="s">
        <v>338</v>
      </c>
      <c r="K1121" t="s">
        <v>51</v>
      </c>
      <c r="L1121" t="s">
        <v>24</v>
      </c>
      <c r="M1121" t="s">
        <v>253</v>
      </c>
      <c r="N1121" t="s">
        <v>31</v>
      </c>
      <c r="Q1121" t="str">
        <f>LEFT(B1121, 4)</f>
        <v>Asus</v>
      </c>
      <c r="R1121" t="str">
        <f t="shared" si="76"/>
        <v>Intel Core i5 (12th Gen)</v>
      </c>
      <c r="S1121" t="str">
        <f t="shared" si="75"/>
        <v xml:space="preserve">8 GB </v>
      </c>
    </row>
    <row r="1122" spans="1:19">
      <c r="A1122" t="str">
        <f>LEFT(B1122, LEN(B1122)-15)</f>
        <v>Lenovo Ideapad Gaming 3 Gen 6 (82K201UNIN) Laptop (AMD Octa Core Ryzen 7/16 GB/512 GB SSD/Windows 11/6 GB)</v>
      </c>
      <c r="B1122" t="s">
        <v>1668</v>
      </c>
      <c r="C1122" s="1">
        <v>105783</v>
      </c>
      <c r="D1122" s="1">
        <v>69</v>
      </c>
      <c r="E1122" s="2">
        <v>82</v>
      </c>
      <c r="F1122" s="2" t="str" cm="1">
        <f t="array" ref="F1122">_xlfn.IFS(AND(101&gt;E1122, E1122&gt;69), "Top-Tier", AND(70&gt;E1122, E1122&gt;39), "Mid-Tier", 40&gt;E1122, "Low-Tier")</f>
        <v>Top-Tier</v>
      </c>
      <c r="G1122" s="4">
        <v>44713</v>
      </c>
      <c r="H1122" t="s">
        <v>1662</v>
      </c>
      <c r="I1122" t="s">
        <v>33</v>
      </c>
      <c r="J1122" t="s">
        <v>34</v>
      </c>
      <c r="K1122" t="s">
        <v>51</v>
      </c>
      <c r="L1122" t="s">
        <v>24</v>
      </c>
      <c r="N1122" t="s">
        <v>31</v>
      </c>
      <c r="O1122" t="s">
        <v>152</v>
      </c>
      <c r="P1122" s="3">
        <v>80</v>
      </c>
      <c r="Q1122" t="str">
        <f>LEFT(B1122, 6)</f>
        <v>Lenovo</v>
      </c>
      <c r="R1122" t="str">
        <f t="shared" si="76"/>
        <v>Intel Core i5 (12th Gen)</v>
      </c>
      <c r="S1122" t="str">
        <f t="shared" si="75"/>
        <v>16 GB</v>
      </c>
    </row>
    <row r="1123" spans="1:19">
      <c r="A1123" t="str">
        <f>LEFT(B1123, LEN(B1123)-15)</f>
        <v>Asus ROG Flow Z13 GZ301ZA-LD049WS Laptop (Core i5 12th Gen/16 GB/512 GB SSD/Windows 11)</v>
      </c>
      <c r="B1123" t="s">
        <v>1669</v>
      </c>
      <c r="C1123" s="1">
        <v>99990</v>
      </c>
      <c r="D1123" s="1">
        <v>35</v>
      </c>
      <c r="E1123" s="2">
        <v>82</v>
      </c>
      <c r="F1123" s="2" t="str" cm="1">
        <f t="array" ref="F1123">_xlfn.IFS(AND(101&gt;E1123, E1123&gt;69), "Top-Tier", AND(70&gt;E1123, E1123&gt;39), "Mid-Tier", 40&gt;E1123, "Low-Tier")</f>
        <v>Top-Tier</v>
      </c>
      <c r="G1123" s="4">
        <v>44713</v>
      </c>
      <c r="H1123" t="s">
        <v>1662</v>
      </c>
      <c r="I1123" t="s">
        <v>33</v>
      </c>
      <c r="J1123" t="s">
        <v>121</v>
      </c>
      <c r="K1123" t="s">
        <v>296</v>
      </c>
      <c r="L1123" t="s">
        <v>24</v>
      </c>
      <c r="M1123" t="s">
        <v>1670</v>
      </c>
      <c r="P1123" s="3">
        <v>78</v>
      </c>
      <c r="Q1123" t="str">
        <f>LEFT(B1123, 4)</f>
        <v>Asus</v>
      </c>
      <c r="R1123" t="str">
        <f t="shared" si="76"/>
        <v>Intel Core i5 (12th Gen)</v>
      </c>
      <c r="S1123" t="str">
        <f t="shared" si="75"/>
        <v>16 GB</v>
      </c>
    </row>
    <row r="1124" spans="1:19">
      <c r="A1124" t="str">
        <f>LEFT(B1124, LEN(B1124)-15)</f>
        <v>Infinix INBook X1 Slim XL21 Laptop (Core i7 10th Gen/16 GB/512 GB SSD/Windows 11/128 MB)</v>
      </c>
      <c r="B1124" t="s">
        <v>1671</v>
      </c>
      <c r="C1124" s="1">
        <v>57999</v>
      </c>
      <c r="D1124" s="1">
        <v>223</v>
      </c>
      <c r="E1124" s="2">
        <v>82</v>
      </c>
      <c r="F1124" s="2" t="str" cm="1">
        <f t="array" ref="F1124">_xlfn.IFS(AND(101&gt;E1124, E1124&gt;69), "Top-Tier", AND(70&gt;E1124, E1124&gt;39), "Mid-Tier", 40&gt;E1124, "Low-Tier")</f>
        <v>Top-Tier</v>
      </c>
      <c r="G1124" s="4">
        <v>44713</v>
      </c>
      <c r="H1124" t="s">
        <v>1662</v>
      </c>
      <c r="I1124" t="s">
        <v>33</v>
      </c>
      <c r="J1124" t="s">
        <v>214</v>
      </c>
      <c r="K1124" t="s">
        <v>149</v>
      </c>
      <c r="L1124" t="s">
        <v>24</v>
      </c>
      <c r="M1124" t="s">
        <v>968</v>
      </c>
      <c r="N1124" t="s">
        <v>31</v>
      </c>
      <c r="O1124" t="s">
        <v>261</v>
      </c>
      <c r="Q1124" t="str">
        <f>LEFT(B1124, 7)</f>
        <v>Infinix</v>
      </c>
      <c r="R1124" t="str">
        <f t="shared" si="76"/>
        <v>Intel Core i5 (12th Gen)</v>
      </c>
      <c r="S1124" t="str">
        <f t="shared" si="75"/>
        <v>16 GB</v>
      </c>
    </row>
    <row r="1125" spans="1:19">
      <c r="A1125" t="str">
        <f>LEFT(B1125, LEN(B1125)-15)</f>
        <v>Infinix INBook X1 Slim XL21 Laptop (Core i5 10th Gen/8 GB/512 GB SSD/Windows 11/128 MB)</v>
      </c>
      <c r="B1125" t="s">
        <v>1672</v>
      </c>
      <c r="C1125" s="1">
        <v>34490</v>
      </c>
      <c r="D1125" s="1">
        <v>965</v>
      </c>
      <c r="E1125" s="2">
        <v>82</v>
      </c>
      <c r="F1125" s="2" t="str" cm="1">
        <f t="array" ref="F1125">_xlfn.IFS(AND(101&gt;E1125, E1125&gt;69), "Top-Tier", AND(70&gt;E1125, E1125&gt;39), "Mid-Tier", 40&gt;E1125, "Low-Tier")</f>
        <v>Top-Tier</v>
      </c>
      <c r="G1125" s="4">
        <v>44713</v>
      </c>
      <c r="H1125" t="s">
        <v>1673</v>
      </c>
      <c r="I1125" t="s">
        <v>33</v>
      </c>
      <c r="J1125" t="s">
        <v>494</v>
      </c>
      <c r="K1125" t="s">
        <v>149</v>
      </c>
      <c r="L1125" t="s">
        <v>24</v>
      </c>
      <c r="M1125" t="s">
        <v>968</v>
      </c>
      <c r="N1125" t="s">
        <v>31</v>
      </c>
      <c r="O1125" t="s">
        <v>261</v>
      </c>
      <c r="Q1125" t="str">
        <f>LEFT(B1125, 7)</f>
        <v>Infinix</v>
      </c>
      <c r="R1125" t="str">
        <f t="shared" si="76"/>
        <v>Intel Core i5 (12th Gen)</v>
      </c>
      <c r="S1125" t="str">
        <f t="shared" si="75"/>
        <v xml:space="preserve">8 GB </v>
      </c>
    </row>
    <row r="1126" spans="1:19">
      <c r="A1126" t="str">
        <f>LEFT(B1126, LEN(B1126)-15)</f>
        <v>Acer Aspire Lite AL15-53 (UN.34ESI.00D) Laptop (Core i3 13th Gen/16 GB/512 GB SSD/Windows 11)</v>
      </c>
      <c r="B1126" t="s">
        <v>1674</v>
      </c>
      <c r="C1126" s="1">
        <v>33800</v>
      </c>
      <c r="D1126" s="1">
        <v>399</v>
      </c>
      <c r="E1126" s="2">
        <v>80</v>
      </c>
      <c r="F1126" s="2" t="str" cm="1">
        <f t="array" ref="F1126">_xlfn.IFS(AND(101&gt;E1126, E1126&gt;69), "Top-Tier", AND(70&gt;E1126, E1126&gt;39), "Mid-Tier", 40&gt;E1126, "Low-Tier")</f>
        <v>Top-Tier</v>
      </c>
      <c r="G1126" s="4">
        <v>45566</v>
      </c>
      <c r="H1126" t="s">
        <v>1673</v>
      </c>
      <c r="I1126" t="s">
        <v>33</v>
      </c>
      <c r="J1126" t="s">
        <v>34</v>
      </c>
      <c r="K1126" t="s">
        <v>1675</v>
      </c>
      <c r="L1126" t="s">
        <v>24</v>
      </c>
      <c r="M1126" t="s">
        <v>52</v>
      </c>
      <c r="N1126" t="s">
        <v>31</v>
      </c>
      <c r="P1126" s="3">
        <v>78</v>
      </c>
      <c r="Q1126" t="str">
        <f>LEFT(B1126, 4)</f>
        <v>Acer</v>
      </c>
      <c r="R1126" t="str">
        <f t="shared" si="76"/>
        <v>Intel Core i5 (12th Gen)</v>
      </c>
      <c r="S1126" t="str">
        <f t="shared" si="75"/>
        <v>16 GB</v>
      </c>
    </row>
    <row r="1127" spans="1:19">
      <c r="A1127" t="str">
        <f>LEFT(B1127, LEN(B1127)-15)</f>
        <v>Asus ExpertBook P1 P1403CVA-S60938WS Laptop (Core i3 13th Gen/16 GB/512 GB SSD/Windows 11)</v>
      </c>
      <c r="B1127" t="s">
        <v>1676</v>
      </c>
      <c r="C1127" s="1">
        <v>39990</v>
      </c>
      <c r="D1127" s="1">
        <v>241</v>
      </c>
      <c r="E1127" s="2">
        <v>80</v>
      </c>
      <c r="F1127" s="2" t="str" cm="1">
        <f t="array" ref="F1127">_xlfn.IFS(AND(101&gt;E1127, E1127&gt;69), "Top-Tier", AND(70&gt;E1127, E1127&gt;39), "Mid-Tier", 40&gt;E1127, "Low-Tier")</f>
        <v>Top-Tier</v>
      </c>
      <c r="G1127" s="4">
        <v>45748</v>
      </c>
      <c r="H1127" t="s">
        <v>1673</v>
      </c>
      <c r="I1127" t="s">
        <v>33</v>
      </c>
      <c r="J1127" t="s">
        <v>54</v>
      </c>
      <c r="K1127" t="s">
        <v>427</v>
      </c>
      <c r="L1127" t="s">
        <v>24</v>
      </c>
      <c r="M1127" t="s">
        <v>864</v>
      </c>
      <c r="N1127" t="s">
        <v>31</v>
      </c>
      <c r="P1127" s="3">
        <v>79</v>
      </c>
      <c r="Q1127" t="str">
        <f>LEFT(B1127, 4)</f>
        <v>Asus</v>
      </c>
      <c r="R1127" t="str">
        <f t="shared" si="76"/>
        <v>Intel Core i5 (12th Gen)</v>
      </c>
      <c r="S1127" t="str">
        <f t="shared" si="75"/>
        <v>16 GB</v>
      </c>
    </row>
    <row r="1128" spans="1:19">
      <c r="A1128" t="str">
        <f>LEFT(B1128, LEN(B1128)-15)</f>
        <v>Asus ExpertBook P1 P1503CVA-S71074WS Laptop (Core i3 13th Gen/16 GB/512 GB SSD/Windows 11)</v>
      </c>
      <c r="B1128" t="s">
        <v>1677</v>
      </c>
      <c r="C1128" s="1">
        <v>39990</v>
      </c>
      <c r="D1128" s="1">
        <v>241</v>
      </c>
      <c r="E1128" s="2">
        <v>80</v>
      </c>
      <c r="F1128" s="2" t="str" cm="1">
        <f t="array" ref="F1128">_xlfn.IFS(AND(101&gt;E1128, E1128&gt;69), "Top-Tier", AND(70&gt;E1128, E1128&gt;39), "Mid-Tier", 40&gt;E1128, "Low-Tier")</f>
        <v>Top-Tier</v>
      </c>
      <c r="G1128" s="4">
        <v>45748</v>
      </c>
      <c r="H1128" t="s">
        <v>1673</v>
      </c>
      <c r="I1128" t="s">
        <v>33</v>
      </c>
      <c r="J1128" t="s">
        <v>54</v>
      </c>
      <c r="K1128" t="s">
        <v>159</v>
      </c>
      <c r="L1128" t="s">
        <v>24</v>
      </c>
      <c r="M1128" t="s">
        <v>52</v>
      </c>
      <c r="N1128" t="s">
        <v>31</v>
      </c>
      <c r="P1128" s="3">
        <v>79</v>
      </c>
      <c r="Q1128" t="str">
        <f>LEFT(B1128, 4)</f>
        <v>Asus</v>
      </c>
      <c r="R1128" t="str">
        <f t="shared" si="76"/>
        <v>Intel Core i5 (12th Gen)</v>
      </c>
      <c r="S1128" t="str">
        <f t="shared" si="75"/>
        <v>16 GB</v>
      </c>
    </row>
    <row r="1129" spans="1:19">
      <c r="A1129" t="str">
        <f>LEFT(B1129, LEN(B1129)-15)</f>
        <v>Asus ExpertBook P1 P1503CVA-S70501WS Laptop (Core i3 13th Gen/8 GB/512 GB SSD/Windows 11)</v>
      </c>
      <c r="B1129" t="s">
        <v>1678</v>
      </c>
      <c r="C1129" s="1">
        <v>37990</v>
      </c>
      <c r="D1129" s="1">
        <v>241</v>
      </c>
      <c r="E1129" s="2">
        <v>80</v>
      </c>
      <c r="F1129" s="2" t="str" cm="1">
        <f t="array" ref="F1129">_xlfn.IFS(AND(101&gt;E1129, E1129&gt;69), "Top-Tier", AND(70&gt;E1129, E1129&gt;39), "Mid-Tier", 40&gt;E1129, "Low-Tier")</f>
        <v>Top-Tier</v>
      </c>
      <c r="G1129" s="4">
        <v>45748</v>
      </c>
      <c r="H1129" t="s">
        <v>1679</v>
      </c>
      <c r="I1129" t="s">
        <v>33</v>
      </c>
      <c r="J1129" t="s">
        <v>119</v>
      </c>
      <c r="K1129" t="s">
        <v>159</v>
      </c>
      <c r="L1129" t="s">
        <v>24</v>
      </c>
      <c r="M1129" t="s">
        <v>52</v>
      </c>
      <c r="N1129" t="s">
        <v>31</v>
      </c>
      <c r="P1129" s="3">
        <v>78</v>
      </c>
      <c r="Q1129" t="str">
        <f>LEFT(B1129, 4)</f>
        <v>Asus</v>
      </c>
      <c r="R1129" t="str">
        <f t="shared" si="76"/>
        <v>Intel Core i5 (12th Gen)</v>
      </c>
      <c r="S1129" t="str">
        <f t="shared" si="75"/>
        <v xml:space="preserve">8 GB </v>
      </c>
    </row>
    <row r="1130" spans="1:19">
      <c r="A1130" t="str">
        <f>LEFT(B1130, LEN(B1130)-15)</f>
        <v>Asus ExpertBook P1 P1403CVA-S60343WS Laptop (Core i3 13th Gen/8 GB/512 GB SSD/Windows 11)</v>
      </c>
      <c r="B1130" t="s">
        <v>1680</v>
      </c>
      <c r="C1130" s="1">
        <v>37990</v>
      </c>
      <c r="D1130" s="1">
        <v>241</v>
      </c>
      <c r="E1130" s="2">
        <v>80</v>
      </c>
      <c r="F1130" s="2" t="str" cm="1">
        <f t="array" ref="F1130">_xlfn.IFS(AND(101&gt;E1130, E1130&gt;69), "Top-Tier", AND(70&gt;E1130, E1130&gt;39), "Mid-Tier", 40&gt;E1130, "Low-Tier")</f>
        <v>Top-Tier</v>
      </c>
      <c r="G1130" s="4">
        <v>45748</v>
      </c>
      <c r="H1130" t="s">
        <v>1679</v>
      </c>
      <c r="I1130" t="s">
        <v>33</v>
      </c>
      <c r="J1130" t="s">
        <v>119</v>
      </c>
      <c r="K1130" t="s">
        <v>427</v>
      </c>
      <c r="L1130" t="s">
        <v>24</v>
      </c>
      <c r="M1130" t="s">
        <v>864</v>
      </c>
      <c r="N1130" t="s">
        <v>31</v>
      </c>
      <c r="P1130" s="3">
        <v>78</v>
      </c>
      <c r="Q1130" t="str">
        <f>LEFT(B1130, 4)</f>
        <v>Asus</v>
      </c>
      <c r="R1130" t="str">
        <f t="shared" si="76"/>
        <v>Intel Core i5 (12th Gen)</v>
      </c>
      <c r="S1130" t="str">
        <f t="shared" si="75"/>
        <v xml:space="preserve">8 GB </v>
      </c>
    </row>
    <row r="1131" spans="1:19">
      <c r="A1131" t="str">
        <f>LEFT(B1131, LEN(B1131)-15)</f>
        <v>Asus Vivobook Go 15 E1504FA-NJ549WS Laptop (AMD Quad Core Ryzen 5/16 GB/512 GB SSD/Windows 11)</v>
      </c>
      <c r="B1131" t="s">
        <v>1681</v>
      </c>
      <c r="C1131" s="1">
        <v>40990</v>
      </c>
      <c r="D1131" s="1">
        <v>218</v>
      </c>
      <c r="E1131" s="2">
        <v>80</v>
      </c>
      <c r="F1131" s="2" t="str" cm="1">
        <f t="array" ref="F1131">_xlfn.IFS(AND(101&gt;E1131, E1131&gt;69), "Top-Tier", AND(70&gt;E1131, E1131&gt;39), "Mid-Tier", 40&gt;E1131, "Low-Tier")</f>
        <v>Top-Tier</v>
      </c>
      <c r="G1131" s="4">
        <v>45505</v>
      </c>
      <c r="H1131" t="s">
        <v>1679</v>
      </c>
      <c r="I1131" t="s">
        <v>33</v>
      </c>
      <c r="J1131" t="s">
        <v>121</v>
      </c>
      <c r="K1131" t="s">
        <v>51</v>
      </c>
      <c r="L1131" t="s">
        <v>24</v>
      </c>
      <c r="M1131" t="s">
        <v>95</v>
      </c>
      <c r="N1131" t="s">
        <v>31</v>
      </c>
      <c r="P1131" s="3">
        <v>73</v>
      </c>
      <c r="Q1131" t="str">
        <f>LEFT(B1131, 4)</f>
        <v>Asus</v>
      </c>
      <c r="R1131" t="str">
        <f t="shared" si="76"/>
        <v>Intel Core i5 (12th Gen)</v>
      </c>
      <c r="S1131" t="str">
        <f t="shared" si="75"/>
        <v>16 GB</v>
      </c>
    </row>
    <row r="1132" spans="1:19">
      <c r="A1132" t="str">
        <f>LEFT(B1132, LEN(B1132)-15)</f>
        <v>Lenovo IdeaPad Slim 3 14IAH8 (83EQ0072IN) Laptop (Core i5 12th Gen/16 GB/512 GB SSD/Windows 11)</v>
      </c>
      <c r="B1132" t="s">
        <v>1682</v>
      </c>
      <c r="C1132" s="1">
        <v>48800</v>
      </c>
      <c r="D1132" s="1">
        <v>648</v>
      </c>
      <c r="E1132" s="2">
        <v>80</v>
      </c>
      <c r="F1132" s="2" t="str" cm="1">
        <f t="array" ref="F1132">_xlfn.IFS(AND(101&gt;E1132, E1132&gt;69), "Top-Tier", AND(70&gt;E1132, E1132&gt;39), "Mid-Tier", 40&gt;E1132, "Low-Tier")</f>
        <v>Top-Tier</v>
      </c>
      <c r="G1132" s="4">
        <v>45597</v>
      </c>
      <c r="H1132" t="s">
        <v>1679</v>
      </c>
      <c r="I1132" t="s">
        <v>33</v>
      </c>
      <c r="J1132" t="s">
        <v>121</v>
      </c>
      <c r="K1132" t="s">
        <v>1140</v>
      </c>
      <c r="L1132" t="s">
        <v>24</v>
      </c>
      <c r="M1132" t="s">
        <v>95</v>
      </c>
      <c r="N1132" t="s">
        <v>31</v>
      </c>
      <c r="P1132" s="3">
        <v>77</v>
      </c>
      <c r="Q1132" t="str">
        <f>LEFT(B1132, 6)</f>
        <v>Lenovo</v>
      </c>
      <c r="R1132" t="str">
        <f t="shared" si="76"/>
        <v>Intel Core i5 (12th Gen)</v>
      </c>
      <c r="S1132" t="str">
        <f t="shared" si="75"/>
        <v>16 GB</v>
      </c>
    </row>
    <row r="1133" spans="1:19">
      <c r="A1133" t="str">
        <f>LEFT(B1133, LEN(B1133)-15)</f>
        <v>Lenovo V15 (82TTA07RIH) Laptop (Core i5 12th Gen/16 GB/512 GB SSD/Windows 11)</v>
      </c>
      <c r="B1133" t="s">
        <v>1683</v>
      </c>
      <c r="C1133" s="1">
        <v>42990</v>
      </c>
      <c r="D1133" s="1">
        <v>276</v>
      </c>
      <c r="E1133" s="2">
        <v>80</v>
      </c>
      <c r="F1133" s="2" t="str" cm="1">
        <f t="array" ref="F1133">_xlfn.IFS(AND(101&gt;E1133, E1133&gt;69), "Top-Tier", AND(70&gt;E1133, E1133&gt;39), "Mid-Tier", 40&gt;E1133, "Low-Tier")</f>
        <v>Top-Tier</v>
      </c>
      <c r="G1133" s="4">
        <v>45505</v>
      </c>
      <c r="H1133" t="s">
        <v>1684</v>
      </c>
      <c r="I1133" t="s">
        <v>33</v>
      </c>
      <c r="J1133" t="s">
        <v>34</v>
      </c>
      <c r="K1133" t="s">
        <v>51</v>
      </c>
      <c r="L1133" t="s">
        <v>24</v>
      </c>
      <c r="M1133" t="s">
        <v>52</v>
      </c>
      <c r="N1133" t="s">
        <v>31</v>
      </c>
      <c r="O1133" t="s">
        <v>261</v>
      </c>
      <c r="P1133" s="3">
        <v>75</v>
      </c>
      <c r="Q1133" t="str">
        <f>LEFT(B1133, 6)</f>
        <v>Lenovo</v>
      </c>
      <c r="R1133" t="str">
        <f t="shared" si="76"/>
        <v>Intel Core i5 (12th Gen)</v>
      </c>
      <c r="S1133" t="str">
        <f t="shared" si="75"/>
        <v>16 GB</v>
      </c>
    </row>
    <row r="1134" spans="1:19">
      <c r="A1134" t="str">
        <f>LEFT(B1134, LEN(B1134)-15)</f>
        <v>HP 255 G10 (B1FW9PT) Laptop (AMD Quad Core Ryzen 3/8 GB/512 GB SSD/DOS)</v>
      </c>
      <c r="B1134" t="s">
        <v>1685</v>
      </c>
      <c r="C1134" s="1">
        <v>26900</v>
      </c>
      <c r="D1134" s="1">
        <v>454</v>
      </c>
      <c r="E1134" s="2">
        <v>80</v>
      </c>
      <c r="F1134" s="2" t="str" cm="1">
        <f t="array" ref="F1134">_xlfn.IFS(AND(101&gt;E1134, E1134&gt;69), "Top-Tier", AND(70&gt;E1134, E1134&gt;39), "Mid-Tier", 40&gt;E1134, "Low-Tier")</f>
        <v>Top-Tier</v>
      </c>
      <c r="G1134" s="4">
        <v>45566</v>
      </c>
      <c r="H1134" t="s">
        <v>1686</v>
      </c>
      <c r="I1134" t="s">
        <v>124</v>
      </c>
      <c r="J1134" t="s">
        <v>50</v>
      </c>
      <c r="K1134" t="s">
        <v>674</v>
      </c>
      <c r="L1134" t="s">
        <v>24</v>
      </c>
      <c r="M1134" t="s">
        <v>99</v>
      </c>
      <c r="N1134" t="s">
        <v>31</v>
      </c>
      <c r="P1134" s="3">
        <v>72</v>
      </c>
      <c r="Q1134" t="str">
        <f>LEFT(B1134, 2)</f>
        <v>HP</v>
      </c>
      <c r="R1134" t="str">
        <f t="shared" si="76"/>
        <v>Intel Core i5 (12th Gen)</v>
      </c>
      <c r="S1134" t="str">
        <f t="shared" si="75"/>
        <v xml:space="preserve">8 GB </v>
      </c>
    </row>
    <row r="1135" spans="1:19">
      <c r="A1135" t="str">
        <f>LEFT(B1135, LEN(B1135)-15)</f>
        <v>Acer Aspire 3 A325-42 (UN.34QSI.004) Laptop (AMD Octa Core Ryzen 7/16 GB/1 TB SSD/Windows 11)</v>
      </c>
      <c r="B1135" t="s">
        <v>1687</v>
      </c>
      <c r="C1135" s="1">
        <v>49990</v>
      </c>
      <c r="D1135" s="1">
        <v>607</v>
      </c>
      <c r="E1135" s="2">
        <v>80</v>
      </c>
      <c r="F1135" s="2" t="str" cm="1">
        <f t="array" ref="F1135">_xlfn.IFS(AND(101&gt;E1135, E1135&gt;69), "Top-Tier", AND(70&gt;E1135, E1135&gt;39), "Mid-Tier", 40&gt;E1135, "Low-Tier")</f>
        <v>Top-Tier</v>
      </c>
      <c r="G1135" s="4">
        <v>45566</v>
      </c>
      <c r="H1135" t="s">
        <v>1688</v>
      </c>
      <c r="I1135" t="s">
        <v>33</v>
      </c>
      <c r="J1135" t="s">
        <v>184</v>
      </c>
      <c r="K1135" t="s">
        <v>741</v>
      </c>
      <c r="L1135" t="s">
        <v>24</v>
      </c>
      <c r="M1135" t="s">
        <v>428</v>
      </c>
      <c r="N1135" t="s">
        <v>31</v>
      </c>
      <c r="P1135" s="3">
        <v>74</v>
      </c>
      <c r="Q1135" t="str">
        <f>LEFT(B1135, 4)</f>
        <v>Acer</v>
      </c>
      <c r="R1135" t="str">
        <f t="shared" si="76"/>
        <v>Intel Core i5 (13th Gen)</v>
      </c>
      <c r="S1135" t="str">
        <f t="shared" si="75"/>
        <v>16 GB</v>
      </c>
    </row>
    <row r="1136" spans="1:19">
      <c r="A1136" t="str">
        <f>LEFT(B1136, LEN(B1136)-15)</f>
        <v>Acer Aspire 3 A325-42 (UN.34QSI.003) Laptop (AMD Octa Core Ryzen 7/16 GB/512 GB SSD/Windows 11)</v>
      </c>
      <c r="B1136" t="s">
        <v>1689</v>
      </c>
      <c r="C1136" s="1">
        <v>46990</v>
      </c>
      <c r="D1136" s="1">
        <v>607</v>
      </c>
      <c r="E1136" s="2">
        <v>80</v>
      </c>
      <c r="F1136" s="2" t="str" cm="1">
        <f t="array" ref="F1136">_xlfn.IFS(AND(101&gt;E1136, E1136&gt;69), "Top-Tier", AND(70&gt;E1136, E1136&gt;39), "Mid-Tier", 40&gt;E1136, "Low-Tier")</f>
        <v>Top-Tier</v>
      </c>
      <c r="G1136" s="4">
        <v>45536</v>
      </c>
      <c r="H1136" t="s">
        <v>1690</v>
      </c>
      <c r="I1136" t="s">
        <v>33</v>
      </c>
      <c r="J1136" t="s">
        <v>34</v>
      </c>
      <c r="K1136" t="s">
        <v>741</v>
      </c>
      <c r="L1136" t="s">
        <v>24</v>
      </c>
      <c r="M1136" t="s">
        <v>428</v>
      </c>
      <c r="N1136" t="s">
        <v>31</v>
      </c>
      <c r="P1136" s="3">
        <v>74</v>
      </c>
      <c r="Q1136" t="str">
        <f>LEFT(B1136, 4)</f>
        <v>Acer</v>
      </c>
      <c r="R1136" t="str">
        <f t="shared" si="76"/>
        <v>Intel Core i5 (13th Gen)</v>
      </c>
      <c r="S1136" t="str">
        <f t="shared" si="75"/>
        <v>16 GB</v>
      </c>
    </row>
    <row r="1137" spans="1:19">
      <c r="A1137" t="str">
        <f>LEFT(B1137, LEN(B1137)-15)</f>
        <v>HP Victus 15-fa2703TX (B7GP6PA) Laptop (Core i5 13th Gen/16 GB/512 GB SSD/Windows 11/4 GB)</v>
      </c>
      <c r="B1137" t="s">
        <v>1691</v>
      </c>
      <c r="C1137" s="1">
        <v>61490</v>
      </c>
      <c r="D1137" s="1">
        <v>167</v>
      </c>
      <c r="E1137" s="2">
        <v>80</v>
      </c>
      <c r="F1137" s="2" t="str" cm="1">
        <f t="array" ref="F1137">_xlfn.IFS(AND(101&gt;E1137, E1137&gt;69), "Top-Tier", AND(70&gt;E1137, E1137&gt;39), "Mid-Tier", 40&gt;E1137, "Low-Tier")</f>
        <v>Top-Tier</v>
      </c>
      <c r="G1137" s="4">
        <v>45689</v>
      </c>
      <c r="H1137" t="s">
        <v>1692</v>
      </c>
      <c r="I1137" t="s">
        <v>33</v>
      </c>
      <c r="J1137" t="s">
        <v>34</v>
      </c>
      <c r="K1137" t="s">
        <v>51</v>
      </c>
      <c r="L1137" t="s">
        <v>24</v>
      </c>
      <c r="N1137" t="s">
        <v>31</v>
      </c>
      <c r="P1137" s="3">
        <v>85</v>
      </c>
      <c r="Q1137" t="str">
        <f>LEFT(B1137, 2)</f>
        <v>HP</v>
      </c>
      <c r="R1137" t="str">
        <f t="shared" si="76"/>
        <v>Intel Core i5 (13th Gen)</v>
      </c>
      <c r="S1137" t="str">
        <f t="shared" si="75"/>
        <v>16 GB</v>
      </c>
    </row>
    <row r="1138" spans="1:19">
      <c r="A1138" t="str">
        <f>LEFT(B1138, LEN(B1138)-15)</f>
        <v>HP 15-fd0467TU (B61ZHPA) Laptop (Core i5 13th Gen/16 GB/512 GB SSD/Windows 11)</v>
      </c>
      <c r="B1138" t="s">
        <v>1693</v>
      </c>
      <c r="C1138" s="1">
        <v>54990</v>
      </c>
      <c r="D1138" s="1">
        <v>497</v>
      </c>
      <c r="E1138" s="2">
        <v>80</v>
      </c>
      <c r="F1138" s="2" t="str" cm="1">
        <f t="array" ref="F1138">_xlfn.IFS(AND(101&gt;E1138, E1138&gt;69), "Top-Tier", AND(70&gt;E1138, E1138&gt;39), "Mid-Tier", 40&gt;E1138, "Low-Tier")</f>
        <v>Top-Tier</v>
      </c>
      <c r="G1138" s="4">
        <v>45658</v>
      </c>
      <c r="H1138" t="s">
        <v>1692</v>
      </c>
      <c r="I1138" t="s">
        <v>33</v>
      </c>
      <c r="J1138" t="s">
        <v>34</v>
      </c>
      <c r="K1138" t="s">
        <v>159</v>
      </c>
      <c r="L1138" t="s">
        <v>24</v>
      </c>
      <c r="M1138" t="s">
        <v>99</v>
      </c>
      <c r="N1138" t="s">
        <v>31</v>
      </c>
      <c r="P1138" s="3">
        <v>79</v>
      </c>
      <c r="Q1138" t="str">
        <f>LEFT(B1138, 2)</f>
        <v>HP</v>
      </c>
      <c r="R1138" t="str">
        <f t="shared" si="76"/>
        <v>Intel Core i5 (13th Gen)</v>
      </c>
      <c r="S1138" t="str">
        <f t="shared" si="75"/>
        <v>16 GB</v>
      </c>
    </row>
    <row r="1139" spans="1:19">
      <c r="A1139" t="str">
        <f>LEFT(B1139, LEN(B1139)-15)</f>
        <v>Acer Aspire 3 A325-45 (UN.344SI.005) Laptop (Intel Celeron Dual Core/8 GB/256 GB SSD/Windows 11)</v>
      </c>
      <c r="B1139" t="s">
        <v>1694</v>
      </c>
      <c r="C1139" s="1">
        <v>24800</v>
      </c>
      <c r="D1139" s="1">
        <v>1094</v>
      </c>
      <c r="E1139" s="2">
        <v>80</v>
      </c>
      <c r="F1139" s="2" t="str" cm="1">
        <f t="array" ref="F1139">_xlfn.IFS(AND(101&gt;E1139, E1139&gt;69), "Top-Tier", AND(70&gt;E1139, E1139&gt;39), "Mid-Tier", 40&gt;E1139, "Low-Tier")</f>
        <v>Top-Tier</v>
      </c>
      <c r="G1139" s="4">
        <v>45658</v>
      </c>
      <c r="H1139" t="s">
        <v>1695</v>
      </c>
      <c r="I1139" t="s">
        <v>33</v>
      </c>
      <c r="J1139" t="s">
        <v>798</v>
      </c>
      <c r="K1139" t="s">
        <v>1696</v>
      </c>
      <c r="L1139" t="s">
        <v>24</v>
      </c>
      <c r="N1139" t="s">
        <v>31</v>
      </c>
      <c r="O1139" t="s">
        <v>291</v>
      </c>
      <c r="Q1139" t="str">
        <f>LEFT(B1139, 4)</f>
        <v>Acer</v>
      </c>
      <c r="R1139" t="str">
        <f t="shared" si="76"/>
        <v>Intel Core i5 (13th Gen)</v>
      </c>
      <c r="S1139" t="str">
        <f t="shared" si="75"/>
        <v xml:space="preserve">8 GB </v>
      </c>
    </row>
    <row r="1140" spans="1:19">
      <c r="A1140" t="str">
        <f>LEFT(B1140, LEN(B1140)-15)</f>
        <v>HP 15-bg005au (1DF77PA) Laptop (AMD Quad Core A6/4 GB/1 TB/DOS)</v>
      </c>
      <c r="B1140" t="s">
        <v>1697</v>
      </c>
      <c r="C1140" s="1">
        <v>23990</v>
      </c>
      <c r="D1140" s="1">
        <v>397</v>
      </c>
      <c r="E1140" s="2">
        <v>80</v>
      </c>
      <c r="F1140" s="2" t="str" cm="1">
        <f t="array" ref="F1140">_xlfn.IFS(AND(101&gt;E1140, E1140&gt;69), "Top-Tier", AND(70&gt;E1140, E1140&gt;39), "Mid-Tier", 40&gt;E1140, "Low-Tier")</f>
        <v>Top-Tier</v>
      </c>
      <c r="H1140" t="s">
        <v>1695</v>
      </c>
      <c r="I1140" t="s">
        <v>124</v>
      </c>
      <c r="J1140" t="s">
        <v>1144</v>
      </c>
      <c r="K1140" t="s">
        <v>705</v>
      </c>
      <c r="L1140" t="s">
        <v>24</v>
      </c>
      <c r="N1140" t="s">
        <v>31</v>
      </c>
      <c r="O1140" t="s">
        <v>152</v>
      </c>
      <c r="Q1140" t="str">
        <f>LEFT(B1140, 2)</f>
        <v>HP</v>
      </c>
      <c r="R1140" t="str">
        <f t="shared" si="76"/>
        <v>Intel Core i5 (13th Gen)</v>
      </c>
      <c r="S1140" t="str">
        <f t="shared" si="75"/>
        <v xml:space="preserve">4 GB </v>
      </c>
    </row>
    <row r="1141" spans="1:19">
      <c r="A1141" t="str">
        <f>LEFT(B1141, LEN(B1141)-15)</f>
        <v>HP 15-bg002AU (Z1D89PA) Laptop (AMD Quad Core A8/4 GB/1 TB/Windows 10)</v>
      </c>
      <c r="B1141" t="s">
        <v>1698</v>
      </c>
      <c r="C1141" s="1">
        <v>27225</v>
      </c>
      <c r="D1141" s="1">
        <v>9490</v>
      </c>
      <c r="E1141" s="2">
        <v>80</v>
      </c>
      <c r="F1141" s="2" t="str" cm="1">
        <f t="array" ref="F1141">_xlfn.IFS(AND(101&gt;E1141, E1141&gt;69), "Top-Tier", AND(70&gt;E1141, E1141&gt;39), "Mid-Tier", 40&gt;E1141, "Low-Tier")</f>
        <v>Top-Tier</v>
      </c>
      <c r="H1141" t="s">
        <v>1695</v>
      </c>
      <c r="I1141" t="s">
        <v>248</v>
      </c>
      <c r="J1141" t="s">
        <v>1144</v>
      </c>
      <c r="K1141" t="s">
        <v>705</v>
      </c>
      <c r="L1141" t="s">
        <v>24</v>
      </c>
      <c r="N1141" t="s">
        <v>31</v>
      </c>
      <c r="O1141" t="s">
        <v>152</v>
      </c>
      <c r="Q1141" t="str">
        <f>LEFT(B1141, 2)</f>
        <v>HP</v>
      </c>
      <c r="R1141" t="str">
        <f t="shared" si="76"/>
        <v>Intel Core i5 (13th Gen)</v>
      </c>
      <c r="S1141" t="str">
        <f t="shared" ref="S1141:S1204" si="77">LEFT(J1141, 5)</f>
        <v xml:space="preserve">4 GB </v>
      </c>
    </row>
    <row r="1142" spans="1:19">
      <c r="A1142" t="str">
        <f>LEFT(B1142, LEN(B1142)-15)</f>
        <v>Asus ROG Strix G16 G614JV-N4242WS Laptop (Core i9 13th Gen/16 GB/1 TB SSD/Windows 11/8 GB)</v>
      </c>
      <c r="B1142" t="s">
        <v>1699</v>
      </c>
      <c r="C1142" s="1">
        <v>158500</v>
      </c>
      <c r="D1142" s="1">
        <v>24</v>
      </c>
      <c r="E1142" s="2">
        <v>80</v>
      </c>
      <c r="F1142" s="2" t="str" cm="1">
        <f t="array" ref="F1142">_xlfn.IFS(AND(101&gt;E1142, E1142&gt;69), "Top-Tier", AND(70&gt;E1142, E1142&gt;39), "Mid-Tier", 40&gt;E1142, "Low-Tier")</f>
        <v>Top-Tier</v>
      </c>
      <c r="G1142" s="4">
        <v>45658</v>
      </c>
      <c r="H1142" t="s">
        <v>1695</v>
      </c>
      <c r="I1142" t="s">
        <v>33</v>
      </c>
      <c r="J1142" t="s">
        <v>72</v>
      </c>
      <c r="K1142" t="s">
        <v>547</v>
      </c>
      <c r="L1142" t="s">
        <v>24</v>
      </c>
      <c r="N1142" t="s">
        <v>31</v>
      </c>
      <c r="Q1142" t="str">
        <f>LEFT(B1142, 4)</f>
        <v>Asus</v>
      </c>
      <c r="R1142" t="str">
        <f t="shared" si="76"/>
        <v>Intel Core i5 (13th Gen)</v>
      </c>
      <c r="S1142" t="str">
        <f t="shared" si="77"/>
        <v>16 GB</v>
      </c>
    </row>
    <row r="1143" spans="1:19">
      <c r="A1143" t="str">
        <f>LEFT(B1143, LEN(B1143)-15)</f>
        <v>HP 15-fd0061TU (A33FPPA) Laptop (Core i3 12th Gen/8 GB/512 GB SSD/Windows 11)</v>
      </c>
      <c r="B1143" t="s">
        <v>1700</v>
      </c>
      <c r="C1143" s="1">
        <v>34999</v>
      </c>
      <c r="D1143" s="1">
        <v>1489</v>
      </c>
      <c r="E1143" s="2">
        <v>80</v>
      </c>
      <c r="F1143" s="2" t="str" cm="1">
        <f t="array" ref="F1143">_xlfn.IFS(AND(101&gt;E1143, E1143&gt;69), "Top-Tier", AND(70&gt;E1143, E1143&gt;39), "Mid-Tier", 40&gt;E1143, "Low-Tier")</f>
        <v>Top-Tier</v>
      </c>
      <c r="G1143" s="4">
        <v>45505</v>
      </c>
      <c r="H1143" t="s">
        <v>1695</v>
      </c>
      <c r="I1143" t="s">
        <v>33</v>
      </c>
      <c r="J1143" t="s">
        <v>50</v>
      </c>
      <c r="K1143" t="s">
        <v>51</v>
      </c>
      <c r="L1143" t="s">
        <v>24</v>
      </c>
      <c r="N1143" t="s">
        <v>31</v>
      </c>
      <c r="P1143" s="3">
        <v>71</v>
      </c>
      <c r="Q1143" t="str">
        <f>LEFT(B1143, 2)</f>
        <v>HP</v>
      </c>
      <c r="R1143" t="str">
        <f t="shared" si="76"/>
        <v>Intel Core i5 (13th Gen)</v>
      </c>
      <c r="S1143" t="str">
        <f t="shared" si="77"/>
        <v xml:space="preserve">8 GB </v>
      </c>
    </row>
    <row r="1144" spans="1:19">
      <c r="A1144" t="str">
        <f>LEFT(B1144, LEN(B1144)-15)</f>
        <v>Lenovo IdeaPad Slim 3 15IRU8 (82X700C8IN) Laptop (Core i3 13th Gen/8 GB/512 GB SSD/Windows 11)</v>
      </c>
      <c r="B1144" t="s">
        <v>1701</v>
      </c>
      <c r="C1144" s="1">
        <v>40190</v>
      </c>
      <c r="D1144" s="1">
        <v>590</v>
      </c>
      <c r="E1144" s="2">
        <v>80</v>
      </c>
      <c r="F1144" s="2" t="str" cm="1">
        <f t="array" ref="F1144">_xlfn.IFS(AND(101&gt;E1144, E1144&gt;69), "Top-Tier", AND(70&gt;E1144, E1144&gt;39), "Mid-Tier", 40&gt;E1144, "Low-Tier")</f>
        <v>Top-Tier</v>
      </c>
      <c r="G1144" s="4">
        <v>45627</v>
      </c>
      <c r="H1144" t="s">
        <v>1695</v>
      </c>
      <c r="I1144" t="s">
        <v>33</v>
      </c>
      <c r="J1144" t="s">
        <v>162</v>
      </c>
      <c r="K1144" t="s">
        <v>51</v>
      </c>
      <c r="L1144" t="s">
        <v>24</v>
      </c>
      <c r="M1144" t="s">
        <v>95</v>
      </c>
      <c r="N1144" t="s">
        <v>31</v>
      </c>
      <c r="P1144" s="3">
        <v>80</v>
      </c>
      <c r="Q1144" t="str">
        <f>LEFT(B1144, 6)</f>
        <v>Lenovo</v>
      </c>
      <c r="R1144" t="str">
        <f t="shared" si="76"/>
        <v>Intel Core i5 (13th Gen)</v>
      </c>
      <c r="S1144" t="str">
        <f t="shared" si="77"/>
        <v xml:space="preserve">8 GB </v>
      </c>
    </row>
    <row r="1145" spans="1:19">
      <c r="A1145" t="str">
        <f>LEFT(B1145, LEN(B1145)-15)</f>
        <v>Asus Vivobook 16X K3605ZF-RP458WS Laptop (Core i5 12th Gen/16 GB/512 GB SSD/Windows 11/4 GB)</v>
      </c>
      <c r="B1145" t="s">
        <v>1702</v>
      </c>
      <c r="C1145" s="1">
        <v>57990</v>
      </c>
      <c r="D1145" s="1">
        <v>37</v>
      </c>
      <c r="E1145" s="2">
        <v>80</v>
      </c>
      <c r="F1145" s="2" t="str" cm="1">
        <f t="array" ref="F1145">_xlfn.IFS(AND(101&gt;E1145, E1145&gt;69), "Top-Tier", AND(70&gt;E1145, E1145&gt;39), "Mid-Tier", 40&gt;E1145, "Low-Tier")</f>
        <v>Top-Tier</v>
      </c>
      <c r="G1145" s="4">
        <v>45658</v>
      </c>
      <c r="H1145" t="s">
        <v>1695</v>
      </c>
      <c r="I1145" t="s">
        <v>33</v>
      </c>
      <c r="J1145" t="s">
        <v>34</v>
      </c>
      <c r="K1145" t="s">
        <v>155</v>
      </c>
      <c r="L1145" t="s">
        <v>24</v>
      </c>
      <c r="M1145" t="s">
        <v>122</v>
      </c>
      <c r="N1145" t="s">
        <v>31</v>
      </c>
      <c r="P1145" s="3">
        <v>83</v>
      </c>
      <c r="Q1145" t="str">
        <f>LEFT(B1145, 4)</f>
        <v>Asus</v>
      </c>
      <c r="R1145" t="str">
        <f t="shared" si="76"/>
        <v>Intel Core i5 (13th Gen)</v>
      </c>
      <c r="S1145" t="str">
        <f t="shared" si="77"/>
        <v>16 GB</v>
      </c>
    </row>
    <row r="1146" spans="1:19">
      <c r="A1146" t="str">
        <f>LEFT(B1146, LEN(B1146)-15)</f>
        <v>Acer Swift Neo OLED AI PC SFN14-54H (UN.35GSI.002) Laptop (Core Ultra 5/16 GB/512 GB SSD/Windows 11)</v>
      </c>
      <c r="B1146" t="s">
        <v>1703</v>
      </c>
      <c r="C1146" s="1">
        <v>61990</v>
      </c>
      <c r="D1146" s="1">
        <v>24</v>
      </c>
      <c r="E1146" s="2">
        <v>80</v>
      </c>
      <c r="F1146" s="2" t="str" cm="1">
        <f t="array" ref="F1146">_xlfn.IFS(AND(101&gt;E1146, E1146&gt;69), "Top-Tier", AND(70&gt;E1146, E1146&gt;39), "Mid-Tier", 40&gt;E1146, "Low-Tier")</f>
        <v>Top-Tier</v>
      </c>
      <c r="G1146" s="4">
        <v>45778</v>
      </c>
      <c r="H1146" t="s">
        <v>1695</v>
      </c>
      <c r="I1146" t="s">
        <v>33</v>
      </c>
      <c r="J1146" t="s">
        <v>121</v>
      </c>
      <c r="K1146" t="s">
        <v>59</v>
      </c>
      <c r="L1146" t="s">
        <v>24</v>
      </c>
      <c r="M1146" t="s">
        <v>108</v>
      </c>
      <c r="N1146" t="s">
        <v>31</v>
      </c>
      <c r="P1146" s="3">
        <v>82</v>
      </c>
      <c r="Q1146" t="str">
        <f>LEFT(B1146, 4)</f>
        <v>Acer</v>
      </c>
      <c r="R1146" t="str">
        <f t="shared" si="76"/>
        <v>Intel Core i5 (13th Gen)</v>
      </c>
      <c r="S1146" t="str">
        <f t="shared" si="77"/>
        <v>16 GB</v>
      </c>
    </row>
    <row r="1147" spans="1:19">
      <c r="A1147" t="str">
        <f>LEFT(B1147, LEN(B1147)-15)</f>
        <v>Acer Swift Neo OLED AI PC SFN14-54H (UN.35GSI.004) Laptop (Core Ultra 5/16 GB/1 TB SSD/Windows 11)</v>
      </c>
      <c r="B1147" t="s">
        <v>1704</v>
      </c>
      <c r="C1147" s="1">
        <v>104999</v>
      </c>
      <c r="D1147" s="1">
        <v>24</v>
      </c>
      <c r="E1147" s="2">
        <v>80</v>
      </c>
      <c r="F1147" s="2" t="str" cm="1">
        <f t="array" ref="F1147">_xlfn.IFS(AND(101&gt;E1147, E1147&gt;69), "Top-Tier", AND(70&gt;E1147, E1147&gt;39), "Mid-Tier", 40&gt;E1147, "Low-Tier")</f>
        <v>Top-Tier</v>
      </c>
      <c r="G1147" s="4">
        <v>45778</v>
      </c>
      <c r="H1147" t="s">
        <v>1705</v>
      </c>
      <c r="I1147" t="s">
        <v>33</v>
      </c>
      <c r="J1147" t="s">
        <v>167</v>
      </c>
      <c r="K1147" t="s">
        <v>59</v>
      </c>
      <c r="L1147" t="s">
        <v>24</v>
      </c>
      <c r="M1147" t="s">
        <v>108</v>
      </c>
      <c r="N1147" t="s">
        <v>31</v>
      </c>
      <c r="P1147" s="3">
        <v>83</v>
      </c>
      <c r="Q1147" t="str">
        <f>LEFT(B1147, 4)</f>
        <v>Acer</v>
      </c>
      <c r="R1147" t="str">
        <f t="shared" si="76"/>
        <v>Intel Core i5 (13th Gen)</v>
      </c>
      <c r="S1147" t="str">
        <f t="shared" si="77"/>
        <v>16 GB</v>
      </c>
    </row>
    <row r="1148" spans="1:19">
      <c r="A1148" t="str">
        <f>LEFT(B1148, LEN(B1148)-15)</f>
        <v>Acer Aspire 3 A324-45 (UN.342SI.003) Laptop (Intel Celeron Dual Core/8 GB/256 GB SSD/Windows 11)</v>
      </c>
      <c r="B1148" t="s">
        <v>1706</v>
      </c>
      <c r="C1148" s="1">
        <v>21490</v>
      </c>
      <c r="D1148" s="1">
        <v>1006</v>
      </c>
      <c r="E1148" s="2">
        <v>80</v>
      </c>
      <c r="F1148" s="2" t="str" cm="1">
        <f t="array" ref="F1148">_xlfn.IFS(AND(101&gt;E1148, E1148&gt;69), "Top-Tier", AND(70&gt;E1148, E1148&gt;39), "Mid-Tier", 40&gt;E1148, "Low-Tier")</f>
        <v>Top-Tier</v>
      </c>
      <c r="G1148" s="4">
        <v>45474</v>
      </c>
      <c r="H1148" t="s">
        <v>1705</v>
      </c>
      <c r="I1148" t="s">
        <v>33</v>
      </c>
      <c r="J1148" t="s">
        <v>798</v>
      </c>
      <c r="K1148" t="s">
        <v>224</v>
      </c>
      <c r="L1148" t="s">
        <v>24</v>
      </c>
      <c r="M1148" t="s">
        <v>132</v>
      </c>
      <c r="N1148" t="s">
        <v>31</v>
      </c>
      <c r="O1148" t="s">
        <v>152</v>
      </c>
      <c r="Q1148" t="str">
        <f>LEFT(B1148, 4)</f>
        <v>Acer</v>
      </c>
      <c r="R1148" t="str">
        <f t="shared" si="76"/>
        <v>Intel Core i5 (13th Gen)</v>
      </c>
      <c r="S1148" t="str">
        <f t="shared" si="77"/>
        <v xml:space="preserve">8 GB </v>
      </c>
    </row>
    <row r="1149" spans="1:19">
      <c r="A1149" t="str">
        <f>LEFT(B1149, LEN(B1149)-15)</f>
        <v>Lenovo V15 Gen 4 (83CQ0006IN) Laptop (AMD Quad Core Ryzen 3/8 GB/512 GB SSD/Windows 11)</v>
      </c>
      <c r="B1149" t="s">
        <v>1707</v>
      </c>
      <c r="C1149" s="1">
        <v>27790</v>
      </c>
      <c r="D1149" s="1">
        <v>101</v>
      </c>
      <c r="E1149" s="2">
        <v>80</v>
      </c>
      <c r="F1149" s="2" t="str" cm="1">
        <f t="array" ref="F1149">_xlfn.IFS(AND(101&gt;E1149, E1149&gt;69), "Top-Tier", AND(70&gt;E1149, E1149&gt;39), "Mid-Tier", 40&gt;E1149, "Low-Tier")</f>
        <v>Top-Tier</v>
      </c>
      <c r="G1149" s="4">
        <v>45505</v>
      </c>
      <c r="H1149" t="s">
        <v>1705</v>
      </c>
      <c r="I1149" t="s">
        <v>33</v>
      </c>
      <c r="J1149" t="s">
        <v>162</v>
      </c>
      <c r="K1149" t="s">
        <v>217</v>
      </c>
      <c r="L1149" t="s">
        <v>24</v>
      </c>
      <c r="N1149" t="s">
        <v>31</v>
      </c>
      <c r="P1149" s="3">
        <v>72</v>
      </c>
      <c r="Q1149" t="str">
        <f>LEFT(B1149, 6)</f>
        <v>Lenovo</v>
      </c>
      <c r="R1149" t="str">
        <f t="shared" si="76"/>
        <v>Intel Core i5 (13th Gen)</v>
      </c>
      <c r="S1149" t="str">
        <f t="shared" si="77"/>
        <v xml:space="preserve">8 GB </v>
      </c>
    </row>
    <row r="1150" spans="1:19">
      <c r="A1150" t="str">
        <f>LEFT(B1150, LEN(B1150)-15)</f>
        <v>Lenovo IdeaPad 3 15IAU7 (82RK017PIN) Laptop (Core i3 12th Gen/8 GB/512 GB SSD/Windows 11)</v>
      </c>
      <c r="B1150" t="s">
        <v>1708</v>
      </c>
      <c r="C1150" s="1">
        <v>34990</v>
      </c>
      <c r="D1150" s="1">
        <v>500</v>
      </c>
      <c r="E1150" s="2">
        <v>80</v>
      </c>
      <c r="F1150" s="2" t="str" cm="1">
        <f t="array" ref="F1150">_xlfn.IFS(AND(101&gt;E1150, E1150&gt;69), "Top-Tier", AND(70&gt;E1150, E1150&gt;39), "Mid-Tier", 40&gt;E1150, "Low-Tier")</f>
        <v>Top-Tier</v>
      </c>
      <c r="G1150" s="4">
        <v>45597</v>
      </c>
      <c r="H1150" t="s">
        <v>1705</v>
      </c>
      <c r="I1150" t="s">
        <v>33</v>
      </c>
      <c r="J1150" t="s">
        <v>50</v>
      </c>
      <c r="K1150" t="s">
        <v>217</v>
      </c>
      <c r="L1150" t="s">
        <v>24</v>
      </c>
      <c r="M1150" t="s">
        <v>253</v>
      </c>
      <c r="N1150" t="s">
        <v>31</v>
      </c>
      <c r="P1150" s="3">
        <v>72</v>
      </c>
      <c r="Q1150" t="str">
        <f>LEFT(B1150, 6)</f>
        <v>Lenovo</v>
      </c>
      <c r="R1150" t="str">
        <f t="shared" si="76"/>
        <v>Intel Core i5 (13th Gen)</v>
      </c>
      <c r="S1150" t="str">
        <f t="shared" si="77"/>
        <v xml:space="preserve">8 GB </v>
      </c>
    </row>
    <row r="1151" spans="1:19">
      <c r="A1151" t="str">
        <f>LEFT(B1151, LEN(B1151)-15)</f>
        <v>Lenovo IdeaPad 3 14IAU7 (82RJ00FKIN) Laptop (Core i3 12th Gen/8 GB/512 GB SSD/Windows 11)</v>
      </c>
      <c r="B1151" t="s">
        <v>1709</v>
      </c>
      <c r="C1151" s="1">
        <v>36190</v>
      </c>
      <c r="D1151" s="1">
        <v>599</v>
      </c>
      <c r="E1151" s="2">
        <v>80</v>
      </c>
      <c r="F1151" s="2" t="str" cm="1">
        <f t="array" ref="F1151">_xlfn.IFS(AND(101&gt;E1151, E1151&gt;69), "Top-Tier", AND(70&gt;E1151, E1151&gt;39), "Mid-Tier", 40&gt;E1151, "Low-Tier")</f>
        <v>Top-Tier</v>
      </c>
      <c r="G1151" s="4">
        <v>45474</v>
      </c>
      <c r="H1151" t="s">
        <v>1705</v>
      </c>
      <c r="I1151" t="s">
        <v>33</v>
      </c>
      <c r="J1151" t="s">
        <v>50</v>
      </c>
      <c r="K1151" t="s">
        <v>1140</v>
      </c>
      <c r="L1151" t="s">
        <v>24</v>
      </c>
      <c r="M1151" t="s">
        <v>52</v>
      </c>
      <c r="N1151" t="s">
        <v>31</v>
      </c>
      <c r="P1151" s="3">
        <v>73</v>
      </c>
      <c r="Q1151" t="str">
        <f>LEFT(B1151, 6)</f>
        <v>Lenovo</v>
      </c>
      <c r="R1151" t="str">
        <f t="shared" si="76"/>
        <v>Intel Core i5 (13th Gen)</v>
      </c>
      <c r="S1151" t="str">
        <f t="shared" si="77"/>
        <v xml:space="preserve">8 GB </v>
      </c>
    </row>
    <row r="1152" spans="1:19">
      <c r="A1152" t="str">
        <f>LEFT(B1152, LEN(B1152)-15)</f>
        <v>Asus TUF Gaming A15 FA577RM-HF031WS Laptop (AMD Octa Core Ryzen 7/16 GB/1 TB SSD/Windows 11/6 GB)</v>
      </c>
      <c r="B1152" t="s">
        <v>1710</v>
      </c>
      <c r="C1152" s="1">
        <v>107850</v>
      </c>
      <c r="D1152" s="1">
        <v>18</v>
      </c>
      <c r="E1152" s="2">
        <v>80</v>
      </c>
      <c r="F1152" s="2" t="str" cm="1">
        <f t="array" ref="F1152">_xlfn.IFS(AND(101&gt;E1152, E1152&gt;69), "Top-Tier", AND(70&gt;E1152, E1152&gt;39), "Mid-Tier", 40&gt;E1152, "Low-Tier")</f>
        <v>Top-Tier</v>
      </c>
      <c r="G1152" s="4">
        <v>44774</v>
      </c>
      <c r="H1152" t="s">
        <v>1705</v>
      </c>
      <c r="I1152" t="s">
        <v>33</v>
      </c>
      <c r="J1152" t="s">
        <v>72</v>
      </c>
      <c r="K1152" t="s">
        <v>51</v>
      </c>
      <c r="L1152" t="s">
        <v>24</v>
      </c>
      <c r="M1152" t="s">
        <v>1307</v>
      </c>
      <c r="N1152" t="s">
        <v>31</v>
      </c>
      <c r="Q1152" t="str">
        <f>LEFT(B1152, 4)</f>
        <v>Asus</v>
      </c>
      <c r="R1152" t="str">
        <f t="shared" si="76"/>
        <v>Intel Core i5 (13th Gen)</v>
      </c>
      <c r="S1152" t="str">
        <f t="shared" si="77"/>
        <v>16 GB</v>
      </c>
    </row>
    <row r="1153" spans="1:19">
      <c r="A1153" t="str">
        <f>LEFT(B1153, LEN(B1153)-15)</f>
        <v>HP Pavilion 15-au620tx (Z4Q39PA) Laptop (Core i5 7th Gen/8 GB/1 TB/Windows 10/2 GB)</v>
      </c>
      <c r="B1153" t="s">
        <v>1711</v>
      </c>
      <c r="C1153" s="1">
        <v>61654</v>
      </c>
      <c r="D1153" s="1">
        <v>456</v>
      </c>
      <c r="E1153" s="2">
        <v>80</v>
      </c>
      <c r="F1153" s="2" t="str" cm="1">
        <f t="array" ref="F1153">_xlfn.IFS(AND(101&gt;E1153, E1153&gt;69), "Top-Tier", AND(70&gt;E1153, E1153&gt;39), "Mid-Tier", 40&gt;E1153, "Low-Tier")</f>
        <v>Top-Tier</v>
      </c>
      <c r="H1153" t="s">
        <v>1705</v>
      </c>
      <c r="I1153" t="s">
        <v>248</v>
      </c>
      <c r="J1153" t="s">
        <v>332</v>
      </c>
      <c r="K1153" t="s">
        <v>705</v>
      </c>
      <c r="L1153" t="s">
        <v>24</v>
      </c>
      <c r="N1153" t="s">
        <v>31</v>
      </c>
      <c r="O1153" t="s">
        <v>261</v>
      </c>
      <c r="Q1153" t="str">
        <f>LEFT(B1153, 2)</f>
        <v>HP</v>
      </c>
      <c r="R1153" t="str">
        <f t="shared" si="76"/>
        <v>Intel Core i5 (13th Gen)</v>
      </c>
      <c r="S1153" t="str">
        <f t="shared" si="77"/>
        <v xml:space="preserve">8 GB </v>
      </c>
    </row>
    <row r="1154" spans="1:19">
      <c r="A1154" t="str">
        <f>LEFT(B1154, LEN(B1154)-15)</f>
        <v>Dell Inspiron 15 3525 (D560765WIN9S) Laptop (AMD Dual Core Athlon/8 GB/256 GB SSD/Windows 11)</v>
      </c>
      <c r="B1154" t="s">
        <v>1712</v>
      </c>
      <c r="C1154" s="1">
        <v>49852</v>
      </c>
      <c r="D1154" s="1">
        <v>322</v>
      </c>
      <c r="E1154" s="2">
        <v>80</v>
      </c>
      <c r="F1154" s="2" t="str" cm="1">
        <f t="array" ref="F1154">_xlfn.IFS(AND(101&gt;E1154, E1154&gt;69), "Top-Tier", AND(70&gt;E1154, E1154&gt;39), "Mid-Tier", 40&gt;E1154, "Low-Tier")</f>
        <v>Top-Tier</v>
      </c>
      <c r="G1154" s="4">
        <v>44621</v>
      </c>
      <c r="H1154" t="s">
        <v>1705</v>
      </c>
      <c r="I1154" t="s">
        <v>33</v>
      </c>
      <c r="J1154" t="s">
        <v>338</v>
      </c>
      <c r="K1154" t="s">
        <v>705</v>
      </c>
      <c r="L1154" t="s">
        <v>24</v>
      </c>
      <c r="M1154" t="s">
        <v>1713</v>
      </c>
      <c r="N1154" t="s">
        <v>31</v>
      </c>
      <c r="Q1154" t="str">
        <f>LEFT(B1154, 4)</f>
        <v>Dell</v>
      </c>
      <c r="R1154" t="str">
        <f t="shared" si="76"/>
        <v>Intel Core i5 (13th Gen)</v>
      </c>
      <c r="S1154" t="str">
        <f t="shared" si="77"/>
        <v xml:space="preserve">8 GB </v>
      </c>
    </row>
    <row r="1155" spans="1:19">
      <c r="A1155" t="str">
        <f>LEFT(B1155, LEN(B1155)-15)</f>
        <v>Asus Zenbook 14 OLED UX3405CA-PZ163WS Laptop (Core Ultra 7/32 GB/1 TB SSD/Windows 11)</v>
      </c>
      <c r="B1155" t="s">
        <v>1714</v>
      </c>
      <c r="C1155" s="1">
        <v>127990</v>
      </c>
      <c r="D1155" s="1">
        <v>12</v>
      </c>
      <c r="E1155" s="2">
        <v>80</v>
      </c>
      <c r="F1155" s="2" t="str" cm="1">
        <f t="array" ref="F1155">_xlfn.IFS(AND(101&gt;E1155, E1155&gt;69), "Top-Tier", AND(70&gt;E1155, E1155&gt;39), "Mid-Tier", 40&gt;E1155, "Low-Tier")</f>
        <v>Top-Tier</v>
      </c>
      <c r="G1155" s="4">
        <v>45689</v>
      </c>
      <c r="H1155" t="s">
        <v>1705</v>
      </c>
      <c r="I1155" t="s">
        <v>33</v>
      </c>
      <c r="J1155" t="s">
        <v>58</v>
      </c>
      <c r="K1155" t="s">
        <v>81</v>
      </c>
      <c r="L1155" t="s">
        <v>24</v>
      </c>
      <c r="M1155" t="s">
        <v>108</v>
      </c>
      <c r="N1155" t="s">
        <v>31</v>
      </c>
      <c r="Q1155" t="str">
        <f>LEFT(B1155, 4)</f>
        <v>Asus</v>
      </c>
      <c r="R1155" t="str">
        <f t="shared" si="76"/>
        <v>Intel Core i5 (13th Gen)</v>
      </c>
      <c r="S1155" t="str">
        <f t="shared" si="77"/>
        <v>32 GB</v>
      </c>
    </row>
    <row r="1156" spans="1:19">
      <c r="A1156" t="str">
        <f>LEFT(B1156, LEN(B1156)-15)</f>
        <v>Asus Zenbook 14 OLED UX3405CA-PZ348WS Laptop (Core Ultra 7/32 GB/1 TB SSD/Windows 11)</v>
      </c>
      <c r="B1156" t="s">
        <v>1715</v>
      </c>
      <c r="C1156" s="1">
        <v>127990</v>
      </c>
      <c r="D1156" s="1">
        <v>12</v>
      </c>
      <c r="E1156" s="2">
        <v>80</v>
      </c>
      <c r="F1156" s="2" t="str" cm="1">
        <f t="array" ref="F1156">_xlfn.IFS(AND(101&gt;E1156, E1156&gt;69), "Top-Tier", AND(70&gt;E1156, E1156&gt;39), "Mid-Tier", 40&gt;E1156, "Low-Tier")</f>
        <v>Top-Tier</v>
      </c>
      <c r="G1156" s="4">
        <v>45689</v>
      </c>
      <c r="H1156" t="s">
        <v>1705</v>
      </c>
      <c r="I1156" t="s">
        <v>33</v>
      </c>
      <c r="J1156" t="s">
        <v>58</v>
      </c>
      <c r="K1156" t="s">
        <v>81</v>
      </c>
      <c r="L1156" t="s">
        <v>24</v>
      </c>
      <c r="M1156" t="s">
        <v>108</v>
      </c>
      <c r="N1156" t="s">
        <v>31</v>
      </c>
      <c r="Q1156" t="str">
        <f>LEFT(B1156, 4)</f>
        <v>Asus</v>
      </c>
      <c r="R1156" t="str">
        <f t="shared" ref="R1156:R1219" si="78">LEFT(H1155, 24)</f>
        <v>Intel Core i5 (13th Gen)</v>
      </c>
      <c r="S1156" t="str">
        <f t="shared" si="77"/>
        <v>32 GB</v>
      </c>
    </row>
    <row r="1157" spans="1:19">
      <c r="A1157" t="str">
        <f>LEFT(B1157, LEN(B1157)-15)</f>
        <v>Asus VivoBook S15 OLED S5504VA-MA943WS Laptop (Core i9 13th Gen/16 GB/512 GB SSD/Windows 11)</v>
      </c>
      <c r="B1157" t="s">
        <v>1716</v>
      </c>
      <c r="C1157" s="1">
        <v>84950</v>
      </c>
      <c r="D1157" s="1">
        <v>52</v>
      </c>
      <c r="E1157" s="2">
        <v>80</v>
      </c>
      <c r="F1157" s="2" t="str" cm="1">
        <f t="array" ref="F1157">_xlfn.IFS(AND(101&gt;E1157, E1157&gt;69), "Top-Tier", AND(70&gt;E1157, E1157&gt;39), "Mid-Tier", 40&gt;E1157, "Low-Tier")</f>
        <v>Top-Tier</v>
      </c>
      <c r="G1157" s="4">
        <v>45505</v>
      </c>
      <c r="H1157" t="s">
        <v>1705</v>
      </c>
      <c r="I1157" t="s">
        <v>33</v>
      </c>
      <c r="J1157" t="s">
        <v>121</v>
      </c>
      <c r="K1157" t="s">
        <v>43</v>
      </c>
      <c r="L1157" t="s">
        <v>24</v>
      </c>
      <c r="M1157" t="s">
        <v>95</v>
      </c>
      <c r="N1157" t="s">
        <v>31</v>
      </c>
      <c r="P1157" s="3">
        <v>84</v>
      </c>
      <c r="Q1157" t="str">
        <f>LEFT(B1157, 4)</f>
        <v>Asus</v>
      </c>
      <c r="R1157" t="str">
        <f t="shared" si="78"/>
        <v>Intel Core i5 (13th Gen)</v>
      </c>
      <c r="S1157" t="str">
        <f t="shared" si="77"/>
        <v>16 GB</v>
      </c>
    </row>
    <row r="1158" spans="1:19">
      <c r="A1158" t="str">
        <f>LEFT(B1158, LEN(B1158)-15)</f>
        <v>Asus VivoBook 14 X412DA-EK140T Ultrabook (AMD Quad Core Ryzen 5/8 GB/1 TB/Windows 10)</v>
      </c>
      <c r="B1158" t="s">
        <v>1717</v>
      </c>
      <c r="C1158" s="1">
        <v>41990</v>
      </c>
      <c r="D1158" s="1">
        <v>174</v>
      </c>
      <c r="E1158" s="2">
        <v>80</v>
      </c>
      <c r="F1158" s="2" t="str" cm="1">
        <f t="array" ref="F1158">_xlfn.IFS(AND(101&gt;E1158, E1158&gt;69), "Top-Tier", AND(70&gt;E1158, E1158&gt;39), "Mid-Tier", 40&gt;E1158, "Low-Tier")</f>
        <v>Top-Tier</v>
      </c>
      <c r="G1158" s="4">
        <v>43800</v>
      </c>
      <c r="H1158" t="s">
        <v>1705</v>
      </c>
      <c r="I1158" t="s">
        <v>248</v>
      </c>
      <c r="J1158" t="s">
        <v>332</v>
      </c>
      <c r="K1158" t="s">
        <v>439</v>
      </c>
      <c r="L1158" t="s">
        <v>24</v>
      </c>
      <c r="M1158" t="s">
        <v>52</v>
      </c>
      <c r="N1158" t="s">
        <v>31</v>
      </c>
      <c r="Q1158" t="str">
        <f>LEFT(B1158, 4)</f>
        <v>Asus</v>
      </c>
      <c r="R1158" t="str">
        <f t="shared" si="78"/>
        <v>Intel Core i5 (13th Gen)</v>
      </c>
      <c r="S1158" t="str">
        <f t="shared" si="77"/>
        <v xml:space="preserve">8 GB </v>
      </c>
    </row>
    <row r="1159" spans="1:19">
      <c r="A1159" t="str">
        <f>LEFT(B1159, LEN(B1159)-15)</f>
        <v>Dell Inspiron 15 3567 (A561208HIN9) Laptop (Core i3 6th Gen/4 GB/1 TB/Windows 10)</v>
      </c>
      <c r="B1159" t="s">
        <v>1718</v>
      </c>
      <c r="C1159" s="1">
        <v>32050</v>
      </c>
      <c r="D1159" s="1">
        <v>434</v>
      </c>
      <c r="E1159" s="2">
        <v>80</v>
      </c>
      <c r="F1159" s="2" t="str" cm="1">
        <f t="array" ref="F1159">_xlfn.IFS(AND(101&gt;E1159, E1159&gt;69), "Top-Tier", AND(70&gt;E1159, E1159&gt;39), "Mid-Tier", 40&gt;E1159, "Low-Tier")</f>
        <v>Top-Tier</v>
      </c>
      <c r="H1159" t="s">
        <v>1705</v>
      </c>
      <c r="I1159" t="s">
        <v>248</v>
      </c>
      <c r="J1159" t="s">
        <v>542</v>
      </c>
      <c r="K1159" t="s">
        <v>705</v>
      </c>
      <c r="L1159" t="s">
        <v>24</v>
      </c>
      <c r="N1159" t="s">
        <v>31</v>
      </c>
      <c r="O1159" t="s">
        <v>152</v>
      </c>
      <c r="Q1159" t="str">
        <f>LEFT(B1159, 4)</f>
        <v>Dell</v>
      </c>
      <c r="R1159" t="str">
        <f t="shared" si="78"/>
        <v>Intel Core i5 (13th Gen)</v>
      </c>
      <c r="S1159" t="str">
        <f t="shared" si="77"/>
        <v xml:space="preserve">4 GB </v>
      </c>
    </row>
    <row r="1160" spans="1:19">
      <c r="A1160" t="str">
        <f>LEFT(B1160, LEN(B1160)-15)</f>
        <v>Asus Vivobook X540YA-XO106T Laptop (AMD Quad Core A8/4 GB/1 TB/Windows 10)</v>
      </c>
      <c r="B1160" t="s">
        <v>1719</v>
      </c>
      <c r="C1160" s="1">
        <v>24999</v>
      </c>
      <c r="D1160" s="1">
        <v>1466</v>
      </c>
      <c r="E1160" s="2">
        <v>80</v>
      </c>
      <c r="F1160" s="2" t="str" cm="1">
        <f t="array" ref="F1160">_xlfn.IFS(AND(101&gt;E1160, E1160&gt;69), "Top-Tier", AND(70&gt;E1160, E1160&gt;39), "Mid-Tier", 40&gt;E1160, "Low-Tier")</f>
        <v>Top-Tier</v>
      </c>
      <c r="H1160" t="s">
        <v>1705</v>
      </c>
      <c r="I1160" t="s">
        <v>248</v>
      </c>
      <c r="J1160" t="s">
        <v>1144</v>
      </c>
      <c r="K1160" t="s">
        <v>249</v>
      </c>
      <c r="L1160" t="s">
        <v>24</v>
      </c>
      <c r="N1160" t="s">
        <v>31</v>
      </c>
      <c r="O1160" t="s">
        <v>261</v>
      </c>
      <c r="Q1160" t="str">
        <f>LEFT(B1160, 4)</f>
        <v>Asus</v>
      </c>
      <c r="R1160" t="str">
        <f t="shared" si="78"/>
        <v>Intel Core i5 (13th Gen)</v>
      </c>
      <c r="S1160" t="str">
        <f t="shared" si="77"/>
        <v xml:space="preserve">4 GB </v>
      </c>
    </row>
    <row r="1161" spans="1:19">
      <c r="A1161" t="str">
        <f>LEFT(B1161, LEN(B1161)-15)</f>
        <v>HP 15-bs545tu (2EY87PA) Laptop (Pentium Quad Core/4 GB/1 TB/DOS)</v>
      </c>
      <c r="B1161" t="s">
        <v>1720</v>
      </c>
      <c r="C1161" s="1">
        <v>23490</v>
      </c>
      <c r="D1161" s="1">
        <v>176</v>
      </c>
      <c r="E1161" s="2">
        <v>80</v>
      </c>
      <c r="F1161" s="2" t="str" cm="1">
        <f t="array" ref="F1161">_xlfn.IFS(AND(101&gt;E1161, E1161&gt;69), "Top-Tier", AND(70&gt;E1161, E1161&gt;39), "Mid-Tier", 40&gt;E1161, "Low-Tier")</f>
        <v>Top-Tier</v>
      </c>
      <c r="H1161" t="s">
        <v>1705</v>
      </c>
      <c r="I1161" t="s">
        <v>124</v>
      </c>
      <c r="J1161" t="s">
        <v>1144</v>
      </c>
      <c r="K1161" t="s">
        <v>705</v>
      </c>
      <c r="L1161" t="s">
        <v>24</v>
      </c>
      <c r="N1161" t="s">
        <v>31</v>
      </c>
      <c r="Q1161" t="str">
        <f>LEFT(B1161, 2)</f>
        <v>HP</v>
      </c>
      <c r="R1161" t="str">
        <f t="shared" si="78"/>
        <v>Intel Core i5 (13th Gen)</v>
      </c>
      <c r="S1161" t="str">
        <f t="shared" si="77"/>
        <v xml:space="preserve">4 GB </v>
      </c>
    </row>
    <row r="1162" spans="1:19">
      <c r="A1162" t="str">
        <f>LEFT(B1162, LEN(B1162)-15)</f>
        <v>HP OmniBook 5 16-AG1048AU (BH4K2PA) Laptop (AMD Octa Core Ryzen AI 7/16 GB/512 GB SSD/Windows 11)</v>
      </c>
      <c r="B1162" t="s">
        <v>1721</v>
      </c>
      <c r="C1162" s="1">
        <v>83990</v>
      </c>
      <c r="D1162" s="1">
        <v>2</v>
      </c>
      <c r="E1162" s="2">
        <v>80</v>
      </c>
      <c r="F1162" s="2" t="str" cm="1">
        <f t="array" ref="F1162">_xlfn.IFS(AND(101&gt;E1162, E1162&gt;69), "Top-Tier", AND(70&gt;E1162, E1162&gt;39), "Mid-Tier", 40&gt;E1162, "Low-Tier")</f>
        <v>Top-Tier</v>
      </c>
      <c r="G1162" s="4">
        <v>45748</v>
      </c>
      <c r="H1162" t="s">
        <v>1705</v>
      </c>
      <c r="I1162" t="s">
        <v>33</v>
      </c>
      <c r="J1162" t="s">
        <v>63</v>
      </c>
      <c r="K1162" t="s">
        <v>155</v>
      </c>
      <c r="L1162" t="s">
        <v>24</v>
      </c>
      <c r="M1162" t="s">
        <v>95</v>
      </c>
      <c r="N1162" t="s">
        <v>31</v>
      </c>
      <c r="P1162" s="3">
        <v>77</v>
      </c>
      <c r="Q1162" t="str">
        <f>LEFT(B1162, 2)</f>
        <v>HP</v>
      </c>
      <c r="R1162" t="str">
        <f t="shared" si="78"/>
        <v>Intel Core i5 (13th Gen)</v>
      </c>
      <c r="S1162" t="str">
        <f t="shared" si="77"/>
        <v>16 GB</v>
      </c>
    </row>
    <row r="1163" spans="1:19">
      <c r="A1163" t="str">
        <f>LEFT(B1163, LEN(B1163)-15)</f>
        <v>Apple MacBook Pro M4 MW2V3HN/A Ultrabook (Apple M4/16 GB/1 TB SSD/macOS Sequoia)</v>
      </c>
      <c r="B1163" t="s">
        <v>1722</v>
      </c>
      <c r="C1163" s="1">
        <v>182990</v>
      </c>
      <c r="D1163" s="1">
        <v>5</v>
      </c>
      <c r="E1163" s="2">
        <v>80</v>
      </c>
      <c r="F1163" s="2" t="str" cm="1">
        <f t="array" ref="F1163">_xlfn.IFS(AND(101&gt;E1163, E1163&gt;69), "Top-Tier", AND(70&gt;E1163, E1163&gt;39), "Mid-Tier", 40&gt;E1163, "Low-Tier")</f>
        <v>Top-Tier</v>
      </c>
      <c r="G1163" s="4">
        <v>45597</v>
      </c>
      <c r="H1163" t="s">
        <v>1705</v>
      </c>
      <c r="I1163" t="s">
        <v>21</v>
      </c>
      <c r="J1163" t="s">
        <v>90</v>
      </c>
      <c r="K1163" t="s">
        <v>29</v>
      </c>
      <c r="L1163" t="s">
        <v>24</v>
      </c>
      <c r="M1163" t="s">
        <v>30</v>
      </c>
      <c r="N1163" t="s">
        <v>31</v>
      </c>
      <c r="P1163" s="3">
        <v>86</v>
      </c>
      <c r="Q1163" t="str">
        <f>LEFT(B1163, 5)</f>
        <v>Apple</v>
      </c>
      <c r="R1163" t="str">
        <f t="shared" si="78"/>
        <v>Intel Core i5 (13th Gen)</v>
      </c>
      <c r="S1163" t="str">
        <f t="shared" si="77"/>
        <v>16 GB</v>
      </c>
    </row>
    <row r="1164" spans="1:19">
      <c r="A1164" t="str">
        <f>LEFT(B1164, LEN(B1164)-15)</f>
        <v>HP Omen 16-C0138AX (4A3E3PA) Laptop (AMD Octa Core Ryzen 7/16 GB/512 GB SSD/Windows 11/4 GB)</v>
      </c>
      <c r="B1164" t="s">
        <v>1723</v>
      </c>
      <c r="C1164" s="1">
        <v>99990</v>
      </c>
      <c r="D1164" s="1">
        <v>44</v>
      </c>
      <c r="E1164" s="2">
        <v>80</v>
      </c>
      <c r="F1164" s="2" t="str" cm="1">
        <f t="array" ref="F1164">_xlfn.IFS(AND(101&gt;E1164, E1164&gt;69), "Top-Tier", AND(70&gt;E1164, E1164&gt;39), "Mid-Tier", 40&gt;E1164, "Low-Tier")</f>
        <v>Top-Tier</v>
      </c>
      <c r="G1164" s="4">
        <v>44593</v>
      </c>
      <c r="H1164" t="s">
        <v>1705</v>
      </c>
      <c r="I1164" t="s">
        <v>33</v>
      </c>
      <c r="J1164" t="s">
        <v>34</v>
      </c>
      <c r="K1164" t="s">
        <v>271</v>
      </c>
      <c r="L1164" t="s">
        <v>24</v>
      </c>
      <c r="N1164" t="s">
        <v>31</v>
      </c>
      <c r="O1164" t="s">
        <v>291</v>
      </c>
      <c r="P1164" s="3">
        <v>81</v>
      </c>
      <c r="Q1164" t="str">
        <f>LEFT(B1164, 2)</f>
        <v>HP</v>
      </c>
      <c r="R1164" t="str">
        <f t="shared" si="78"/>
        <v>Intel Core i5 (13th Gen)</v>
      </c>
      <c r="S1164" t="str">
        <f t="shared" si="77"/>
        <v>16 GB</v>
      </c>
    </row>
    <row r="1165" spans="1:19">
      <c r="A1165" t="str">
        <f>LEFT(B1165, LEN(B1165)-15)</f>
        <v>Acer Aspire E5-576-31 (NX.GRSSI.001) Laptop (Core i3 6th Gen/4 GB/1 TB/DOS)</v>
      </c>
      <c r="B1165" t="s">
        <v>1724</v>
      </c>
      <c r="C1165" s="1">
        <v>31996</v>
      </c>
      <c r="D1165" s="1">
        <v>187</v>
      </c>
      <c r="E1165" s="2">
        <v>80</v>
      </c>
      <c r="F1165" s="2" t="str" cm="1">
        <f t="array" ref="F1165">_xlfn.IFS(AND(101&gt;E1165, E1165&gt;69), "Top-Tier", AND(70&gt;E1165, E1165&gt;39), "Mid-Tier", 40&gt;E1165, "Low-Tier")</f>
        <v>Top-Tier</v>
      </c>
      <c r="H1165" t="s">
        <v>1705</v>
      </c>
      <c r="I1165" t="s">
        <v>124</v>
      </c>
      <c r="J1165" t="s">
        <v>1144</v>
      </c>
      <c r="K1165" t="s">
        <v>705</v>
      </c>
      <c r="L1165" t="s">
        <v>24</v>
      </c>
      <c r="N1165" t="s">
        <v>31</v>
      </c>
      <c r="O1165" t="s">
        <v>152</v>
      </c>
      <c r="Q1165" t="str">
        <f>LEFT(B1165, 4)</f>
        <v>Acer</v>
      </c>
      <c r="R1165" t="str">
        <f t="shared" si="78"/>
        <v>Intel Core i5 (13th Gen)</v>
      </c>
      <c r="S1165" t="str">
        <f t="shared" si="77"/>
        <v xml:space="preserve">4 GB </v>
      </c>
    </row>
    <row r="1166" spans="1:19">
      <c r="A1166" t="str">
        <f>LEFT(B1166, LEN(B1166)-15)</f>
        <v>Asus Vivobook Max X541UJ-GO459 Laptop (Core i3 6th Gen/4 GB/1 TB/Linux/2 GB)</v>
      </c>
      <c r="B1166" t="s">
        <v>1725</v>
      </c>
      <c r="C1166" s="1">
        <v>32639</v>
      </c>
      <c r="D1166" s="1">
        <v>213</v>
      </c>
      <c r="E1166" s="2">
        <v>80</v>
      </c>
      <c r="F1166" s="2" t="str" cm="1">
        <f t="array" ref="F1166">_xlfn.IFS(AND(101&gt;E1166, E1166&gt;69), "Top-Tier", AND(70&gt;E1166, E1166&gt;39), "Mid-Tier", 40&gt;E1166, "Low-Tier")</f>
        <v>Top-Tier</v>
      </c>
      <c r="H1166" t="s">
        <v>1705</v>
      </c>
      <c r="I1166" t="s">
        <v>718</v>
      </c>
      <c r="J1166" t="s">
        <v>542</v>
      </c>
      <c r="K1166" t="s">
        <v>705</v>
      </c>
      <c r="L1166" t="s">
        <v>24</v>
      </c>
      <c r="N1166" t="s">
        <v>31</v>
      </c>
      <c r="O1166" t="s">
        <v>261</v>
      </c>
      <c r="Q1166" t="str">
        <f>LEFT(B1166, 4)</f>
        <v>Asus</v>
      </c>
      <c r="R1166" t="str">
        <f t="shared" si="78"/>
        <v>Intel Core i5 (13th Gen)</v>
      </c>
      <c r="S1166" t="str">
        <f t="shared" si="77"/>
        <v xml:space="preserve">4 GB </v>
      </c>
    </row>
    <row r="1167" spans="1:19">
      <c r="A1167" t="str">
        <f>LEFT(B1167, LEN(B1167)-15)</f>
        <v>Asus Zenbook S 16 OLED UM5606KA-RJ109WS Laptop (AMD Octa Core Ryzen AI 7/24 GB/1 TB SSD/Windows 11)</v>
      </c>
      <c r="B1167" t="s">
        <v>1726</v>
      </c>
      <c r="C1167" s="1">
        <v>149990</v>
      </c>
      <c r="D1167" s="1">
        <v>1</v>
      </c>
      <c r="E1167" s="2">
        <v>80</v>
      </c>
      <c r="F1167" s="2" t="str" cm="1">
        <f t="array" ref="F1167">_xlfn.IFS(AND(101&gt;E1167, E1167&gt;69), "Top-Tier", AND(70&gt;E1167, E1167&gt;39), "Mid-Tier", 40&gt;E1167, "Low-Tier")</f>
        <v>Top-Tier</v>
      </c>
      <c r="G1167" s="4">
        <v>45748</v>
      </c>
      <c r="H1167" t="s">
        <v>1705</v>
      </c>
      <c r="I1167" t="s">
        <v>33</v>
      </c>
      <c r="J1167" t="s">
        <v>130</v>
      </c>
      <c r="K1167" t="s">
        <v>1727</v>
      </c>
      <c r="L1167" t="s">
        <v>24</v>
      </c>
      <c r="M1167" t="s">
        <v>458</v>
      </c>
      <c r="N1167" t="s">
        <v>31</v>
      </c>
      <c r="P1167" s="3">
        <v>80</v>
      </c>
      <c r="Q1167" t="str">
        <f>LEFT(B1167, 4)</f>
        <v>Asus</v>
      </c>
      <c r="R1167" t="str">
        <f t="shared" si="78"/>
        <v>Intel Core i5 (13th Gen)</v>
      </c>
      <c r="S1167" t="str">
        <f t="shared" si="77"/>
        <v>24 GB</v>
      </c>
    </row>
    <row r="1168" spans="1:19">
      <c r="A1168" t="str">
        <f>LEFT(B1168, LEN(B1168)-15)</f>
        <v>Asus Zenbook S 16 OLED UM5606KA-RJ108WS Laptop (AMD Octa Core Ryzen AI 7/24 GB/1 TB SSD/Windows 11)</v>
      </c>
      <c r="B1168" t="s">
        <v>1728</v>
      </c>
      <c r="C1168" s="1">
        <v>149990</v>
      </c>
      <c r="D1168" s="1">
        <v>1</v>
      </c>
      <c r="E1168" s="2">
        <v>80</v>
      </c>
      <c r="F1168" s="2" t="str" cm="1">
        <f t="array" ref="F1168">_xlfn.IFS(AND(101&gt;E1168, E1168&gt;69), "Top-Tier", AND(70&gt;E1168, E1168&gt;39), "Mid-Tier", 40&gt;E1168, "Low-Tier")</f>
        <v>Top-Tier</v>
      </c>
      <c r="G1168" s="4">
        <v>45748</v>
      </c>
      <c r="H1168" t="s">
        <v>1705</v>
      </c>
      <c r="I1168" t="s">
        <v>33</v>
      </c>
      <c r="J1168" t="s">
        <v>130</v>
      </c>
      <c r="K1168" t="s">
        <v>1727</v>
      </c>
      <c r="L1168" t="s">
        <v>24</v>
      </c>
      <c r="M1168" t="s">
        <v>458</v>
      </c>
      <c r="N1168" t="s">
        <v>31</v>
      </c>
      <c r="P1168" s="3">
        <v>80</v>
      </c>
      <c r="Q1168" t="str">
        <f>LEFT(B1168, 4)</f>
        <v>Asus</v>
      </c>
      <c r="R1168" t="str">
        <f t="shared" si="78"/>
        <v>Intel Core i5 (13th Gen)</v>
      </c>
      <c r="S1168" t="str">
        <f t="shared" si="77"/>
        <v>24 GB</v>
      </c>
    </row>
    <row r="1169" spans="1:19">
      <c r="A1169" t="str">
        <f>LEFT(B1169, LEN(B1169)-15)</f>
        <v>Asus VivoBook 16 X1605VA-MB1628WS Laptop (Core i7 13th Gen/16 GB/512 GB SSD/Windows 11)</v>
      </c>
      <c r="B1169" t="s">
        <v>1729</v>
      </c>
      <c r="C1169" s="1">
        <v>65990</v>
      </c>
      <c r="D1169" s="1">
        <v>1</v>
      </c>
      <c r="E1169" s="2">
        <v>80</v>
      </c>
      <c r="F1169" s="2" t="str" cm="1">
        <f t="array" ref="F1169">_xlfn.IFS(AND(101&gt;E1169, E1169&gt;69), "Top-Tier", AND(70&gt;E1169, E1169&gt;39), "Mid-Tier", 40&gt;E1169, "Low-Tier")</f>
        <v>Top-Tier</v>
      </c>
      <c r="G1169" s="4">
        <v>45658</v>
      </c>
      <c r="H1169" t="s">
        <v>1705</v>
      </c>
      <c r="I1169" t="s">
        <v>33</v>
      </c>
      <c r="J1169" t="s">
        <v>34</v>
      </c>
      <c r="K1169" t="s">
        <v>155</v>
      </c>
      <c r="L1169" t="s">
        <v>24</v>
      </c>
      <c r="M1169" t="s">
        <v>52</v>
      </c>
      <c r="N1169" t="s">
        <v>31</v>
      </c>
      <c r="P1169" s="3">
        <v>80</v>
      </c>
      <c r="Q1169" t="str">
        <f>LEFT(B1169, 4)</f>
        <v>Asus</v>
      </c>
      <c r="R1169" t="str">
        <f t="shared" si="78"/>
        <v>Intel Core i5 (13th Gen)</v>
      </c>
      <c r="S1169" t="str">
        <f t="shared" si="77"/>
        <v>16 GB</v>
      </c>
    </row>
    <row r="1170" spans="1:19">
      <c r="A1170" t="str">
        <f>LEFT(B1170, LEN(B1170)-15)</f>
        <v>Lenovo Yoga Pro 7 14ASP9 Gen 9 (83HN0027IN) Laptop (AMD Deca Core Ryzen 9/32 GB/1 TB SSD/Windows 11)</v>
      </c>
      <c r="B1170" t="s">
        <v>1730</v>
      </c>
      <c r="C1170" s="1">
        <v>127990</v>
      </c>
      <c r="D1170" s="1">
        <v>1</v>
      </c>
      <c r="E1170" s="2">
        <v>80</v>
      </c>
      <c r="F1170" s="2" t="str" cm="1">
        <f t="array" ref="F1170">_xlfn.IFS(AND(101&gt;E1170, E1170&gt;69), "Top-Tier", AND(70&gt;E1170, E1170&gt;39), "Mid-Tier", 40&gt;E1170, "Low-Tier")</f>
        <v>Top-Tier</v>
      </c>
      <c r="G1170" s="4">
        <v>45627</v>
      </c>
      <c r="H1170" t="s">
        <v>1705</v>
      </c>
      <c r="I1170" t="s">
        <v>33</v>
      </c>
      <c r="J1170" t="s">
        <v>58</v>
      </c>
      <c r="K1170" t="s">
        <v>617</v>
      </c>
      <c r="L1170" t="s">
        <v>24</v>
      </c>
      <c r="N1170" t="s">
        <v>31</v>
      </c>
      <c r="O1170" t="s">
        <v>291</v>
      </c>
      <c r="Q1170" t="str">
        <f>LEFT(B1170, 6)</f>
        <v>Lenovo</v>
      </c>
      <c r="R1170" t="str">
        <f t="shared" si="78"/>
        <v>Intel Core i5 (13th Gen)</v>
      </c>
      <c r="S1170" t="str">
        <f t="shared" si="77"/>
        <v>32 GB</v>
      </c>
    </row>
    <row r="1171" spans="1:19">
      <c r="A1171" t="str">
        <f>LEFT(B1171, LEN(B1171)-15)</f>
        <v>Lenovo IdeaPad Slim 3 14AMN8 (82XN006TIN) Laptop (AMD Quad Core Ryzen 5/8 GB/512 SSD/Windows 11)</v>
      </c>
      <c r="B1171" t="s">
        <v>1731</v>
      </c>
      <c r="C1171" s="1">
        <v>40190</v>
      </c>
      <c r="D1171" s="1">
        <v>200</v>
      </c>
      <c r="E1171" s="2">
        <v>80</v>
      </c>
      <c r="F1171" s="2" t="str" cm="1">
        <f t="array" ref="F1171">_xlfn.IFS(AND(101&gt;E1171, E1171&gt;69), "Top-Tier", AND(70&gt;E1171, E1171&gt;39), "Mid-Tier", 40&gt;E1171, "Low-Tier")</f>
        <v>Top-Tier</v>
      </c>
      <c r="G1171" s="4">
        <v>45536</v>
      </c>
      <c r="H1171" t="s">
        <v>1705</v>
      </c>
      <c r="I1171" t="s">
        <v>33</v>
      </c>
      <c r="J1171" t="s">
        <v>1164</v>
      </c>
      <c r="K1171" t="s">
        <v>1140</v>
      </c>
      <c r="L1171" t="s">
        <v>24</v>
      </c>
      <c r="M1171" t="s">
        <v>95</v>
      </c>
      <c r="N1171" t="s">
        <v>31</v>
      </c>
      <c r="Q1171" t="str">
        <f>LEFT(B1171, 6)</f>
        <v>Lenovo</v>
      </c>
      <c r="R1171" t="str">
        <f t="shared" si="78"/>
        <v>Intel Core i5 (13th Gen)</v>
      </c>
      <c r="S1171" t="str">
        <f t="shared" si="77"/>
        <v xml:space="preserve">8 GB </v>
      </c>
    </row>
    <row r="1172" spans="1:19">
      <c r="A1172" t="str">
        <f>LEFT(B1172, LEN(B1172)-15)</f>
        <v>Dell Inspiron 14 7440 (OIC7440134501RINU1) Laptop (Core i5 13th Gen/16 GB/512 GB SSD/Windows 11)</v>
      </c>
      <c r="B1172" t="s">
        <v>1732</v>
      </c>
      <c r="C1172" s="1">
        <v>74850</v>
      </c>
      <c r="D1172" s="1">
        <v>16</v>
      </c>
      <c r="E1172" s="2">
        <v>80</v>
      </c>
      <c r="F1172" s="2" t="str" cm="1">
        <f t="array" ref="F1172">_xlfn.IFS(AND(101&gt;E1172, E1172&gt;69), "Top-Tier", AND(70&gt;E1172, E1172&gt;39), "Mid-Tier", 40&gt;E1172, "Low-Tier")</f>
        <v>Top-Tier</v>
      </c>
      <c r="G1172" s="4">
        <v>45536</v>
      </c>
      <c r="H1172" t="s">
        <v>1705</v>
      </c>
      <c r="I1172" t="s">
        <v>33</v>
      </c>
      <c r="J1172" t="s">
        <v>54</v>
      </c>
      <c r="K1172" t="s">
        <v>94</v>
      </c>
      <c r="L1172" t="s">
        <v>24</v>
      </c>
      <c r="M1172" t="s">
        <v>122</v>
      </c>
      <c r="N1172" t="s">
        <v>31</v>
      </c>
      <c r="P1172" s="3">
        <v>81</v>
      </c>
      <c r="Q1172" t="str">
        <f>LEFT(B1172, 4)</f>
        <v>Dell</v>
      </c>
      <c r="R1172" t="str">
        <f t="shared" si="78"/>
        <v>Intel Core i5 (13th Gen)</v>
      </c>
      <c r="S1172" t="str">
        <f t="shared" si="77"/>
        <v>16 GB</v>
      </c>
    </row>
    <row r="1173" spans="1:19">
      <c r="A1173" t="str">
        <f>LEFT(B1173, LEN(B1173)-15)</f>
        <v>HP 240 G9 (6S6U4EA) Laptop (Core i7 12th Gen/16 GB/512 GB SSD/Windows 11)</v>
      </c>
      <c r="B1173" t="s">
        <v>1733</v>
      </c>
      <c r="C1173" s="1">
        <v>65990</v>
      </c>
      <c r="D1173" s="1">
        <v>25</v>
      </c>
      <c r="E1173" s="2">
        <v>80</v>
      </c>
      <c r="F1173" s="2" t="str" cm="1">
        <f t="array" ref="F1173">_xlfn.IFS(AND(101&gt;E1173, E1173&gt;69), "Top-Tier", AND(70&gt;E1173, E1173&gt;39), "Mid-Tier", 40&gt;E1173, "Low-Tier")</f>
        <v>Top-Tier</v>
      </c>
      <c r="G1173" s="4">
        <v>45505</v>
      </c>
      <c r="H1173" t="s">
        <v>1705</v>
      </c>
      <c r="I1173" t="s">
        <v>33</v>
      </c>
      <c r="J1173" t="s">
        <v>34</v>
      </c>
      <c r="K1173" t="s">
        <v>149</v>
      </c>
      <c r="L1173" t="s">
        <v>24</v>
      </c>
      <c r="M1173" t="s">
        <v>52</v>
      </c>
      <c r="N1173" t="s">
        <v>31</v>
      </c>
      <c r="P1173" s="3">
        <v>77</v>
      </c>
      <c r="Q1173" t="str">
        <f>LEFT(B1173, 2)</f>
        <v>HP</v>
      </c>
      <c r="R1173" t="str">
        <f t="shared" si="78"/>
        <v>Intel Core i5 (13th Gen)</v>
      </c>
      <c r="S1173" t="str">
        <f t="shared" si="77"/>
        <v>16 GB</v>
      </c>
    </row>
    <row r="1174" spans="1:19">
      <c r="A1174" t="str">
        <f>LEFT(B1174, LEN(B1174)-15)</f>
        <v>HP 14-gr0001TU (A47CWPA) Laptop (Core i5 13th Gen/16 GB/512 GB SSD/Windows 11)</v>
      </c>
      <c r="B1174" t="s">
        <v>1734</v>
      </c>
      <c r="C1174" s="1">
        <v>63175</v>
      </c>
      <c r="D1174" s="1">
        <v>506</v>
      </c>
      <c r="E1174" s="2">
        <v>80</v>
      </c>
      <c r="F1174" s="2" t="str" cm="1">
        <f t="array" ref="F1174">_xlfn.IFS(AND(101&gt;E1174, E1174&gt;69), "Top-Tier", AND(70&gt;E1174, E1174&gt;39), "Mid-Tier", 40&gt;E1174, "Low-Tier")</f>
        <v>Top-Tier</v>
      </c>
      <c r="G1174" s="4">
        <v>45474</v>
      </c>
      <c r="H1174" t="s">
        <v>1705</v>
      </c>
      <c r="I1174" t="s">
        <v>33</v>
      </c>
      <c r="J1174" t="s">
        <v>34</v>
      </c>
      <c r="K1174" t="s">
        <v>149</v>
      </c>
      <c r="L1174" t="s">
        <v>24</v>
      </c>
      <c r="N1174" t="s">
        <v>31</v>
      </c>
      <c r="P1174" s="3">
        <v>80</v>
      </c>
      <c r="Q1174" t="str">
        <f>LEFT(B1174, 2)</f>
        <v>HP</v>
      </c>
      <c r="R1174" t="str">
        <f t="shared" si="78"/>
        <v>Intel Core i5 (13th Gen)</v>
      </c>
      <c r="S1174" t="str">
        <f t="shared" si="77"/>
        <v>16 GB</v>
      </c>
    </row>
    <row r="1175" spans="1:19">
      <c r="A1175" t="str">
        <f>LEFT(B1175, LEN(B1175)-15)</f>
        <v>Asus Zenbook 14 Flip OLED UN5401QA-KN511WS Laptop (AMD Hexa Core Ryzen 7/16 GB/512 GB SSD/Windows 11)</v>
      </c>
      <c r="B1175" t="s">
        <v>1735</v>
      </c>
      <c r="C1175" s="1">
        <v>91990</v>
      </c>
      <c r="D1175" s="1">
        <v>26</v>
      </c>
      <c r="E1175" s="2">
        <v>80</v>
      </c>
      <c r="F1175" s="2" t="str" cm="1">
        <f t="array" ref="F1175">_xlfn.IFS(AND(101&gt;E1175, E1175&gt;69), "Top-Tier", AND(70&gt;E1175, E1175&gt;39), "Mid-Tier", 40&gt;E1175, "Low-Tier")</f>
        <v>Top-Tier</v>
      </c>
      <c r="G1175" s="4">
        <v>44621</v>
      </c>
      <c r="H1175" t="s">
        <v>1705</v>
      </c>
      <c r="I1175" t="s">
        <v>33</v>
      </c>
      <c r="J1175" t="s">
        <v>34</v>
      </c>
      <c r="K1175" t="s">
        <v>81</v>
      </c>
      <c r="L1175" t="s">
        <v>24</v>
      </c>
      <c r="M1175" t="s">
        <v>1077</v>
      </c>
      <c r="N1175" t="s">
        <v>31</v>
      </c>
      <c r="P1175" s="3">
        <v>76</v>
      </c>
      <c r="Q1175" t="str">
        <f>LEFT(B1175, 4)</f>
        <v>Asus</v>
      </c>
      <c r="R1175" t="str">
        <f t="shared" si="78"/>
        <v>Intel Core i5 (13th Gen)</v>
      </c>
      <c r="S1175" t="str">
        <f t="shared" si="77"/>
        <v>16 GB</v>
      </c>
    </row>
    <row r="1176" spans="1:19">
      <c r="A1176" t="str">
        <f>LEFT(B1176, LEN(B1176)-15)</f>
        <v>HP 15q-BY004AU (2TZ87PA) Laptop (AMD Dual Core A6/4 GB/1 TB/DOS)</v>
      </c>
      <c r="B1176" t="s">
        <v>1736</v>
      </c>
      <c r="C1176" s="1">
        <v>25397</v>
      </c>
      <c r="D1176" s="1">
        <v>321</v>
      </c>
      <c r="E1176" s="2">
        <v>80</v>
      </c>
      <c r="F1176" s="2" t="str" cm="1">
        <f t="array" ref="F1176">_xlfn.IFS(AND(101&gt;E1176, E1176&gt;69), "Top-Tier", AND(70&gt;E1176, E1176&gt;39), "Mid-Tier", 40&gt;E1176, "Low-Tier")</f>
        <v>Top-Tier</v>
      </c>
      <c r="H1176" t="s">
        <v>1705</v>
      </c>
      <c r="I1176" t="s">
        <v>124</v>
      </c>
      <c r="J1176" t="s">
        <v>542</v>
      </c>
      <c r="K1176" t="s">
        <v>705</v>
      </c>
      <c r="L1176" t="s">
        <v>24</v>
      </c>
      <c r="N1176" t="s">
        <v>31</v>
      </c>
      <c r="O1176" t="s">
        <v>152</v>
      </c>
      <c r="Q1176" t="str">
        <f>LEFT(B1176, 2)</f>
        <v>HP</v>
      </c>
      <c r="R1176" t="str">
        <f t="shared" si="78"/>
        <v>Intel Core i5 (13th Gen)</v>
      </c>
      <c r="S1176" t="str">
        <f t="shared" si="77"/>
        <v xml:space="preserve">4 GB </v>
      </c>
    </row>
    <row r="1177" spans="1:19">
      <c r="A1177" t="str">
        <f>LEFT(B1177, LEN(B1177)-15)</f>
        <v>Apple MacBook Pro M4 MX2K3HN/A Ultrabook (Apple M4 Max/36 GB/1 TB SSD/macOS Sequoia)</v>
      </c>
      <c r="B1177" t="s">
        <v>1737</v>
      </c>
      <c r="C1177" s="1">
        <v>309990</v>
      </c>
      <c r="D1177" s="1">
        <v>4</v>
      </c>
      <c r="E1177" s="2">
        <v>80</v>
      </c>
      <c r="F1177" s="2" t="str" cm="1">
        <f t="array" ref="F1177">_xlfn.IFS(AND(101&gt;E1177, E1177&gt;69), "Top-Tier", AND(70&gt;E1177, E1177&gt;39), "Mid-Tier", 40&gt;E1177, "Low-Tier")</f>
        <v>Top-Tier</v>
      </c>
      <c r="G1177" s="4">
        <v>45597</v>
      </c>
      <c r="H1177" t="s">
        <v>1705</v>
      </c>
      <c r="I1177" t="s">
        <v>21</v>
      </c>
      <c r="J1177" t="s">
        <v>115</v>
      </c>
      <c r="K1177" t="s">
        <v>29</v>
      </c>
      <c r="L1177" t="s">
        <v>24</v>
      </c>
      <c r="M1177" t="s">
        <v>30</v>
      </c>
      <c r="N1177" t="s">
        <v>31</v>
      </c>
      <c r="Q1177" t="str">
        <f>LEFT(B1177, 5)</f>
        <v>Apple</v>
      </c>
      <c r="R1177" t="str">
        <f t="shared" si="78"/>
        <v>Intel Core i5 (13th Gen)</v>
      </c>
      <c r="S1177" t="str">
        <f t="shared" si="77"/>
        <v>36 GB</v>
      </c>
    </row>
    <row r="1178" spans="1:19">
      <c r="A1178" t="str">
        <f>LEFT(B1178, LEN(B1178)-15)</f>
        <v>Acer Chromebook CP713-2W (NX.HTZSI.007) Laptop (Core i5 10th Gen/8 GB/64 GB eMMC/Google Chrome)</v>
      </c>
      <c r="B1178" t="s">
        <v>1738</v>
      </c>
      <c r="C1178" s="1">
        <v>105000</v>
      </c>
      <c r="D1178" s="1">
        <v>68</v>
      </c>
      <c r="E1178" s="2">
        <v>80</v>
      </c>
      <c r="F1178" s="2" t="str" cm="1">
        <f t="array" ref="F1178">_xlfn.IFS(AND(101&gt;E1178, E1178&gt;69), "Top-Tier", AND(70&gt;E1178, E1178&gt;39), "Mid-Tier", 40&gt;E1178, "Low-Tier")</f>
        <v>Top-Tier</v>
      </c>
      <c r="G1178" s="4">
        <v>45597</v>
      </c>
      <c r="H1178" t="s">
        <v>1705</v>
      </c>
      <c r="I1178" t="s">
        <v>735</v>
      </c>
      <c r="J1178" t="s">
        <v>1739</v>
      </c>
      <c r="K1178" t="s">
        <v>245</v>
      </c>
      <c r="L1178" t="s">
        <v>24</v>
      </c>
      <c r="M1178" t="s">
        <v>69</v>
      </c>
      <c r="O1178" t="s">
        <v>291</v>
      </c>
      <c r="Q1178" t="str">
        <f>LEFT(B1178, 4)</f>
        <v>Acer</v>
      </c>
      <c r="R1178" t="str">
        <f t="shared" si="78"/>
        <v>Intel Core i5 (13th Gen)</v>
      </c>
      <c r="S1178" t="str">
        <f t="shared" si="77"/>
        <v xml:space="preserve">8 GB </v>
      </c>
    </row>
    <row r="1179" spans="1:19">
      <c r="A1179" t="str">
        <f>LEFT(B1179, LEN(B1179)-15)</f>
        <v>Dell G15 5535 (OGN553549501RIN) Laptop (AMD Hexa Core Ryzen 5/16 GB/1 TB SSD/Windows 11/6 GB)</v>
      </c>
      <c r="B1179" t="s">
        <v>1740</v>
      </c>
      <c r="C1179" s="1">
        <v>79924</v>
      </c>
      <c r="D1179" s="1">
        <v>1</v>
      </c>
      <c r="E1179" s="2">
        <v>80</v>
      </c>
      <c r="F1179" s="2" t="str" cm="1">
        <f t="array" ref="F1179">_xlfn.IFS(AND(101&gt;E1179, E1179&gt;69), "Top-Tier", AND(70&gt;E1179, E1179&gt;39), "Mid-Tier", 40&gt;E1179, "Low-Tier")</f>
        <v>Top-Tier</v>
      </c>
      <c r="G1179" s="4">
        <v>45505</v>
      </c>
      <c r="H1179" t="s">
        <v>1705</v>
      </c>
      <c r="I1179" t="s">
        <v>33</v>
      </c>
      <c r="J1179" t="s">
        <v>72</v>
      </c>
      <c r="K1179" t="s">
        <v>159</v>
      </c>
      <c r="L1179" t="s">
        <v>24</v>
      </c>
      <c r="N1179" t="s">
        <v>31</v>
      </c>
      <c r="Q1179" t="str">
        <f>LEFT(B1179, 4)</f>
        <v>Dell</v>
      </c>
      <c r="R1179" t="str">
        <f t="shared" si="78"/>
        <v>Intel Core i5 (13th Gen)</v>
      </c>
      <c r="S1179" t="str">
        <f t="shared" si="77"/>
        <v>16 GB</v>
      </c>
    </row>
    <row r="1180" spans="1:19">
      <c r="A1180" t="str">
        <f>LEFT(B1180, LEN(B1180)-15)</f>
        <v>Lenovo ThinkPad E14 Gen 5 (21JKS13J00) Laptop (Core i7 13th Gen/16 GB/1 TB SSD/Windows 11)</v>
      </c>
      <c r="B1180" t="s">
        <v>1741</v>
      </c>
      <c r="C1180" s="1">
        <v>94800</v>
      </c>
      <c r="D1180" s="1">
        <v>1</v>
      </c>
      <c r="E1180" s="2">
        <v>80</v>
      </c>
      <c r="F1180" s="2" t="str" cm="1">
        <f t="array" ref="F1180">_xlfn.IFS(AND(101&gt;E1180, E1180&gt;69), "Top-Tier", AND(70&gt;E1180, E1180&gt;39), "Mid-Tier", 40&gt;E1180, "Low-Tier")</f>
        <v>Top-Tier</v>
      </c>
      <c r="G1180" s="4">
        <v>45474</v>
      </c>
      <c r="H1180" t="s">
        <v>1705</v>
      </c>
      <c r="I1180" t="s">
        <v>33</v>
      </c>
      <c r="J1180" t="s">
        <v>184</v>
      </c>
      <c r="K1180" t="s">
        <v>94</v>
      </c>
      <c r="L1180" t="s">
        <v>24</v>
      </c>
      <c r="N1180" t="s">
        <v>31</v>
      </c>
      <c r="P1180" s="3">
        <v>80</v>
      </c>
      <c r="Q1180" t="str">
        <f>LEFT(B1180, 6)</f>
        <v>Lenovo</v>
      </c>
      <c r="R1180" t="str">
        <f t="shared" si="78"/>
        <v>Intel Core i5 (13th Gen)</v>
      </c>
      <c r="S1180" t="str">
        <f t="shared" si="77"/>
        <v>16 GB</v>
      </c>
    </row>
    <row r="1181" spans="1:19">
      <c r="A1181" t="str">
        <f>LEFT(B1181, LEN(B1181)-15)</f>
        <v>MSI Modern 15 H C13M-217IN Laptop (Core i7 13th Gen/16 GB/1 TB SSD/Windows 11)</v>
      </c>
      <c r="B1181" t="s">
        <v>1742</v>
      </c>
      <c r="C1181" s="1">
        <v>64990</v>
      </c>
      <c r="D1181" s="1">
        <v>1</v>
      </c>
      <c r="E1181" s="2">
        <v>80</v>
      </c>
      <c r="F1181" s="2" t="str" cm="1">
        <f t="array" ref="F1181">_xlfn.IFS(AND(101&gt;E1181, E1181&gt;69), "Top-Tier", AND(70&gt;E1181, E1181&gt;39), "Mid-Tier", 40&gt;E1181, "Low-Tier")</f>
        <v>Top-Tier</v>
      </c>
      <c r="G1181" s="4">
        <v>45474</v>
      </c>
      <c r="H1181" t="s">
        <v>1705</v>
      </c>
      <c r="I1181" t="s">
        <v>33</v>
      </c>
      <c r="J1181" t="s">
        <v>184</v>
      </c>
      <c r="K1181" t="s">
        <v>51</v>
      </c>
      <c r="L1181" t="s">
        <v>24</v>
      </c>
      <c r="M1181" t="s">
        <v>52</v>
      </c>
      <c r="N1181" t="s">
        <v>31</v>
      </c>
      <c r="P1181" s="3">
        <v>84</v>
      </c>
      <c r="Q1181" t="str">
        <f>LEFT(B1181, 3)</f>
        <v>MSI</v>
      </c>
      <c r="R1181" t="str">
        <f t="shared" si="78"/>
        <v>Intel Core i5 (13th Gen)</v>
      </c>
      <c r="S1181" t="str">
        <f t="shared" si="77"/>
        <v>16 GB</v>
      </c>
    </row>
    <row r="1182" spans="1:19">
      <c r="A1182" t="str">
        <f>LEFT(B1182, LEN(B1182)-15)</f>
        <v>Microsoft Surface Pro 11 (ZHY-00032) Laptop (Snapdragon X Plus/16 GB/512 GB SSD/Windows 11)</v>
      </c>
      <c r="B1182" t="s">
        <v>1743</v>
      </c>
      <c r="C1182" s="1">
        <v>131990</v>
      </c>
      <c r="D1182" s="1">
        <v>1</v>
      </c>
      <c r="E1182" s="2">
        <v>80</v>
      </c>
      <c r="F1182" s="2" t="str" cm="1">
        <f t="array" ref="F1182">_xlfn.IFS(AND(101&gt;E1182, E1182&gt;69), "Top-Tier", AND(70&gt;E1182, E1182&gt;39), "Mid-Tier", 40&gt;E1182, "Low-Tier")</f>
        <v>Top-Tier</v>
      </c>
      <c r="G1182" s="4">
        <v>45474</v>
      </c>
      <c r="H1182" t="s">
        <v>1705</v>
      </c>
      <c r="I1182" t="s">
        <v>33</v>
      </c>
      <c r="J1182" t="s">
        <v>54</v>
      </c>
      <c r="K1182" t="s">
        <v>690</v>
      </c>
      <c r="L1182" t="s">
        <v>24</v>
      </c>
      <c r="P1182" s="3">
        <v>81</v>
      </c>
      <c r="Q1182" t="str">
        <f>LEFT(B1182, 9)</f>
        <v>Microsoft</v>
      </c>
      <c r="R1182" t="str">
        <f t="shared" si="78"/>
        <v>Intel Core i5 (13th Gen)</v>
      </c>
      <c r="S1182" t="str">
        <f t="shared" si="77"/>
        <v>16 GB</v>
      </c>
    </row>
    <row r="1183" spans="1:19">
      <c r="A1183" t="str">
        <f>LEFT(B1183, LEN(B1183)-15)</f>
        <v>HP Victus Special Edition (A9NC5PA) Laptop (Core i7 12th Gen/16 GB/512 GB SSD/Windows 11/4 GB RTX)</v>
      </c>
      <c r="B1183" t="s">
        <v>1744</v>
      </c>
      <c r="C1183" s="1">
        <v>68990</v>
      </c>
      <c r="D1183" s="1">
        <v>85</v>
      </c>
      <c r="E1183" s="2">
        <v>80</v>
      </c>
      <c r="F1183" s="2" t="str" cm="1">
        <f t="array" ref="F1183">_xlfn.IFS(AND(101&gt;E1183, E1183&gt;69), "Top-Tier", AND(70&gt;E1183, E1183&gt;39), "Mid-Tier", 40&gt;E1183, "Low-Tier")</f>
        <v>Top-Tier</v>
      </c>
      <c r="G1183" s="4">
        <v>45444</v>
      </c>
      <c r="H1183" t="s">
        <v>1705</v>
      </c>
      <c r="I1183" t="s">
        <v>33</v>
      </c>
      <c r="J1183" t="s">
        <v>34</v>
      </c>
      <c r="K1183" t="s">
        <v>51</v>
      </c>
      <c r="L1183" t="s">
        <v>24</v>
      </c>
      <c r="N1183" t="s">
        <v>31</v>
      </c>
      <c r="P1183" s="3">
        <v>86</v>
      </c>
      <c r="Q1183" t="str">
        <f>LEFT(B1183, 2)</f>
        <v>HP</v>
      </c>
      <c r="R1183" t="str">
        <f t="shared" si="78"/>
        <v>Intel Core i5 (13th Gen)</v>
      </c>
      <c r="S1183" t="str">
        <f t="shared" si="77"/>
        <v>16 GB</v>
      </c>
    </row>
    <row r="1184" spans="1:19">
      <c r="A1184" t="str">
        <f>LEFT(B1184, LEN(B1184)-15)</f>
        <v>HP Victus Special Edition (A9NC8PA) Laptop (Core i7 12th Gen/16 GB/1 TB SSD/Windows 11/4 GB RTX)</v>
      </c>
      <c r="B1184" t="s">
        <v>1745</v>
      </c>
      <c r="C1184" s="1">
        <v>75990</v>
      </c>
      <c r="D1184" s="1">
        <v>93</v>
      </c>
      <c r="E1184" s="2">
        <v>80</v>
      </c>
      <c r="F1184" s="2" t="str" cm="1">
        <f t="array" ref="F1184">_xlfn.IFS(AND(101&gt;E1184, E1184&gt;69), "Top-Tier", AND(70&gt;E1184, E1184&gt;39), "Mid-Tier", 40&gt;E1184, "Low-Tier")</f>
        <v>Top-Tier</v>
      </c>
      <c r="G1184" s="4">
        <v>45444</v>
      </c>
      <c r="H1184" t="s">
        <v>1705</v>
      </c>
      <c r="I1184" t="s">
        <v>33</v>
      </c>
      <c r="J1184" t="s">
        <v>184</v>
      </c>
      <c r="K1184" t="s">
        <v>51</v>
      </c>
      <c r="L1184" t="s">
        <v>24</v>
      </c>
      <c r="N1184" t="s">
        <v>31</v>
      </c>
      <c r="P1184" s="3">
        <v>87</v>
      </c>
      <c r="Q1184" t="str">
        <f>LEFT(B1184, 2)</f>
        <v>HP</v>
      </c>
      <c r="R1184" t="str">
        <f t="shared" si="78"/>
        <v>Intel Core i5 (13th Gen)</v>
      </c>
      <c r="S1184" t="str">
        <f t="shared" si="77"/>
        <v>16 GB</v>
      </c>
    </row>
    <row r="1185" spans="1:19">
      <c r="A1185" t="str">
        <f>LEFT(B1185, LEN(B1185)-15)</f>
        <v>Dell Vostro 3440 (OVN3440340401RING1) Laptop (Core i5 13th Gen/8 GB/512 GB SSD/Windows 11)</v>
      </c>
      <c r="B1185" t="s">
        <v>1746</v>
      </c>
      <c r="C1185" s="1">
        <v>51989</v>
      </c>
      <c r="D1185" s="1">
        <v>430</v>
      </c>
      <c r="E1185" s="2">
        <v>80</v>
      </c>
      <c r="F1185" s="2" t="str" cm="1">
        <f t="array" ref="F1185">_xlfn.IFS(AND(101&gt;E1185, E1185&gt;69), "Top-Tier", AND(70&gt;E1185, E1185&gt;39), "Mid-Tier", 40&gt;E1185, "Low-Tier")</f>
        <v>Top-Tier</v>
      </c>
      <c r="G1185" s="4">
        <v>45444</v>
      </c>
      <c r="H1185" t="s">
        <v>1705</v>
      </c>
      <c r="I1185" t="s">
        <v>33</v>
      </c>
      <c r="J1185" t="s">
        <v>119</v>
      </c>
      <c r="K1185" t="s">
        <v>94</v>
      </c>
      <c r="L1185" t="s">
        <v>24</v>
      </c>
      <c r="M1185" t="s">
        <v>74</v>
      </c>
      <c r="N1185" t="s">
        <v>31</v>
      </c>
      <c r="P1185" s="3">
        <v>80</v>
      </c>
      <c r="Q1185" t="str">
        <f>LEFT(B1185, 4)</f>
        <v>Dell</v>
      </c>
      <c r="R1185" t="str">
        <f t="shared" si="78"/>
        <v>Intel Core i5 (13th Gen)</v>
      </c>
      <c r="S1185" t="str">
        <f t="shared" si="77"/>
        <v xml:space="preserve">8 GB </v>
      </c>
    </row>
    <row r="1186" spans="1:19">
      <c r="A1186" t="str">
        <f>LEFT(B1186, LEN(B1186)-15)</f>
        <v>HP ZBook Firefly G11 (A1VX6PT) Laptop (Core Ultra 7/16 GB/1 TB SSD/Windows 11/4 GB)</v>
      </c>
      <c r="B1186" t="s">
        <v>1747</v>
      </c>
      <c r="C1186" s="1">
        <v>136000</v>
      </c>
      <c r="D1186" s="1">
        <v>1</v>
      </c>
      <c r="E1186" s="2">
        <v>80</v>
      </c>
      <c r="F1186" s="2" t="str" cm="1">
        <f t="array" ref="F1186">_xlfn.IFS(AND(101&gt;E1186, E1186&gt;69), "Top-Tier", AND(70&gt;E1186, E1186&gt;39), "Mid-Tier", 40&gt;E1186, "Low-Tier")</f>
        <v>Top-Tier</v>
      </c>
      <c r="G1186" s="4">
        <v>45444</v>
      </c>
      <c r="H1186" t="s">
        <v>1705</v>
      </c>
      <c r="I1186" t="s">
        <v>33</v>
      </c>
      <c r="J1186" t="s">
        <v>72</v>
      </c>
      <c r="K1186" t="s">
        <v>155</v>
      </c>
      <c r="L1186" t="s">
        <v>24</v>
      </c>
      <c r="M1186" t="s">
        <v>125</v>
      </c>
      <c r="N1186" t="s">
        <v>31</v>
      </c>
      <c r="Q1186" t="str">
        <f>LEFT(B1186, 2)</f>
        <v>HP</v>
      </c>
      <c r="R1186" t="str">
        <f t="shared" si="78"/>
        <v>Intel Core i5 (13th Gen)</v>
      </c>
      <c r="S1186" t="str">
        <f t="shared" si="77"/>
        <v>16 GB</v>
      </c>
    </row>
    <row r="1187" spans="1:19">
      <c r="A1187" t="str">
        <f>LEFT(B1187, LEN(B1187)-15)</f>
        <v>Dell G15 5530 (GN5530N7HY001ORB1O) Laptop (Core i5 13th Gen/16 GB/1 TB SSD/Windows 11/6 GB)</v>
      </c>
      <c r="B1187" t="s">
        <v>1748</v>
      </c>
      <c r="C1187" s="1">
        <v>76962</v>
      </c>
      <c r="D1187" s="1">
        <v>1051</v>
      </c>
      <c r="E1187" s="2">
        <v>80</v>
      </c>
      <c r="F1187" s="2" t="str" cm="1">
        <f t="array" ref="F1187">_xlfn.IFS(AND(101&gt;E1187, E1187&gt;69), "Top-Tier", AND(70&gt;E1187, E1187&gt;39), "Mid-Tier", 40&gt;E1187, "Low-Tier")</f>
        <v>Top-Tier</v>
      </c>
      <c r="G1187" s="4">
        <v>45444</v>
      </c>
      <c r="H1187" t="s">
        <v>1705</v>
      </c>
      <c r="I1187" t="s">
        <v>33</v>
      </c>
      <c r="J1187" t="s">
        <v>72</v>
      </c>
      <c r="K1187" t="s">
        <v>159</v>
      </c>
      <c r="L1187" t="s">
        <v>24</v>
      </c>
      <c r="N1187" t="s">
        <v>31</v>
      </c>
      <c r="Q1187" t="str">
        <f>LEFT(B1187, 4)</f>
        <v>Dell</v>
      </c>
      <c r="R1187" t="str">
        <f t="shared" si="78"/>
        <v>Intel Core i5 (13th Gen)</v>
      </c>
      <c r="S1187" t="str">
        <f t="shared" si="77"/>
        <v>16 GB</v>
      </c>
    </row>
    <row r="1188" spans="1:19">
      <c r="A1188" t="str">
        <f>LEFT(B1188, LEN(B1188)-15)</f>
        <v>MSI Cyborg 14 A13UDX-207IN Laptop (Core i5 13th Gen/8 GB/512 GB SSD/Windows 11/6 GB)</v>
      </c>
      <c r="B1188" t="s">
        <v>1749</v>
      </c>
      <c r="C1188" s="1">
        <v>77211</v>
      </c>
      <c r="D1188" s="1">
        <v>1</v>
      </c>
      <c r="E1188" s="2">
        <v>80</v>
      </c>
      <c r="F1188" s="2" t="str" cm="1">
        <f t="array" ref="F1188">_xlfn.IFS(AND(101&gt;E1188, E1188&gt;69), "Top-Tier", AND(70&gt;E1188, E1188&gt;39), "Mid-Tier", 40&gt;E1188, "Low-Tier")</f>
        <v>Top-Tier</v>
      </c>
      <c r="G1188" s="4">
        <v>45444</v>
      </c>
      <c r="H1188" t="s">
        <v>1705</v>
      </c>
      <c r="I1188" t="s">
        <v>33</v>
      </c>
      <c r="J1188" t="s">
        <v>119</v>
      </c>
      <c r="K1188" t="s">
        <v>94</v>
      </c>
      <c r="L1188" t="s">
        <v>24</v>
      </c>
      <c r="M1188" t="s">
        <v>99</v>
      </c>
      <c r="N1188" t="s">
        <v>31</v>
      </c>
      <c r="Q1188" t="str">
        <f>LEFT(B1188, 3)</f>
        <v>MSI</v>
      </c>
      <c r="R1188" t="str">
        <f t="shared" si="78"/>
        <v>Intel Core i5 (13th Gen)</v>
      </c>
      <c r="S1188" t="str">
        <f t="shared" si="77"/>
        <v xml:space="preserve">8 GB </v>
      </c>
    </row>
    <row r="1189" spans="1:19">
      <c r="A1189" t="str">
        <f>LEFT(B1189, LEN(B1189)-15)</f>
        <v>Dell Vostro 3510 (ICC-D585061WIN8) Laptop (Core i3 11th Gen/8 GB/512 GB SSD/Windows 11)</v>
      </c>
      <c r="B1189" t="s">
        <v>1750</v>
      </c>
      <c r="C1189" s="1">
        <v>30999</v>
      </c>
      <c r="D1189" s="1">
        <v>33</v>
      </c>
      <c r="E1189" s="2">
        <v>80</v>
      </c>
      <c r="F1189" s="2" t="str" cm="1">
        <f t="array" ref="F1189">_xlfn.IFS(AND(101&gt;E1189, E1189&gt;69), "Top-Tier", AND(70&gt;E1189, E1189&gt;39), "Mid-Tier", 40&gt;E1189, "Low-Tier")</f>
        <v>Top-Tier</v>
      </c>
      <c r="G1189" s="4">
        <v>45413</v>
      </c>
      <c r="H1189" t="s">
        <v>1705</v>
      </c>
      <c r="I1189" t="s">
        <v>33</v>
      </c>
      <c r="J1189" t="s">
        <v>50</v>
      </c>
      <c r="K1189" t="s">
        <v>159</v>
      </c>
      <c r="L1189" t="s">
        <v>24</v>
      </c>
      <c r="M1189" t="s">
        <v>122</v>
      </c>
      <c r="N1189" t="s">
        <v>31</v>
      </c>
      <c r="P1189" s="3">
        <v>72</v>
      </c>
      <c r="Q1189" t="str">
        <f>LEFT(B1189, 4)</f>
        <v>Dell</v>
      </c>
      <c r="R1189" t="str">
        <f t="shared" si="78"/>
        <v>Intel Core i5 (13th Gen)</v>
      </c>
      <c r="S1189" t="str">
        <f t="shared" si="77"/>
        <v xml:space="preserve">8 GB </v>
      </c>
    </row>
    <row r="1190" spans="1:19">
      <c r="A1190" t="str">
        <f>LEFT(B1190, LEN(B1190)-15)</f>
        <v>Asus Vivobook Go 15 E510MA-EJ021WS Laptop (Intel Celeron Dual Core/8 GB/512 GB SSD/Windows 11)</v>
      </c>
      <c r="B1190" t="s">
        <v>1751</v>
      </c>
      <c r="C1190" s="1">
        <v>26990</v>
      </c>
      <c r="D1190" s="1">
        <v>493</v>
      </c>
      <c r="E1190" s="2">
        <v>80</v>
      </c>
      <c r="F1190" s="2" t="str" cm="1">
        <f t="array" ref="F1190">_xlfn.IFS(AND(101&gt;E1190, E1190&gt;69), "Top-Tier", AND(70&gt;E1190, E1190&gt;39), "Mid-Tier", 40&gt;E1190, "Low-Tier")</f>
        <v>Top-Tier</v>
      </c>
      <c r="G1190" s="4">
        <v>45413</v>
      </c>
      <c r="H1190" t="s">
        <v>1705</v>
      </c>
      <c r="I1190" t="s">
        <v>33</v>
      </c>
      <c r="J1190" t="s">
        <v>50</v>
      </c>
      <c r="K1190" t="s">
        <v>159</v>
      </c>
      <c r="L1190" t="s">
        <v>24</v>
      </c>
      <c r="M1190" t="s">
        <v>842</v>
      </c>
      <c r="N1190" t="s">
        <v>31</v>
      </c>
      <c r="Q1190" t="str">
        <f>LEFT(B1190, 4)</f>
        <v>Asus</v>
      </c>
      <c r="R1190" t="str">
        <f t="shared" si="78"/>
        <v>Intel Core i5 (13th Gen)</v>
      </c>
      <c r="S1190" t="str">
        <f t="shared" si="77"/>
        <v xml:space="preserve">8 GB </v>
      </c>
    </row>
    <row r="1191" spans="1:19">
      <c r="A1191" t="str">
        <f>LEFT(B1191, LEN(B1191)-15)</f>
        <v>Samsung Galaxy Book 4 NP750XGJ-KG3IN Laptop (Core i7 13th Gen/16 GB/512 GB SSD/Windows 11)</v>
      </c>
      <c r="B1191" t="s">
        <v>1752</v>
      </c>
      <c r="C1191" s="1">
        <v>67199</v>
      </c>
      <c r="D1191" s="1">
        <v>3</v>
      </c>
      <c r="E1191" s="2">
        <v>80</v>
      </c>
      <c r="F1191" s="2" t="str" cm="1">
        <f t="array" ref="F1191">_xlfn.IFS(AND(101&gt;E1191, E1191&gt;69), "Top-Tier", AND(70&gt;E1191, E1191&gt;39), "Mid-Tier", 40&gt;E1191, "Low-Tier")</f>
        <v>Top-Tier</v>
      </c>
      <c r="G1191" s="4">
        <v>45383</v>
      </c>
      <c r="H1191" t="s">
        <v>1705</v>
      </c>
      <c r="I1191" t="s">
        <v>33</v>
      </c>
      <c r="J1191" t="s">
        <v>214</v>
      </c>
      <c r="K1191" t="s">
        <v>51</v>
      </c>
      <c r="L1191" t="s">
        <v>24</v>
      </c>
      <c r="M1191" t="s">
        <v>357</v>
      </c>
      <c r="N1191" t="s">
        <v>31</v>
      </c>
      <c r="P1191" s="3">
        <v>81</v>
      </c>
      <c r="Q1191" t="str">
        <f>LEFT(B1191, 7)</f>
        <v>Samsung</v>
      </c>
      <c r="R1191" t="str">
        <f t="shared" si="78"/>
        <v>Intel Core i5 (13th Gen)</v>
      </c>
      <c r="S1191" t="str">
        <f t="shared" si="77"/>
        <v>16 GB</v>
      </c>
    </row>
    <row r="1192" spans="1:19">
      <c r="A1192" t="str">
        <f>LEFT(B1192, LEN(B1192)-15)</f>
        <v>HP Pavilion Plus 14-ew0116TU (9U100PA) Laptop (Core i5 13th Gen/16 GB/512 GB SSD/Windows 11)</v>
      </c>
      <c r="B1192" t="s">
        <v>1753</v>
      </c>
      <c r="C1192" s="1">
        <v>68990</v>
      </c>
      <c r="D1192" s="1">
        <v>14</v>
      </c>
      <c r="E1192" s="2">
        <v>80</v>
      </c>
      <c r="F1192" s="2" t="str" cm="1">
        <f t="array" ref="F1192">_xlfn.IFS(AND(101&gt;E1192, E1192&gt;69), "Top-Tier", AND(70&gt;E1192, E1192&gt;39), "Mid-Tier", 40&gt;E1192, "Low-Tier")</f>
        <v>Top-Tier</v>
      </c>
      <c r="G1192" s="4">
        <v>45323</v>
      </c>
      <c r="H1192" t="s">
        <v>1705</v>
      </c>
      <c r="I1192" t="s">
        <v>33</v>
      </c>
      <c r="J1192" t="s">
        <v>63</v>
      </c>
      <c r="K1192" t="s">
        <v>94</v>
      </c>
      <c r="L1192" t="s">
        <v>24</v>
      </c>
      <c r="M1192" t="s">
        <v>444</v>
      </c>
      <c r="N1192" t="s">
        <v>31</v>
      </c>
      <c r="P1192" s="3">
        <v>82</v>
      </c>
      <c r="Q1192" t="str">
        <f>LEFT(B1192, 2)</f>
        <v>HP</v>
      </c>
      <c r="R1192" t="str">
        <f t="shared" si="78"/>
        <v>Intel Core i5 (13th Gen)</v>
      </c>
      <c r="S1192" t="str">
        <f t="shared" si="77"/>
        <v>16 GB</v>
      </c>
    </row>
    <row r="1193" spans="1:19">
      <c r="A1193" t="str">
        <f>LEFT(B1193, LEN(B1193)-15)</f>
        <v>HP 15-fd0221TU (9D3N1PA) Laptop (Core i5 13th Gen/16 GB/512 GB SSD/Windows 11)</v>
      </c>
      <c r="B1193" t="s">
        <v>1754</v>
      </c>
      <c r="C1193" s="1">
        <v>53990</v>
      </c>
      <c r="D1193" s="1">
        <v>22</v>
      </c>
      <c r="E1193" s="2">
        <v>80</v>
      </c>
      <c r="F1193" s="2" t="str" cm="1">
        <f t="array" ref="F1193">_xlfn.IFS(AND(101&gt;E1193, E1193&gt;69), "Top-Tier", AND(70&gt;E1193, E1193&gt;39), "Mid-Tier", 40&gt;E1193, "Low-Tier")</f>
        <v>Top-Tier</v>
      </c>
      <c r="G1193" s="4">
        <v>45292</v>
      </c>
      <c r="H1193" t="s">
        <v>1705</v>
      </c>
      <c r="I1193" t="s">
        <v>33</v>
      </c>
      <c r="J1193" t="s">
        <v>34</v>
      </c>
      <c r="K1193" t="s">
        <v>51</v>
      </c>
      <c r="L1193" t="s">
        <v>24</v>
      </c>
      <c r="M1193" t="s">
        <v>99</v>
      </c>
      <c r="N1193" t="s">
        <v>31</v>
      </c>
      <c r="P1193" s="3">
        <v>80</v>
      </c>
      <c r="Q1193" t="str">
        <f>LEFT(B1193, 2)</f>
        <v>HP</v>
      </c>
      <c r="R1193" t="str">
        <f t="shared" si="78"/>
        <v>Intel Core i5 (13th Gen)</v>
      </c>
      <c r="S1193" t="str">
        <f t="shared" si="77"/>
        <v>16 GB</v>
      </c>
    </row>
    <row r="1194" spans="1:19">
      <c r="A1194" t="str">
        <f>LEFT(B1194, LEN(B1194)-15)</f>
        <v>HP 15s-fr5010TU (8Q3X5PA) Laptop (Core i5 12th Gen/8 GB/512 GB SSD/Windows 11)</v>
      </c>
      <c r="B1194" t="s">
        <v>1755</v>
      </c>
      <c r="C1194" s="1">
        <v>46470</v>
      </c>
      <c r="D1194" s="1">
        <v>194</v>
      </c>
      <c r="E1194" s="2">
        <v>80</v>
      </c>
      <c r="F1194" s="2" t="str" cm="1">
        <f t="array" ref="F1194">_xlfn.IFS(AND(101&gt;E1194, E1194&gt;69), "Top-Tier", AND(70&gt;E1194, E1194&gt;39), "Mid-Tier", 40&gt;E1194, "Low-Tier")</f>
        <v>Top-Tier</v>
      </c>
      <c r="G1194" s="4">
        <v>45292</v>
      </c>
      <c r="H1194" t="s">
        <v>1705</v>
      </c>
      <c r="I1194" t="s">
        <v>33</v>
      </c>
      <c r="J1194" t="s">
        <v>50</v>
      </c>
      <c r="K1194" t="s">
        <v>51</v>
      </c>
      <c r="L1194" t="s">
        <v>24</v>
      </c>
      <c r="N1194" t="s">
        <v>31</v>
      </c>
      <c r="P1194" s="3">
        <v>77</v>
      </c>
      <c r="Q1194" t="str">
        <f>LEFT(B1194, 2)</f>
        <v>HP</v>
      </c>
      <c r="R1194" t="str">
        <f t="shared" si="78"/>
        <v>Intel Core i5 (13th Gen)</v>
      </c>
      <c r="S1194" t="str">
        <f t="shared" si="77"/>
        <v xml:space="preserve">8 GB </v>
      </c>
    </row>
    <row r="1195" spans="1:19">
      <c r="A1195" t="str">
        <f>LEFT(B1195, LEN(B1195)-15)</f>
        <v>Lenovo Ideapad Slim 3i 15IAH8 (83ER008GIN) Laptop (Core i5 12th Gen/16 GB/512 GB SSD/Windows 11)</v>
      </c>
      <c r="B1195" t="s">
        <v>1756</v>
      </c>
      <c r="C1195" s="1">
        <v>51400</v>
      </c>
      <c r="D1195" s="1">
        <v>268</v>
      </c>
      <c r="E1195" s="2">
        <v>80</v>
      </c>
      <c r="F1195" s="2" t="str" cm="1">
        <f t="array" ref="F1195">_xlfn.IFS(AND(101&gt;E1195, E1195&gt;69), "Top-Tier", AND(70&gt;E1195, E1195&gt;39), "Mid-Tier", 40&gt;E1195, "Low-Tier")</f>
        <v>Top-Tier</v>
      </c>
      <c r="G1195" s="4">
        <v>45292</v>
      </c>
      <c r="H1195" t="s">
        <v>1705</v>
      </c>
      <c r="I1195" t="s">
        <v>33</v>
      </c>
      <c r="J1195" t="s">
        <v>121</v>
      </c>
      <c r="K1195" t="s">
        <v>51</v>
      </c>
      <c r="L1195" t="s">
        <v>24</v>
      </c>
      <c r="M1195" t="s">
        <v>95</v>
      </c>
      <c r="N1195" t="s">
        <v>31</v>
      </c>
      <c r="P1195" s="3">
        <v>80</v>
      </c>
      <c r="Q1195" t="str">
        <f>LEFT(B1195, 6)</f>
        <v>Lenovo</v>
      </c>
      <c r="R1195" t="str">
        <f t="shared" si="78"/>
        <v>Intel Core i5 (13th Gen)</v>
      </c>
      <c r="S1195" t="str">
        <f t="shared" si="77"/>
        <v>16 GB</v>
      </c>
    </row>
    <row r="1196" spans="1:19">
      <c r="A1196" t="str">
        <f>LEFT(B1196, LEN(B1196)-15)</f>
        <v>Lenovo ThinkBook 14 G6 (21KG00AFIN) Laptop (Core i3 13th Gen/8 GB/512 GB SSD/Windows 11)</v>
      </c>
      <c r="B1196" t="s">
        <v>1757</v>
      </c>
      <c r="C1196" s="1">
        <v>42100</v>
      </c>
      <c r="D1196" s="1">
        <v>1</v>
      </c>
      <c r="E1196" s="2">
        <v>80</v>
      </c>
      <c r="F1196" s="2" t="str" cm="1">
        <f t="array" ref="F1196">_xlfn.IFS(AND(101&gt;E1196, E1196&gt;69), "Top-Tier", AND(70&gt;E1196, E1196&gt;39), "Mid-Tier", 40&gt;E1196, "Low-Tier")</f>
        <v>Top-Tier</v>
      </c>
      <c r="G1196" s="4">
        <v>45261</v>
      </c>
      <c r="H1196" t="s">
        <v>1705</v>
      </c>
      <c r="I1196" t="s">
        <v>33</v>
      </c>
      <c r="J1196" t="s">
        <v>119</v>
      </c>
      <c r="K1196" t="s">
        <v>94</v>
      </c>
      <c r="L1196" t="s">
        <v>24</v>
      </c>
      <c r="N1196" t="s">
        <v>31</v>
      </c>
      <c r="P1196" s="3">
        <v>76</v>
      </c>
      <c r="Q1196" t="str">
        <f>LEFT(B1196, 6)</f>
        <v>Lenovo</v>
      </c>
      <c r="R1196" t="str">
        <f t="shared" si="78"/>
        <v>Intel Core i5 (13th Gen)</v>
      </c>
      <c r="S1196" t="str">
        <f t="shared" si="77"/>
        <v xml:space="preserve">8 GB </v>
      </c>
    </row>
    <row r="1197" spans="1:19">
      <c r="A1197" t="str">
        <f>LEFT(B1197, LEN(B1197)-15)</f>
        <v>HP Victus 16-s0089AX (8L7Y4PA) Laptop (AMD Octa Core Ryzen 7/16 GB/1 TB SSD/Windows 11/6 GB)</v>
      </c>
      <c r="B1197" t="s">
        <v>1758</v>
      </c>
      <c r="C1197" s="1">
        <v>78990</v>
      </c>
      <c r="D1197" s="1">
        <v>69</v>
      </c>
      <c r="E1197" s="2">
        <v>80</v>
      </c>
      <c r="F1197" s="2" t="str" cm="1">
        <f t="array" ref="F1197">_xlfn.IFS(AND(101&gt;E1197, E1197&gt;69), "Top-Tier", AND(70&gt;E1197, E1197&gt;39), "Mid-Tier", 40&gt;E1197, "Low-Tier")</f>
        <v>Top-Tier</v>
      </c>
      <c r="G1197" s="4">
        <v>45231</v>
      </c>
      <c r="H1197" t="s">
        <v>1705</v>
      </c>
      <c r="I1197" t="s">
        <v>33</v>
      </c>
      <c r="J1197" t="s">
        <v>72</v>
      </c>
      <c r="K1197" t="s">
        <v>271</v>
      </c>
      <c r="L1197" t="s">
        <v>24</v>
      </c>
      <c r="N1197" t="s">
        <v>31</v>
      </c>
      <c r="Q1197" t="str">
        <f>LEFT(B1197, 2)</f>
        <v>HP</v>
      </c>
      <c r="R1197" t="str">
        <f t="shared" si="78"/>
        <v>Intel Core i5 (13th Gen)</v>
      </c>
      <c r="S1197" t="str">
        <f t="shared" si="77"/>
        <v>16 GB</v>
      </c>
    </row>
    <row r="1198" spans="1:19">
      <c r="A1198" t="str">
        <f>LEFT(B1198, LEN(B1198)-15)</f>
        <v>Asus VivoBook 15 X1504ZA-NJ541WS Laptop (Core i5 12th Gen/16 GB/512 GB SSD/Windows 11)</v>
      </c>
      <c r="B1198" t="s">
        <v>1759</v>
      </c>
      <c r="C1198" s="1">
        <v>55990</v>
      </c>
      <c r="D1198" s="1">
        <v>4</v>
      </c>
      <c r="E1198" s="2">
        <v>80</v>
      </c>
      <c r="F1198" s="2" t="str" cm="1">
        <f t="array" ref="F1198">_xlfn.IFS(AND(101&gt;E1198, E1198&gt;69), "Top-Tier", AND(70&gt;E1198, E1198&gt;39), "Mid-Tier", 40&gt;E1198, "Low-Tier")</f>
        <v>Top-Tier</v>
      </c>
      <c r="G1198" s="4">
        <v>45231</v>
      </c>
      <c r="H1198" t="s">
        <v>1705</v>
      </c>
      <c r="I1198" t="s">
        <v>33</v>
      </c>
      <c r="J1198" t="s">
        <v>34</v>
      </c>
      <c r="K1198" t="s">
        <v>51</v>
      </c>
      <c r="L1198" t="s">
        <v>24</v>
      </c>
      <c r="M1198" t="s">
        <v>95</v>
      </c>
      <c r="N1198" t="s">
        <v>31</v>
      </c>
      <c r="P1198" s="3">
        <v>79</v>
      </c>
      <c r="Q1198" t="str">
        <f>LEFT(B1198, 4)</f>
        <v>Asus</v>
      </c>
      <c r="R1198" t="str">
        <f t="shared" si="78"/>
        <v>Intel Core i5 (13th Gen)</v>
      </c>
      <c r="S1198" t="str">
        <f t="shared" si="77"/>
        <v>16 GB</v>
      </c>
    </row>
    <row r="1199" spans="1:19">
      <c r="A1199" t="str">
        <f>LEFT(B1199, LEN(B1199)-15)</f>
        <v>HP Victus 15-fa1124TX (8U1H3PA) Laptop (Core i5 12th Gen/8 GB/512 GB SSD/Windows 11/4 GB)</v>
      </c>
      <c r="B1199" t="s">
        <v>1760</v>
      </c>
      <c r="C1199" s="1">
        <v>57900</v>
      </c>
      <c r="D1199" s="1">
        <v>1</v>
      </c>
      <c r="E1199" s="2">
        <v>80</v>
      </c>
      <c r="F1199" s="2" t="str" cm="1">
        <f t="array" ref="F1199">_xlfn.IFS(AND(101&gt;E1199, E1199&gt;69), "Top-Tier", AND(70&gt;E1199, E1199&gt;39), "Mid-Tier", 40&gt;E1199, "Low-Tier")</f>
        <v>Top-Tier</v>
      </c>
      <c r="G1199" s="4">
        <v>45231</v>
      </c>
      <c r="H1199" t="s">
        <v>1705</v>
      </c>
      <c r="I1199" t="s">
        <v>33</v>
      </c>
      <c r="J1199" t="s">
        <v>50</v>
      </c>
      <c r="K1199" t="s">
        <v>51</v>
      </c>
      <c r="L1199" t="s">
        <v>24</v>
      </c>
      <c r="N1199" t="s">
        <v>31</v>
      </c>
      <c r="P1199" s="3">
        <v>84</v>
      </c>
      <c r="Q1199" t="str">
        <f>LEFT(B1199, 2)</f>
        <v>HP</v>
      </c>
      <c r="R1199" t="str">
        <f t="shared" si="78"/>
        <v>Intel Core i5 (13th Gen)</v>
      </c>
      <c r="S1199" t="str">
        <f t="shared" si="77"/>
        <v xml:space="preserve">8 GB </v>
      </c>
    </row>
    <row r="1200" spans="1:19">
      <c r="A1200" t="str">
        <f>LEFT(B1200, LEN(B1200)-15)</f>
        <v>Microsoft Surface Go 3 (XK1-00045) Laptop (Core i5 12th Gen/8 GB/256 GB SSD/Windows 11)</v>
      </c>
      <c r="B1200" t="s">
        <v>1761</v>
      </c>
      <c r="C1200" s="1">
        <v>72990</v>
      </c>
      <c r="D1200" s="1">
        <v>12</v>
      </c>
      <c r="E1200" s="2">
        <v>80</v>
      </c>
      <c r="F1200" s="2" t="str" cm="1">
        <f t="array" ref="F1200">_xlfn.IFS(AND(101&gt;E1200, E1200&gt;69), "Top-Tier", AND(70&gt;E1200, E1200&gt;39), "Mid-Tier", 40&gt;E1200, "Low-Tier")</f>
        <v>Top-Tier</v>
      </c>
      <c r="G1200" s="4">
        <v>45231</v>
      </c>
      <c r="H1200" t="s">
        <v>1705</v>
      </c>
      <c r="I1200" t="s">
        <v>33</v>
      </c>
      <c r="J1200" t="s">
        <v>239</v>
      </c>
      <c r="K1200" t="s">
        <v>1762</v>
      </c>
      <c r="L1200" t="s">
        <v>24</v>
      </c>
      <c r="M1200" t="s">
        <v>407</v>
      </c>
      <c r="P1200" s="3">
        <v>75</v>
      </c>
      <c r="Q1200" t="str">
        <f>LEFT(B1200, 9)</f>
        <v>Microsoft</v>
      </c>
      <c r="R1200" t="str">
        <f t="shared" si="78"/>
        <v>Intel Core i5 (13th Gen)</v>
      </c>
      <c r="S1200" t="str">
        <f t="shared" si="77"/>
        <v xml:space="preserve">8 GB </v>
      </c>
    </row>
    <row r="1201" spans="1:19">
      <c r="A1201" t="str">
        <f>LEFT(B1201, LEN(B1201)-15)</f>
        <v>Dell Inspiron 15 3520 (IN3520P9K46002ORS1) Laptop (Core i3 12th Gen/8 GB/512 GB SSD/Windows 11)</v>
      </c>
      <c r="B1201" t="s">
        <v>1763</v>
      </c>
      <c r="C1201" s="1">
        <v>37990</v>
      </c>
      <c r="D1201" s="1">
        <v>33</v>
      </c>
      <c r="E1201" s="2">
        <v>80</v>
      </c>
      <c r="F1201" s="2" t="str" cm="1">
        <f t="array" ref="F1201">_xlfn.IFS(AND(101&gt;E1201, E1201&gt;69), "Top-Tier", AND(70&gt;E1201, E1201&gt;39), "Mid-Tier", 40&gt;E1201, "Low-Tier")</f>
        <v>Top-Tier</v>
      </c>
      <c r="G1201" s="4">
        <v>45200</v>
      </c>
      <c r="H1201" t="s">
        <v>1705</v>
      </c>
      <c r="I1201" t="s">
        <v>33</v>
      </c>
      <c r="J1201" t="s">
        <v>50</v>
      </c>
      <c r="K1201" t="s">
        <v>51</v>
      </c>
      <c r="L1201" t="s">
        <v>24</v>
      </c>
      <c r="M1201" t="s">
        <v>178</v>
      </c>
      <c r="N1201" t="s">
        <v>31</v>
      </c>
      <c r="P1201" s="3">
        <v>73</v>
      </c>
      <c r="Q1201" t="str">
        <f>LEFT(B1201, 4)</f>
        <v>Dell</v>
      </c>
      <c r="R1201" t="str">
        <f t="shared" si="78"/>
        <v>Intel Core i5 (13th Gen)</v>
      </c>
      <c r="S1201" t="str">
        <f t="shared" si="77"/>
        <v xml:space="preserve">8 GB </v>
      </c>
    </row>
    <row r="1202" spans="1:19">
      <c r="A1202" t="str">
        <f>LEFT(B1202, LEN(B1202)-15)</f>
        <v>Gigabyte G5 MF-E2IN313SH Laptop (Core i5 12th Gen/8 GB/512 GB SSD/Windows 11/6 GB)</v>
      </c>
      <c r="B1202" t="s">
        <v>1764</v>
      </c>
      <c r="C1202" s="1">
        <v>143700</v>
      </c>
      <c r="D1202" s="1">
        <v>6</v>
      </c>
      <c r="E1202" s="2">
        <v>80</v>
      </c>
      <c r="F1202" s="2" t="str" cm="1">
        <f t="array" ref="F1202">_xlfn.IFS(AND(101&gt;E1202, E1202&gt;69), "Top-Tier", AND(70&gt;E1202, E1202&gt;39), "Mid-Tier", 40&gt;E1202, "Low-Tier")</f>
        <v>Top-Tier</v>
      </c>
      <c r="G1202" s="4">
        <v>45200</v>
      </c>
      <c r="H1202" t="s">
        <v>1705</v>
      </c>
      <c r="I1202" t="s">
        <v>33</v>
      </c>
      <c r="J1202" t="s">
        <v>50</v>
      </c>
      <c r="K1202" t="s">
        <v>466</v>
      </c>
      <c r="L1202" t="s">
        <v>24</v>
      </c>
      <c r="P1202" s="3">
        <v>82</v>
      </c>
      <c r="Q1202" t="str">
        <f>LEFT(B1202, 8)</f>
        <v>Gigabyte</v>
      </c>
      <c r="R1202" t="str">
        <f t="shared" si="78"/>
        <v>Intel Core i5 (13th Gen)</v>
      </c>
      <c r="S1202" t="str">
        <f t="shared" si="77"/>
        <v xml:space="preserve">8 GB </v>
      </c>
    </row>
    <row r="1203" spans="1:19">
      <c r="A1203" t="str">
        <f>LEFT(B1203, LEN(B1203)-15)</f>
        <v>HP Omen 16-XD0007ax (90L48PA) Laptop (AMD Octa Core Ryzen 7/16 GB/1 TB SSD/Windows 11/6 GB)</v>
      </c>
      <c r="B1203" t="s">
        <v>1765</v>
      </c>
      <c r="C1203" s="1">
        <v>99990</v>
      </c>
      <c r="D1203" s="1">
        <v>43</v>
      </c>
      <c r="E1203" s="2">
        <v>80</v>
      </c>
      <c r="F1203" s="2" t="str" cm="1">
        <f t="array" ref="F1203">_xlfn.IFS(AND(101&gt;E1203, E1203&gt;69), "Top-Tier", AND(70&gt;E1203, E1203&gt;39), "Mid-Tier", 40&gt;E1203, "Low-Tier")</f>
        <v>Top-Tier</v>
      </c>
      <c r="G1203" s="4">
        <v>45200</v>
      </c>
      <c r="H1203" t="s">
        <v>1705</v>
      </c>
      <c r="I1203" t="s">
        <v>33</v>
      </c>
      <c r="J1203" t="s">
        <v>72</v>
      </c>
      <c r="K1203" t="s">
        <v>271</v>
      </c>
      <c r="L1203" t="s">
        <v>24</v>
      </c>
      <c r="N1203" t="s">
        <v>31</v>
      </c>
      <c r="P1203" s="3">
        <v>85</v>
      </c>
      <c r="Q1203" t="str">
        <f>LEFT(B1203, 2)</f>
        <v>HP</v>
      </c>
      <c r="R1203" t="str">
        <f t="shared" si="78"/>
        <v>Intel Core i5 (13th Gen)</v>
      </c>
      <c r="S1203" t="str">
        <f t="shared" si="77"/>
        <v>16 GB</v>
      </c>
    </row>
    <row r="1204" spans="1:19">
      <c r="A1204" t="str">
        <f>LEFT(B1204, LEN(B1204)-15)</f>
        <v>HP Pavilion 14-ey0789AU (92U77PA) Laptop (AMD Octa Core Ryzen 7/16 GB/1 TB SSD/Windows 11)</v>
      </c>
      <c r="B1204" t="s">
        <v>1766</v>
      </c>
      <c r="C1204" s="1">
        <v>86990</v>
      </c>
      <c r="D1204" s="1">
        <v>1</v>
      </c>
      <c r="E1204" s="2">
        <v>80</v>
      </c>
      <c r="F1204" s="2" t="str" cm="1">
        <f t="array" ref="F1204">_xlfn.IFS(AND(101&gt;E1204, E1204&gt;69), "Top-Tier", AND(70&gt;E1204, E1204&gt;39), "Mid-Tier", 40&gt;E1204, "Low-Tier")</f>
        <v>Top-Tier</v>
      </c>
      <c r="G1204" s="4">
        <v>45200</v>
      </c>
      <c r="H1204" t="s">
        <v>1705</v>
      </c>
      <c r="I1204" t="s">
        <v>33</v>
      </c>
      <c r="J1204" t="s">
        <v>42</v>
      </c>
      <c r="K1204" t="s">
        <v>81</v>
      </c>
      <c r="L1204" t="s">
        <v>24</v>
      </c>
      <c r="M1204" t="s">
        <v>444</v>
      </c>
      <c r="N1204" t="s">
        <v>31</v>
      </c>
      <c r="P1204" s="3">
        <v>86</v>
      </c>
      <c r="Q1204" t="str">
        <f>LEFT(B1204, 2)</f>
        <v>HP</v>
      </c>
      <c r="R1204" t="str">
        <f t="shared" si="78"/>
        <v>Intel Core i5 (13th Gen)</v>
      </c>
      <c r="S1204" t="str">
        <f t="shared" si="77"/>
        <v>16 GB</v>
      </c>
    </row>
    <row r="1205" spans="1:19">
      <c r="A1205" t="str">
        <f>LEFT(B1205, LEN(B1205)-15)</f>
        <v>Asus VivoBook Go 14 E410KA-EK013W Laptop (Intel Celeron Dual Core/8 GB/256 GB SSD/Windows 11)</v>
      </c>
      <c r="B1205" t="s">
        <v>1767</v>
      </c>
      <c r="C1205" s="1">
        <v>22990</v>
      </c>
      <c r="D1205" s="1">
        <v>191</v>
      </c>
      <c r="E1205" s="2">
        <v>80</v>
      </c>
      <c r="F1205" s="2" t="str" cm="1">
        <f t="array" ref="F1205">_xlfn.IFS(AND(101&gt;E1205, E1205&gt;69), "Top-Tier", AND(70&gt;E1205, E1205&gt;39), "Mid-Tier", 40&gt;E1205, "Low-Tier")</f>
        <v>Top-Tier</v>
      </c>
      <c r="G1205" s="4">
        <v>45200</v>
      </c>
      <c r="H1205" t="s">
        <v>1705</v>
      </c>
      <c r="I1205" t="s">
        <v>33</v>
      </c>
      <c r="J1205" t="s">
        <v>338</v>
      </c>
      <c r="K1205" t="s">
        <v>149</v>
      </c>
      <c r="L1205" t="s">
        <v>24</v>
      </c>
      <c r="M1205" t="s">
        <v>732</v>
      </c>
      <c r="N1205" t="s">
        <v>31</v>
      </c>
      <c r="Q1205" t="str">
        <f>LEFT(B1205, 4)</f>
        <v>Asus</v>
      </c>
      <c r="R1205" t="str">
        <f t="shared" si="78"/>
        <v>Intel Core i5 (13th Gen)</v>
      </c>
      <c r="S1205" t="str">
        <f t="shared" ref="S1205:S1268" si="79">LEFT(J1205, 5)</f>
        <v xml:space="preserve">8 GB </v>
      </c>
    </row>
    <row r="1206" spans="1:19">
      <c r="A1206" t="str">
        <f>LEFT(B1206, LEN(B1206)-15)</f>
        <v>Asus VivoBook 14 X1404VA-NK521WS Laptop (Core i5 13th Gen/8 GB/512 GB SSD/Windows 11)</v>
      </c>
      <c r="B1206" t="s">
        <v>1768</v>
      </c>
      <c r="C1206" s="1">
        <v>47990</v>
      </c>
      <c r="D1206" s="1">
        <v>157</v>
      </c>
      <c r="E1206" s="2">
        <v>80</v>
      </c>
      <c r="F1206" s="2" t="str" cm="1">
        <f t="array" ref="F1206">_xlfn.IFS(AND(101&gt;E1206, E1206&gt;69), "Top-Tier", AND(70&gt;E1206, E1206&gt;39), "Mid-Tier", 40&gt;E1206, "Low-Tier")</f>
        <v>Top-Tier</v>
      </c>
      <c r="G1206" s="4">
        <v>45170</v>
      </c>
      <c r="H1206" t="s">
        <v>1705</v>
      </c>
      <c r="I1206" t="s">
        <v>33</v>
      </c>
      <c r="J1206" t="s">
        <v>50</v>
      </c>
      <c r="K1206" t="s">
        <v>149</v>
      </c>
      <c r="L1206" t="s">
        <v>24</v>
      </c>
      <c r="M1206" t="s">
        <v>95</v>
      </c>
      <c r="N1206" t="s">
        <v>31</v>
      </c>
      <c r="P1206" s="3">
        <v>78</v>
      </c>
      <c r="Q1206" t="str">
        <f>LEFT(B1206, 4)</f>
        <v>Asus</v>
      </c>
      <c r="R1206" t="str">
        <f t="shared" si="78"/>
        <v>Intel Core i5 (13th Gen)</v>
      </c>
      <c r="S1206" t="str">
        <f t="shared" si="79"/>
        <v xml:space="preserve">8 GB </v>
      </c>
    </row>
    <row r="1207" spans="1:19">
      <c r="A1207" t="str">
        <f>LEFT(B1207, LEN(B1207)-15)</f>
        <v>HP 15s-fq5185TU (7Q6Z7PA) Laptop (Core i3 12th Gen/8 GB/512 GB SSD/Windows 11)</v>
      </c>
      <c r="B1207" t="s">
        <v>1769</v>
      </c>
      <c r="C1207" s="1">
        <v>46601</v>
      </c>
      <c r="D1207" s="1">
        <v>42</v>
      </c>
      <c r="E1207" s="2">
        <v>80</v>
      </c>
      <c r="F1207" s="2" t="str" cm="1">
        <f t="array" ref="F1207">_xlfn.IFS(AND(101&gt;E1207, E1207&gt;69), "Top-Tier", AND(70&gt;E1207, E1207&gt;39), "Mid-Tier", 40&gt;E1207, "Low-Tier")</f>
        <v>Top-Tier</v>
      </c>
      <c r="G1207" s="4">
        <v>45170</v>
      </c>
      <c r="H1207" t="s">
        <v>1705</v>
      </c>
      <c r="I1207" t="s">
        <v>33</v>
      </c>
      <c r="J1207" t="s">
        <v>50</v>
      </c>
      <c r="K1207" t="s">
        <v>51</v>
      </c>
      <c r="L1207" t="s">
        <v>24</v>
      </c>
      <c r="M1207" t="s">
        <v>95</v>
      </c>
      <c r="N1207" t="s">
        <v>31</v>
      </c>
      <c r="P1207" s="3">
        <v>77</v>
      </c>
      <c r="Q1207" t="str">
        <f>LEFT(B1207, 2)</f>
        <v>HP</v>
      </c>
      <c r="R1207" t="str">
        <f t="shared" si="78"/>
        <v>Intel Core i5 (13th Gen)</v>
      </c>
      <c r="S1207" t="str">
        <f t="shared" si="79"/>
        <v xml:space="preserve">8 GB </v>
      </c>
    </row>
    <row r="1208" spans="1:19">
      <c r="A1208" t="str">
        <f>LEFT(B1208, LEN(B1208)-15)</f>
        <v>Acer Nitro V ANV15-51 (UN.QN8SI.001) Laptop (Core i5 13th Gen/16 GB/512 GB SSD/Windows 11/6 GB)</v>
      </c>
      <c r="B1208" t="s">
        <v>1770</v>
      </c>
      <c r="C1208" s="1">
        <v>79900</v>
      </c>
      <c r="D1208" s="1">
        <v>608</v>
      </c>
      <c r="E1208" s="2">
        <v>80</v>
      </c>
      <c r="F1208" s="2" t="str" cm="1">
        <f t="array" ref="F1208">_xlfn.IFS(AND(101&gt;E1208, E1208&gt;69), "Top-Tier", AND(70&gt;E1208, E1208&gt;39), "Mid-Tier", 40&gt;E1208, "Low-Tier")</f>
        <v>Top-Tier</v>
      </c>
      <c r="G1208" s="4">
        <v>45170</v>
      </c>
      <c r="H1208" t="s">
        <v>1705</v>
      </c>
      <c r="I1208" t="s">
        <v>33</v>
      </c>
      <c r="J1208" t="s">
        <v>54</v>
      </c>
      <c r="K1208" t="s">
        <v>741</v>
      </c>
      <c r="L1208" t="s">
        <v>24</v>
      </c>
      <c r="N1208" t="s">
        <v>31</v>
      </c>
      <c r="P1208" s="3">
        <v>87</v>
      </c>
      <c r="Q1208" t="str">
        <f>LEFT(B1208, 4)</f>
        <v>Acer</v>
      </c>
      <c r="R1208" t="str">
        <f t="shared" si="78"/>
        <v>Intel Core i5 (13th Gen)</v>
      </c>
      <c r="S1208" t="str">
        <f t="shared" si="79"/>
        <v>16 GB</v>
      </c>
    </row>
    <row r="1209" spans="1:19">
      <c r="A1209" t="str">
        <f>LEFT(B1209, LEN(B1209)-15)</f>
        <v>HP 14-em0025AU (7N8C2PA) Laptop (AMD Quad Core Ryzen 3/8 GB/512 GB SSD/Windows 11)</v>
      </c>
      <c r="B1209" t="s">
        <v>1771</v>
      </c>
      <c r="C1209" s="1">
        <v>33999</v>
      </c>
      <c r="D1209" s="1">
        <v>30</v>
      </c>
      <c r="E1209" s="2">
        <v>80</v>
      </c>
      <c r="F1209" s="2" t="str" cm="1">
        <f t="array" ref="F1209">_xlfn.IFS(AND(101&gt;E1209, E1209&gt;69), "Top-Tier", AND(70&gt;E1209, E1209&gt;39), "Mid-Tier", 40&gt;E1209, "Low-Tier")</f>
        <v>Top-Tier</v>
      </c>
      <c r="G1209" s="4">
        <v>45170</v>
      </c>
      <c r="H1209" t="s">
        <v>1705</v>
      </c>
      <c r="I1209" t="s">
        <v>33</v>
      </c>
      <c r="J1209" t="s">
        <v>162</v>
      </c>
      <c r="K1209" t="s">
        <v>149</v>
      </c>
      <c r="L1209" t="s">
        <v>24</v>
      </c>
      <c r="M1209" t="s">
        <v>95</v>
      </c>
      <c r="N1209" t="s">
        <v>31</v>
      </c>
      <c r="P1209" s="3">
        <v>76</v>
      </c>
      <c r="Q1209" t="str">
        <f>LEFT(B1209, 2)</f>
        <v>HP</v>
      </c>
      <c r="R1209" t="str">
        <f t="shared" si="78"/>
        <v>Intel Core i5 (13th Gen)</v>
      </c>
      <c r="S1209" t="str">
        <f t="shared" si="79"/>
        <v xml:space="preserve">8 GB </v>
      </c>
    </row>
    <row r="1210" spans="1:19">
      <c r="A1210" t="str">
        <f>LEFT(B1210, LEN(B1210)-15)</f>
        <v>HP 255 G9 (841W6PA) Laptop (AMD Dual Core Ryzen 3/8 GB/512 GB SSD/DOS)</v>
      </c>
      <c r="B1210" t="s">
        <v>1772</v>
      </c>
      <c r="C1210" s="1">
        <v>26490</v>
      </c>
      <c r="D1210" s="1">
        <v>91</v>
      </c>
      <c r="E1210" s="2">
        <v>80</v>
      </c>
      <c r="F1210" s="2" t="str" cm="1">
        <f t="array" ref="F1210">_xlfn.IFS(AND(101&gt;E1210, E1210&gt;69), "Top-Tier", AND(70&gt;E1210, E1210&gt;39), "Mid-Tier", 40&gt;E1210, "Low-Tier")</f>
        <v>Top-Tier</v>
      </c>
      <c r="G1210" s="4">
        <v>45170</v>
      </c>
      <c r="H1210" t="s">
        <v>1705</v>
      </c>
      <c r="I1210" t="s">
        <v>124</v>
      </c>
      <c r="J1210" t="s">
        <v>50</v>
      </c>
      <c r="K1210" t="s">
        <v>674</v>
      </c>
      <c r="L1210" t="s">
        <v>24</v>
      </c>
      <c r="M1210" t="s">
        <v>52</v>
      </c>
      <c r="N1210" t="s">
        <v>31</v>
      </c>
      <c r="Q1210" t="str">
        <f>LEFT(B1210, 2)</f>
        <v>HP</v>
      </c>
      <c r="R1210" t="str">
        <f t="shared" si="78"/>
        <v>Intel Core i5 (13th Gen)</v>
      </c>
      <c r="S1210" t="str">
        <f t="shared" si="79"/>
        <v xml:space="preserve">8 GB </v>
      </c>
    </row>
    <row r="1211" spans="1:19">
      <c r="A1211" t="str">
        <f>LEFT(B1211, LEN(B1211)-15)</f>
        <v>Fujitsu CH 4ZR1L82433 Laptop (Core i5 13th Gen/16 GB/512 GB SSD/Windows 11)</v>
      </c>
      <c r="B1211" t="s">
        <v>1773</v>
      </c>
      <c r="C1211" s="1">
        <v>59990</v>
      </c>
      <c r="D1211" s="1">
        <v>5</v>
      </c>
      <c r="E1211" s="2">
        <v>80</v>
      </c>
      <c r="F1211" s="2" t="str" cm="1">
        <f t="array" ref="F1211">_xlfn.IFS(AND(101&gt;E1211, E1211&gt;69), "Top-Tier", AND(70&gt;E1211, E1211&gt;39), "Mid-Tier", 40&gt;E1211, "Low-Tier")</f>
        <v>Top-Tier</v>
      </c>
      <c r="G1211" s="4">
        <v>45139</v>
      </c>
      <c r="H1211" t="s">
        <v>1705</v>
      </c>
      <c r="I1211" t="s">
        <v>33</v>
      </c>
      <c r="J1211" t="s">
        <v>121</v>
      </c>
      <c r="K1211" t="s">
        <v>1406</v>
      </c>
      <c r="L1211" t="s">
        <v>24</v>
      </c>
      <c r="N1211" t="s">
        <v>31</v>
      </c>
      <c r="P1211" s="3">
        <v>80</v>
      </c>
      <c r="Q1211" t="str">
        <f>LEFT(B1211, 7)</f>
        <v>Fujitsu</v>
      </c>
      <c r="R1211" t="str">
        <f t="shared" si="78"/>
        <v>Intel Core i5 (13th Gen)</v>
      </c>
      <c r="S1211" t="str">
        <f t="shared" si="79"/>
        <v>16 GB</v>
      </c>
    </row>
    <row r="1212" spans="1:19">
      <c r="A1212" t="str">
        <f>LEFT(B1212, LEN(B1212)-15)</f>
        <v>Lenovo Legion Pro 5 16IRX8 (82WK00LNIN) Laptop (Core i7 13th Gen/32 GB/1 TB SSD/Windows 11/8 GB)</v>
      </c>
      <c r="B1212" t="s">
        <v>1774</v>
      </c>
      <c r="C1212" s="1">
        <v>244890</v>
      </c>
      <c r="D1212" s="1">
        <v>1</v>
      </c>
      <c r="E1212" s="2">
        <v>80</v>
      </c>
      <c r="F1212" s="2" t="str" cm="1">
        <f t="array" ref="F1212">_xlfn.IFS(AND(101&gt;E1212, E1212&gt;69), "Top-Tier", AND(70&gt;E1212, E1212&gt;39), "Mid-Tier", 40&gt;E1212, "Low-Tier")</f>
        <v>Top-Tier</v>
      </c>
      <c r="G1212" s="4">
        <v>45139</v>
      </c>
      <c r="H1212" t="s">
        <v>1705</v>
      </c>
      <c r="I1212" t="s">
        <v>33</v>
      </c>
      <c r="J1212" t="s">
        <v>144</v>
      </c>
      <c r="K1212" t="s">
        <v>117</v>
      </c>
      <c r="L1212" t="s">
        <v>24</v>
      </c>
      <c r="N1212" t="s">
        <v>31</v>
      </c>
      <c r="Q1212" t="str">
        <f>LEFT(B1212, 6)</f>
        <v>Lenovo</v>
      </c>
      <c r="R1212" t="str">
        <f t="shared" si="78"/>
        <v>Intel Core i5 (13th Gen)</v>
      </c>
      <c r="S1212" t="str">
        <f t="shared" si="79"/>
        <v>32 GB</v>
      </c>
    </row>
    <row r="1213" spans="1:19">
      <c r="A1213" t="str">
        <f>LEFT(B1213, LEN(B1213)-15)</f>
        <v>Lenovo ThinkBook 15 G5 (21JFA00BIN) Laptop (AMD Octa Core Ryzen 7/8 GB/512 GB SSD/Windows 11)</v>
      </c>
      <c r="B1213" t="s">
        <v>1775</v>
      </c>
      <c r="C1213" s="1">
        <v>39989</v>
      </c>
      <c r="D1213" s="1">
        <v>202</v>
      </c>
      <c r="E1213" s="2">
        <v>80</v>
      </c>
      <c r="F1213" s="2" t="str" cm="1">
        <f t="array" ref="F1213">_xlfn.IFS(AND(101&gt;E1213, E1213&gt;69), "Top-Tier", AND(70&gt;E1213, E1213&gt;39), "Mid-Tier", 40&gt;E1213, "Low-Tier")</f>
        <v>Top-Tier</v>
      </c>
      <c r="G1213" s="4">
        <v>45139</v>
      </c>
      <c r="H1213" t="s">
        <v>1705</v>
      </c>
      <c r="I1213" t="s">
        <v>33</v>
      </c>
      <c r="J1213" t="s">
        <v>50</v>
      </c>
      <c r="K1213" t="s">
        <v>51</v>
      </c>
      <c r="L1213" t="s">
        <v>24</v>
      </c>
      <c r="N1213" t="s">
        <v>31</v>
      </c>
      <c r="P1213" s="3">
        <v>74</v>
      </c>
      <c r="Q1213" t="str">
        <f>LEFT(B1213, 6)</f>
        <v>Lenovo</v>
      </c>
      <c r="R1213" t="str">
        <f t="shared" si="78"/>
        <v>Intel Core i5 (13th Gen)</v>
      </c>
      <c r="S1213" t="str">
        <f t="shared" si="79"/>
        <v xml:space="preserve">8 GB </v>
      </c>
    </row>
    <row r="1214" spans="1:19">
      <c r="A1214" t="str">
        <f>LEFT(B1214, LEN(B1214)-15)</f>
        <v>Lenovo Thinkpad P14s Gen3 (21AKS02800) Laptop (Core i7 12th Gen/16 GB/512 GB SSD/Windows 11/4 GB)</v>
      </c>
      <c r="B1214" t="s">
        <v>1776</v>
      </c>
      <c r="C1214" s="1">
        <v>105999</v>
      </c>
      <c r="D1214" s="1">
        <v>5</v>
      </c>
      <c r="E1214" s="2">
        <v>80</v>
      </c>
      <c r="F1214" s="2" t="str" cm="1">
        <f t="array" ref="F1214">_xlfn.IFS(AND(101&gt;E1214, E1214&gt;69), "Top-Tier", AND(70&gt;E1214, E1214&gt;39), "Mid-Tier", 40&gt;E1214, "Low-Tier")</f>
        <v>Top-Tier</v>
      </c>
      <c r="G1214" s="4">
        <v>45139</v>
      </c>
      <c r="H1214" t="s">
        <v>1705</v>
      </c>
      <c r="I1214" t="s">
        <v>33</v>
      </c>
      <c r="J1214" t="s">
        <v>34</v>
      </c>
      <c r="K1214" t="s">
        <v>149</v>
      </c>
      <c r="L1214" t="s">
        <v>24</v>
      </c>
      <c r="M1214" t="s">
        <v>95</v>
      </c>
      <c r="N1214" t="s">
        <v>31</v>
      </c>
      <c r="P1214" s="3">
        <v>81</v>
      </c>
      <c r="Q1214" t="str">
        <f>LEFT(B1214, 6)</f>
        <v>Lenovo</v>
      </c>
      <c r="R1214" t="str">
        <f t="shared" si="78"/>
        <v>Intel Core i5 (13th Gen)</v>
      </c>
      <c r="S1214" t="str">
        <f t="shared" si="79"/>
        <v>16 GB</v>
      </c>
    </row>
    <row r="1215" spans="1:19">
      <c r="A1215" t="str">
        <f>LEFT(B1215, LEN(B1215)-15)</f>
        <v>Asus VivoBook Go 15 E510MA-EJ001W Laptop (Intel Celeron Dual Core/4 GB/256 GB SSD/Windows 11)</v>
      </c>
      <c r="B1215" t="s">
        <v>1777</v>
      </c>
      <c r="C1215" s="1">
        <v>19990</v>
      </c>
      <c r="D1215" s="1">
        <v>1917</v>
      </c>
      <c r="E1215" s="2">
        <v>80</v>
      </c>
      <c r="F1215" s="2" t="str" cm="1">
        <f t="array" ref="F1215">_xlfn.IFS(AND(101&gt;E1215, E1215&gt;69), "Top-Tier", AND(70&gt;E1215, E1215&gt;39), "Mid-Tier", 40&gt;E1215, "Low-Tier")</f>
        <v>Top-Tier</v>
      </c>
      <c r="G1215" s="4">
        <v>45108</v>
      </c>
      <c r="H1215" t="s">
        <v>1705</v>
      </c>
      <c r="I1215" t="s">
        <v>33</v>
      </c>
      <c r="J1215" t="s">
        <v>698</v>
      </c>
      <c r="K1215" t="s">
        <v>51</v>
      </c>
      <c r="L1215" t="s">
        <v>24</v>
      </c>
      <c r="M1215" t="s">
        <v>842</v>
      </c>
      <c r="N1215" t="s">
        <v>31</v>
      </c>
      <c r="Q1215" t="str">
        <f>LEFT(B1215, 4)</f>
        <v>Asus</v>
      </c>
      <c r="R1215" t="str">
        <f t="shared" si="78"/>
        <v>Intel Core i5 (13th Gen)</v>
      </c>
      <c r="S1215" t="str">
        <f t="shared" si="79"/>
        <v xml:space="preserve">4 GB </v>
      </c>
    </row>
    <row r="1216" spans="1:19">
      <c r="A1216" t="str">
        <f>LEFT(B1216, LEN(B1216)-15)</f>
        <v>Asus VivoBook 14 X1404ZA-NK322WS Laptop (Core i3 12th Gen/8 GB/512 GB SSD/Windows 11)</v>
      </c>
      <c r="B1216" t="s">
        <v>1778</v>
      </c>
      <c r="C1216" s="1">
        <v>30990</v>
      </c>
      <c r="D1216" s="1">
        <v>182</v>
      </c>
      <c r="E1216" s="2">
        <v>80</v>
      </c>
      <c r="F1216" s="2" t="str" cm="1">
        <f t="array" ref="F1216">_xlfn.IFS(AND(101&gt;E1216, E1216&gt;69), "Top-Tier", AND(70&gt;E1216, E1216&gt;39), "Mid-Tier", 40&gt;E1216, "Low-Tier")</f>
        <v>Top-Tier</v>
      </c>
      <c r="G1216" s="4">
        <v>45108</v>
      </c>
      <c r="H1216" t="s">
        <v>1705</v>
      </c>
      <c r="I1216" t="s">
        <v>33</v>
      </c>
      <c r="J1216" t="s">
        <v>50</v>
      </c>
      <c r="K1216" t="s">
        <v>149</v>
      </c>
      <c r="L1216" t="s">
        <v>24</v>
      </c>
      <c r="M1216" t="s">
        <v>95</v>
      </c>
      <c r="N1216" t="s">
        <v>31</v>
      </c>
      <c r="P1216" s="3">
        <v>78</v>
      </c>
      <c r="Q1216" t="str">
        <f>LEFT(B1216, 4)</f>
        <v>Asus</v>
      </c>
      <c r="R1216" t="str">
        <f t="shared" si="78"/>
        <v>Intel Core i5 (13th Gen)</v>
      </c>
      <c r="S1216" t="str">
        <f t="shared" si="79"/>
        <v xml:space="preserve">8 GB </v>
      </c>
    </row>
    <row r="1217" spans="1:19">
      <c r="A1217" t="str">
        <f>LEFT(B1217, LEN(B1217)-15)</f>
        <v>Asus VivoBook 15 X1504ZA-NJ321WS Laptop (Core i3 12th Gen/8 GB/512 GB SSD/Windows 11)</v>
      </c>
      <c r="B1217" t="s">
        <v>1779</v>
      </c>
      <c r="C1217" s="1">
        <v>35990</v>
      </c>
      <c r="D1217" s="1">
        <v>57</v>
      </c>
      <c r="E1217" s="2">
        <v>80</v>
      </c>
      <c r="F1217" s="2" t="str" cm="1">
        <f t="array" ref="F1217">_xlfn.IFS(AND(101&gt;E1217, E1217&gt;69), "Top-Tier", AND(70&gt;E1217, E1217&gt;39), "Mid-Tier", 40&gt;E1217, "Low-Tier")</f>
        <v>Top-Tier</v>
      </c>
      <c r="G1217" s="4">
        <v>45108</v>
      </c>
      <c r="H1217" t="s">
        <v>1705</v>
      </c>
      <c r="I1217" t="s">
        <v>33</v>
      </c>
      <c r="J1217" t="s">
        <v>50</v>
      </c>
      <c r="K1217" t="s">
        <v>51</v>
      </c>
      <c r="L1217" t="s">
        <v>24</v>
      </c>
      <c r="M1217" t="s">
        <v>95</v>
      </c>
      <c r="N1217" t="s">
        <v>31</v>
      </c>
      <c r="P1217" s="3">
        <v>76</v>
      </c>
      <c r="Q1217" t="str">
        <f>LEFT(B1217, 4)</f>
        <v>Asus</v>
      </c>
      <c r="R1217" t="str">
        <f t="shared" si="78"/>
        <v>Intel Core i5 (13th Gen)</v>
      </c>
      <c r="S1217" t="str">
        <f t="shared" si="79"/>
        <v xml:space="preserve">8 GB </v>
      </c>
    </row>
    <row r="1218" spans="1:19">
      <c r="A1218" t="str">
        <f>LEFT(B1218, LEN(B1218)-15)</f>
        <v>MSI Stealth 16 Mercedes AMG A13VF-265IN Laptop (Core i9 13th Gen/32 GB/1 TB SSD/Windows 11/8 GB)</v>
      </c>
      <c r="B1218" t="s">
        <v>1780</v>
      </c>
      <c r="C1218" s="1">
        <v>249990</v>
      </c>
      <c r="D1218" s="1">
        <v>4</v>
      </c>
      <c r="E1218" s="2">
        <v>80</v>
      </c>
      <c r="F1218" s="2" t="str" cm="1">
        <f t="array" ref="F1218">_xlfn.IFS(AND(101&gt;E1218, E1218&gt;69), "Top-Tier", AND(70&gt;E1218, E1218&gt;39), "Mid-Tier", 40&gt;E1218, "Low-Tier")</f>
        <v>Top-Tier</v>
      </c>
      <c r="G1218" s="4">
        <v>45108</v>
      </c>
      <c r="H1218" t="s">
        <v>1705</v>
      </c>
      <c r="I1218" t="s">
        <v>33</v>
      </c>
      <c r="J1218" t="s">
        <v>144</v>
      </c>
      <c r="K1218" t="s">
        <v>266</v>
      </c>
      <c r="L1218" t="s">
        <v>24</v>
      </c>
      <c r="M1218" t="s">
        <v>52</v>
      </c>
      <c r="N1218" t="s">
        <v>31</v>
      </c>
      <c r="Q1218" t="str">
        <f>LEFT(B1218, 3)</f>
        <v>MSI</v>
      </c>
      <c r="R1218" t="str">
        <f t="shared" si="78"/>
        <v>Intel Core i5 (13th Gen)</v>
      </c>
      <c r="S1218" t="str">
        <f t="shared" si="79"/>
        <v>32 GB</v>
      </c>
    </row>
    <row r="1219" spans="1:19">
      <c r="A1219" t="str">
        <f>LEFT(B1219, LEN(B1219)-15)</f>
        <v>Lenovo Yoga Slim 6i 14IRP8 (82WV005JIN) Laptop (Core i5 13th Gen/16 GB/512 GB SSD/Windows 11)</v>
      </c>
      <c r="B1219" t="s">
        <v>1781</v>
      </c>
      <c r="C1219" s="1">
        <v>80065</v>
      </c>
      <c r="D1219" s="1">
        <v>1</v>
      </c>
      <c r="E1219" s="2">
        <v>80</v>
      </c>
      <c r="F1219" s="2" t="str" cm="1">
        <f t="array" ref="F1219">_xlfn.IFS(AND(101&gt;E1219, E1219&gt;69), "Top-Tier", AND(70&gt;E1219, E1219&gt;39), "Mid-Tier", 40&gt;E1219, "Low-Tier")</f>
        <v>Top-Tier</v>
      </c>
      <c r="G1219" s="4">
        <v>45108</v>
      </c>
      <c r="H1219" t="s">
        <v>1705</v>
      </c>
      <c r="I1219" t="s">
        <v>33</v>
      </c>
      <c r="J1219" t="s">
        <v>121</v>
      </c>
      <c r="K1219" t="s">
        <v>59</v>
      </c>
      <c r="L1219" t="s">
        <v>24</v>
      </c>
      <c r="M1219" t="s">
        <v>108</v>
      </c>
      <c r="N1219" t="s">
        <v>31</v>
      </c>
      <c r="P1219" s="3">
        <v>78</v>
      </c>
      <c r="Q1219" t="str">
        <f>LEFT(B1219, 6)</f>
        <v>Lenovo</v>
      </c>
      <c r="R1219" t="str">
        <f t="shared" si="78"/>
        <v>Intel Core i5 (13th Gen)</v>
      </c>
      <c r="S1219" t="str">
        <f t="shared" si="79"/>
        <v>16 GB</v>
      </c>
    </row>
    <row r="1220" spans="1:19">
      <c r="A1220" t="str">
        <f>LEFT(B1220, LEN(B1220)-15)</f>
        <v>Lenovo Yoga 6 13ABR8 (83B2005TIN) Laptop (AMD Hexa Core Ryzen 5/16 GB/512 GB SSD/Windows 11)</v>
      </c>
      <c r="B1220" t="s">
        <v>1782</v>
      </c>
      <c r="C1220" s="1">
        <v>58999</v>
      </c>
      <c r="D1220" s="1">
        <v>20</v>
      </c>
      <c r="E1220" s="2">
        <v>80</v>
      </c>
      <c r="F1220" s="2" t="str" cm="1">
        <f t="array" ref="F1220">_xlfn.IFS(AND(101&gt;E1220, E1220&gt;69), "Top-Tier", AND(70&gt;E1220, E1220&gt;39), "Mid-Tier", 40&gt;E1220, "Low-Tier")</f>
        <v>Top-Tier</v>
      </c>
      <c r="G1220" s="4">
        <v>45108</v>
      </c>
      <c r="H1220" t="s">
        <v>1705</v>
      </c>
      <c r="I1220" t="s">
        <v>33</v>
      </c>
      <c r="J1220" t="s">
        <v>214</v>
      </c>
      <c r="K1220" t="s">
        <v>806</v>
      </c>
      <c r="L1220" t="s">
        <v>24</v>
      </c>
      <c r="N1220" t="s">
        <v>31</v>
      </c>
      <c r="P1220" s="3">
        <v>71</v>
      </c>
      <c r="Q1220" t="str">
        <f>LEFT(B1220, 6)</f>
        <v>Lenovo</v>
      </c>
      <c r="R1220" t="str">
        <f t="shared" ref="R1220:R1268" si="80">LEFT(H1219, 24)</f>
        <v>Intel Core i5 (13th Gen)</v>
      </c>
      <c r="S1220" t="str">
        <f t="shared" si="79"/>
        <v>16 GB</v>
      </c>
    </row>
    <row r="1221" spans="1:19">
      <c r="A1221" t="str">
        <f>LEFT(B1221, LEN(B1221)-15)</f>
        <v>Infinix Y1 Plus Neo XL30 Laptop (Intel Celeron Quad Core/4 GB/128 GB SSD/Windows 11)</v>
      </c>
      <c r="B1221" t="s">
        <v>1783</v>
      </c>
      <c r="C1221" s="1">
        <v>16999</v>
      </c>
      <c r="D1221" s="1">
        <v>1487</v>
      </c>
      <c r="E1221" s="2">
        <v>80</v>
      </c>
      <c r="F1221" s="2" t="str" cm="1">
        <f t="array" ref="F1221">_xlfn.IFS(AND(101&gt;E1221, E1221&gt;69), "Top-Tier", AND(70&gt;E1221, E1221&gt;39), "Mid-Tier", 40&gt;E1221, "Low-Tier")</f>
        <v>Top-Tier</v>
      </c>
      <c r="G1221" s="4">
        <v>45108</v>
      </c>
      <c r="H1221" t="s">
        <v>1705</v>
      </c>
      <c r="I1221" t="s">
        <v>33</v>
      </c>
      <c r="J1221" t="s">
        <v>1435</v>
      </c>
      <c r="K1221" t="s">
        <v>51</v>
      </c>
      <c r="L1221" t="s">
        <v>24</v>
      </c>
      <c r="M1221" t="s">
        <v>842</v>
      </c>
      <c r="N1221" t="s">
        <v>31</v>
      </c>
      <c r="O1221" t="s">
        <v>261</v>
      </c>
      <c r="Q1221" t="str">
        <f>LEFT(B1221, 7)</f>
        <v>Infinix</v>
      </c>
      <c r="R1221" t="str">
        <f t="shared" si="80"/>
        <v>Intel Core i5 (13th Gen)</v>
      </c>
      <c r="S1221" t="str">
        <f t="shared" si="79"/>
        <v xml:space="preserve">4 GB </v>
      </c>
    </row>
    <row r="1222" spans="1:19">
      <c r="A1222" t="str">
        <f>LEFT(B1222, LEN(B1222)-15)</f>
        <v>HP 255 G8 (6E3Z0PA) Laptop (AMD Dual Core Ryzen 3/8 GB/512 GB SSD/DOS)</v>
      </c>
      <c r="B1222" t="s">
        <v>1784</v>
      </c>
      <c r="C1222" s="1">
        <v>32990</v>
      </c>
      <c r="D1222" s="1">
        <v>57</v>
      </c>
      <c r="E1222" s="2">
        <v>80</v>
      </c>
      <c r="F1222" s="2" t="str" cm="1">
        <f t="array" ref="F1222">_xlfn.IFS(AND(101&gt;E1222, E1222&gt;69), "Top-Tier", AND(70&gt;E1222, E1222&gt;39), "Mid-Tier", 40&gt;E1222, "Low-Tier")</f>
        <v>Top-Tier</v>
      </c>
      <c r="G1222" s="4">
        <v>45108</v>
      </c>
      <c r="H1222" t="s">
        <v>1705</v>
      </c>
      <c r="I1222" t="s">
        <v>124</v>
      </c>
      <c r="J1222" t="s">
        <v>50</v>
      </c>
      <c r="K1222" t="s">
        <v>560</v>
      </c>
      <c r="L1222" t="s">
        <v>24</v>
      </c>
      <c r="M1222" t="s">
        <v>95</v>
      </c>
      <c r="N1222" t="s">
        <v>31</v>
      </c>
      <c r="Q1222" t="str">
        <f>LEFT(B1222, 2)</f>
        <v>HP</v>
      </c>
      <c r="R1222" t="str">
        <f t="shared" si="80"/>
        <v>Intel Core i5 (13th Gen)</v>
      </c>
      <c r="S1222" t="str">
        <f t="shared" si="79"/>
        <v xml:space="preserve">8 GB </v>
      </c>
    </row>
    <row r="1223" spans="1:19">
      <c r="A1223" t="str">
        <f>LEFT(B1223, LEN(B1223)-15)</f>
        <v>HP Envy x360 15-fh0019AU (8C4S3PA) Laptop (AMD Octa Core Ryzen 7/16 GB/512 GB SSD/Windows 11)</v>
      </c>
      <c r="B1223" t="s">
        <v>1785</v>
      </c>
      <c r="C1223" s="1">
        <v>89990</v>
      </c>
      <c r="D1223" s="1">
        <v>3</v>
      </c>
      <c r="E1223" s="2">
        <v>80</v>
      </c>
      <c r="F1223" s="2" t="str" cm="1">
        <f t="array" ref="F1223">_xlfn.IFS(AND(101&gt;E1223, E1223&gt;69), "Top-Tier", AND(70&gt;E1223, E1223&gt;39), "Mid-Tier", 40&gt;E1223, "Low-Tier")</f>
        <v>Top-Tier</v>
      </c>
      <c r="G1223" s="4">
        <v>45108</v>
      </c>
      <c r="H1223" t="s">
        <v>1786</v>
      </c>
      <c r="I1223" t="s">
        <v>33</v>
      </c>
      <c r="J1223" t="s">
        <v>214</v>
      </c>
      <c r="K1223" t="s">
        <v>51</v>
      </c>
      <c r="L1223" t="s">
        <v>24</v>
      </c>
      <c r="M1223" t="s">
        <v>36</v>
      </c>
      <c r="N1223" t="s">
        <v>31</v>
      </c>
      <c r="P1223" s="3">
        <v>72</v>
      </c>
      <c r="Q1223" t="str">
        <f>LEFT(B1223, 2)</f>
        <v>HP</v>
      </c>
      <c r="R1223" t="str">
        <f t="shared" si="80"/>
        <v>Intel Core i5 (13th Gen)</v>
      </c>
      <c r="S1223" t="str">
        <f t="shared" si="79"/>
        <v>16 GB</v>
      </c>
    </row>
    <row r="1224" spans="1:19">
      <c r="A1224" t="str">
        <f>LEFT(B1224, LEN(B1224)-15)</f>
        <v>Infinix Zero Book 13 ZL513 Laptop (Core i9 13th Gen/32 GB/1 TB SSD/Windows 11)</v>
      </c>
      <c r="B1224" t="s">
        <v>1787</v>
      </c>
      <c r="C1224" s="1">
        <v>71490</v>
      </c>
      <c r="D1224" s="1">
        <v>676</v>
      </c>
      <c r="E1224" s="2">
        <v>80</v>
      </c>
      <c r="F1224" s="2" t="str" cm="1">
        <f t="array" ref="F1224">_xlfn.IFS(AND(101&gt;E1224, E1224&gt;69), "Top-Tier", AND(70&gt;E1224, E1224&gt;39), "Mid-Tier", 40&gt;E1224, "Low-Tier")</f>
        <v>Top-Tier</v>
      </c>
      <c r="G1224" s="4">
        <v>45108</v>
      </c>
      <c r="H1224" t="s">
        <v>1786</v>
      </c>
      <c r="I1224" t="s">
        <v>33</v>
      </c>
      <c r="J1224" t="s">
        <v>58</v>
      </c>
      <c r="K1224" t="s">
        <v>51</v>
      </c>
      <c r="L1224" t="s">
        <v>24</v>
      </c>
      <c r="M1224" t="s">
        <v>178</v>
      </c>
      <c r="N1224" t="s">
        <v>31</v>
      </c>
      <c r="O1224" t="s">
        <v>261</v>
      </c>
      <c r="P1224" s="3">
        <v>86</v>
      </c>
      <c r="Q1224" t="str">
        <f>LEFT(B1224, 7)</f>
        <v>Infinix</v>
      </c>
      <c r="R1224" t="str">
        <f t="shared" si="80"/>
        <v>Intel Core i5 (13th Gen)</v>
      </c>
      <c r="S1224" t="str">
        <f t="shared" si="79"/>
        <v>32 GB</v>
      </c>
    </row>
    <row r="1225" spans="1:19">
      <c r="A1225" t="str">
        <f>LEFT(B1225, LEN(B1225)-15)</f>
        <v>MSI Modern 14 C11M-029IN Laptop (Core i5 11th Gen/16 GB/512 GB SSD/Windows 11)</v>
      </c>
      <c r="B1225" t="s">
        <v>1788</v>
      </c>
      <c r="C1225" s="1">
        <v>35999</v>
      </c>
      <c r="D1225" s="1">
        <v>3</v>
      </c>
      <c r="E1225" s="2">
        <v>80</v>
      </c>
      <c r="F1225" s="2" t="str" cm="1">
        <f t="array" ref="F1225">_xlfn.IFS(AND(101&gt;E1225, E1225&gt;69), "Top-Tier", AND(70&gt;E1225, E1225&gt;39), "Mid-Tier", 40&gt;E1225, "Low-Tier")</f>
        <v>Top-Tier</v>
      </c>
      <c r="G1225" s="4">
        <v>45108</v>
      </c>
      <c r="H1225" t="s">
        <v>1786</v>
      </c>
      <c r="I1225" t="s">
        <v>33</v>
      </c>
      <c r="J1225" t="s">
        <v>34</v>
      </c>
      <c r="K1225" t="s">
        <v>149</v>
      </c>
      <c r="L1225" t="s">
        <v>24</v>
      </c>
      <c r="M1225" t="s">
        <v>428</v>
      </c>
      <c r="N1225" t="s">
        <v>31</v>
      </c>
      <c r="P1225" s="3">
        <v>73</v>
      </c>
      <c r="Q1225" t="str">
        <f>LEFT(B1225, 3)</f>
        <v>MSI</v>
      </c>
      <c r="R1225" t="str">
        <f t="shared" si="80"/>
        <v>Intel Core i5 (13th Gen)</v>
      </c>
      <c r="S1225" t="str">
        <f t="shared" si="79"/>
        <v>16 GB</v>
      </c>
    </row>
    <row r="1226" spans="1:19">
      <c r="A1226" t="str">
        <f>LEFT(B1226, LEN(B1226)-15)</f>
        <v>Dell Inspiron 14 5430 (IN54303CRT9001SDS1) Laptop (Core i7 13th Gen/16 GB/512 GB SSD/Windows 11)</v>
      </c>
      <c r="B1226" t="s">
        <v>1789</v>
      </c>
      <c r="C1226" s="1">
        <v>78890</v>
      </c>
      <c r="D1226" s="1">
        <v>7</v>
      </c>
      <c r="E1226" s="2">
        <v>80</v>
      </c>
      <c r="F1226" s="2" t="str" cm="1">
        <f t="array" ref="F1226">_xlfn.IFS(AND(101&gt;E1226, E1226&gt;69), "Top-Tier", AND(70&gt;E1226, E1226&gt;39), "Mid-Tier", 40&gt;E1226, "Low-Tier")</f>
        <v>Top-Tier</v>
      </c>
      <c r="G1226" s="4">
        <v>45108</v>
      </c>
      <c r="H1226" t="s">
        <v>1786</v>
      </c>
      <c r="I1226" t="s">
        <v>33</v>
      </c>
      <c r="J1226" t="s">
        <v>121</v>
      </c>
      <c r="K1226" t="s">
        <v>94</v>
      </c>
      <c r="L1226" t="s">
        <v>24</v>
      </c>
      <c r="M1226" t="s">
        <v>1790</v>
      </c>
      <c r="N1226" t="s">
        <v>31</v>
      </c>
      <c r="P1226" s="3">
        <v>78</v>
      </c>
      <c r="Q1226" t="str">
        <f>LEFT(B1226, 4)</f>
        <v>Dell</v>
      </c>
      <c r="R1226" t="str">
        <f t="shared" si="80"/>
        <v>Intel Core i5 (13th Gen)</v>
      </c>
      <c r="S1226" t="str">
        <f t="shared" si="79"/>
        <v>16 GB</v>
      </c>
    </row>
    <row r="1227" spans="1:19">
      <c r="A1227" t="str">
        <f>LEFT(B1227, LEN(B1227)-15)</f>
        <v>Lenovo Ideapad Slim 3 15IRU8 (82X70033IN) Laptop (Core i3 13th Gen/8 GB/512 GB SSD/Windows 11)</v>
      </c>
      <c r="B1227" t="s">
        <v>1791</v>
      </c>
      <c r="C1227" s="1">
        <v>38990</v>
      </c>
      <c r="D1227" s="1">
        <v>70</v>
      </c>
      <c r="E1227" s="2">
        <v>80</v>
      </c>
      <c r="F1227" s="2" t="str" cm="1">
        <f t="array" ref="F1227">_xlfn.IFS(AND(101&gt;E1227, E1227&gt;69), "Top-Tier", AND(70&gt;E1227, E1227&gt;39), "Mid-Tier", 40&gt;E1227, "Low-Tier")</f>
        <v>Top-Tier</v>
      </c>
      <c r="G1227" s="4">
        <v>45078</v>
      </c>
      <c r="H1227" t="s">
        <v>1786</v>
      </c>
      <c r="I1227" t="s">
        <v>33</v>
      </c>
      <c r="J1227" t="s">
        <v>162</v>
      </c>
      <c r="K1227" t="s">
        <v>51</v>
      </c>
      <c r="L1227" t="s">
        <v>24</v>
      </c>
      <c r="M1227" t="s">
        <v>95</v>
      </c>
      <c r="N1227" t="s">
        <v>31</v>
      </c>
      <c r="P1227" s="3">
        <v>79</v>
      </c>
      <c r="Q1227" t="str">
        <f>LEFT(B1227, 6)</f>
        <v>Lenovo</v>
      </c>
      <c r="R1227" t="str">
        <f t="shared" si="80"/>
        <v>Intel Core i5 (13th Gen)</v>
      </c>
      <c r="S1227" t="str">
        <f t="shared" si="79"/>
        <v xml:space="preserve">8 GB </v>
      </c>
    </row>
    <row r="1228" spans="1:19">
      <c r="A1228" t="str">
        <f>LEFT(B1228, LEN(B1228)-15)</f>
        <v>Asus EeeBook 15 E510MA-EJ011WS Laptop (Intel Celeron Dual Core/8 GB/256 GB SSD/Windows 11)</v>
      </c>
      <c r="B1228" t="s">
        <v>1792</v>
      </c>
      <c r="C1228" s="1">
        <v>28495</v>
      </c>
      <c r="D1228" s="1">
        <v>1917</v>
      </c>
      <c r="E1228" s="2">
        <v>80</v>
      </c>
      <c r="F1228" s="2" t="str" cm="1">
        <f t="array" ref="F1228">_xlfn.IFS(AND(101&gt;E1228, E1228&gt;69), "Top-Tier", AND(70&gt;E1228, E1228&gt;39), "Mid-Tier", 40&gt;E1228, "Low-Tier")</f>
        <v>Top-Tier</v>
      </c>
      <c r="G1228" s="4">
        <v>45078</v>
      </c>
      <c r="H1228" t="s">
        <v>1786</v>
      </c>
      <c r="I1228" t="s">
        <v>33</v>
      </c>
      <c r="J1228" t="s">
        <v>338</v>
      </c>
      <c r="K1228" t="s">
        <v>51</v>
      </c>
      <c r="L1228" t="s">
        <v>24</v>
      </c>
      <c r="M1228" t="s">
        <v>842</v>
      </c>
      <c r="N1228" t="s">
        <v>31</v>
      </c>
      <c r="Q1228" t="str">
        <f>LEFT(B1228, 4)</f>
        <v>Asus</v>
      </c>
      <c r="R1228" t="str">
        <f t="shared" si="80"/>
        <v>Intel Core i5 (13th Gen)</v>
      </c>
      <c r="S1228" t="str">
        <f t="shared" si="79"/>
        <v xml:space="preserve">8 GB </v>
      </c>
    </row>
    <row r="1229" spans="1:19">
      <c r="A1229" t="str">
        <f>LEFT(B1229, LEN(B1229)-15)</f>
        <v>Asus VivoBook Go 14 E1404FA-NK323WS Laptop (AMD Quad Core Ryzen 3/8 GB/512 GB SSD/Windows 11)</v>
      </c>
      <c r="B1229" t="s">
        <v>1793</v>
      </c>
      <c r="C1229" s="1">
        <v>31990</v>
      </c>
      <c r="D1229" s="1">
        <v>64</v>
      </c>
      <c r="E1229" s="2">
        <v>80</v>
      </c>
      <c r="F1229" s="2" t="str" cm="1">
        <f t="array" ref="F1229">_xlfn.IFS(AND(101&gt;E1229, E1229&gt;69), "Top-Tier", AND(70&gt;E1229, E1229&gt;39), "Mid-Tier", 40&gt;E1229, "Low-Tier")</f>
        <v>Top-Tier</v>
      </c>
      <c r="G1229" s="4">
        <v>45078</v>
      </c>
      <c r="H1229" t="s">
        <v>1786</v>
      </c>
      <c r="I1229" t="s">
        <v>33</v>
      </c>
      <c r="J1229" t="s">
        <v>162</v>
      </c>
      <c r="K1229" t="s">
        <v>149</v>
      </c>
      <c r="L1229" t="s">
        <v>24</v>
      </c>
      <c r="M1229" t="s">
        <v>95</v>
      </c>
      <c r="N1229" t="s">
        <v>31</v>
      </c>
      <c r="P1229" s="3">
        <v>72</v>
      </c>
      <c r="Q1229" t="str">
        <f>LEFT(B1229, 4)</f>
        <v>Asus</v>
      </c>
      <c r="R1229" t="str">
        <f t="shared" si="80"/>
        <v>Intel Core i5 (13th Gen)</v>
      </c>
      <c r="S1229" t="str">
        <f t="shared" si="79"/>
        <v xml:space="preserve">8 GB </v>
      </c>
    </row>
    <row r="1230" spans="1:19">
      <c r="A1230" t="str">
        <f>LEFT(B1230, LEN(B1230)-15)</f>
        <v>MSI GF63 Thin 11UCX-1441IN Laptop (Core i7 11th Gen/16 GB/512 GB SSD/Windows 11/4 GB)</v>
      </c>
      <c r="B1230" t="s">
        <v>1794</v>
      </c>
      <c r="C1230" s="1">
        <v>63475</v>
      </c>
      <c r="D1230" s="1">
        <v>55</v>
      </c>
      <c r="E1230" s="2">
        <v>80</v>
      </c>
      <c r="F1230" s="2" t="str" cm="1">
        <f t="array" ref="F1230">_xlfn.IFS(AND(101&gt;E1230, E1230&gt;69), "Top-Tier", AND(70&gt;E1230, E1230&gt;39), "Mid-Tier", 40&gt;E1230, "Low-Tier")</f>
        <v>Top-Tier</v>
      </c>
      <c r="G1230" s="4">
        <v>45047</v>
      </c>
      <c r="H1230" t="s">
        <v>1786</v>
      </c>
      <c r="I1230" t="s">
        <v>33</v>
      </c>
      <c r="J1230" t="s">
        <v>34</v>
      </c>
      <c r="K1230" t="s">
        <v>51</v>
      </c>
      <c r="L1230" t="s">
        <v>24</v>
      </c>
      <c r="O1230" t="s">
        <v>254</v>
      </c>
      <c r="P1230" s="3">
        <v>78</v>
      </c>
      <c r="Q1230" t="str">
        <f>LEFT(B1230, 3)</f>
        <v>MSI</v>
      </c>
      <c r="R1230" t="str">
        <f t="shared" si="80"/>
        <v>Intel Core i5 (13th Gen)</v>
      </c>
      <c r="S1230" t="str">
        <f t="shared" si="79"/>
        <v>16 GB</v>
      </c>
    </row>
    <row r="1231" spans="1:19">
      <c r="A1231" t="str">
        <f>LEFT(B1231, LEN(B1231)-15)</f>
        <v>Lenovo V15 G3 (82TT004VIH) Laptop (Core i5 12th Gen/8 GB/512 GB SSD/DOS)</v>
      </c>
      <c r="B1231" t="s">
        <v>1795</v>
      </c>
      <c r="C1231" s="1">
        <v>41000</v>
      </c>
      <c r="D1231" s="1">
        <v>1</v>
      </c>
      <c r="E1231" s="2">
        <v>80</v>
      </c>
      <c r="F1231" s="2" t="str" cm="1">
        <f t="array" ref="F1231">_xlfn.IFS(AND(101&gt;E1231, E1231&gt;69), "Top-Tier", AND(70&gt;E1231, E1231&gt;39), "Mid-Tier", 40&gt;E1231, "Low-Tier")</f>
        <v>Top-Tier</v>
      </c>
      <c r="G1231" s="4">
        <v>45047</v>
      </c>
      <c r="H1231" t="s">
        <v>1786</v>
      </c>
      <c r="I1231" t="s">
        <v>124</v>
      </c>
      <c r="J1231" t="s">
        <v>50</v>
      </c>
      <c r="K1231" t="s">
        <v>51</v>
      </c>
      <c r="L1231" t="s">
        <v>24</v>
      </c>
      <c r="N1231" t="s">
        <v>31</v>
      </c>
      <c r="P1231" s="3">
        <v>77</v>
      </c>
      <c r="Q1231" t="str">
        <f>LEFT(B1231, 6)</f>
        <v>Lenovo</v>
      </c>
      <c r="R1231" t="str">
        <f t="shared" si="80"/>
        <v>Intel Core i5 (13th Gen)</v>
      </c>
      <c r="S1231" t="str">
        <f t="shared" si="79"/>
        <v xml:space="preserve">8 GB </v>
      </c>
    </row>
    <row r="1232" spans="1:19">
      <c r="A1232" t="str">
        <f>LEFT(B1232, LEN(B1232)-15)</f>
        <v>Asus VivoBook 15 X1502ZA-EJ544WS Laptop (Core i5 12th Gen/16 GB/512 GB SSD/Windows 11)</v>
      </c>
      <c r="B1232" t="s">
        <v>1796</v>
      </c>
      <c r="C1232" s="1">
        <v>54490</v>
      </c>
      <c r="D1232" s="1">
        <v>6</v>
      </c>
      <c r="E1232" s="2">
        <v>80</v>
      </c>
      <c r="F1232" s="2" t="str" cm="1">
        <f t="array" ref="F1232">_xlfn.IFS(AND(101&gt;E1232, E1232&gt;69), "Top-Tier", AND(70&gt;E1232, E1232&gt;39), "Mid-Tier", 40&gt;E1232, "Low-Tier")</f>
        <v>Top-Tier</v>
      </c>
      <c r="G1232" s="4">
        <v>45047</v>
      </c>
      <c r="H1232" t="s">
        <v>1786</v>
      </c>
      <c r="I1232" t="s">
        <v>33</v>
      </c>
      <c r="J1232" t="s">
        <v>34</v>
      </c>
      <c r="K1232" t="s">
        <v>159</v>
      </c>
      <c r="L1232" t="s">
        <v>24</v>
      </c>
      <c r="N1232" t="s">
        <v>31</v>
      </c>
      <c r="P1232" s="3">
        <v>80</v>
      </c>
      <c r="Q1232" t="str">
        <f>LEFT(B1232, 4)</f>
        <v>Asus</v>
      </c>
      <c r="R1232" t="str">
        <f t="shared" si="80"/>
        <v>Intel Core i5 (13th Gen)</v>
      </c>
      <c r="S1232" t="str">
        <f t="shared" si="79"/>
        <v>16 GB</v>
      </c>
    </row>
    <row r="1233" spans="1:19">
      <c r="A1233" t="str">
        <f>LEFT(B1233, LEN(B1233)-15)</f>
        <v>Acer Aspire 5 A515-58P (NX.KHJSI.001) Laptop (Core i3 13th Gen/8 GB/512 GB SSD/Windows 11)</v>
      </c>
      <c r="B1233" t="s">
        <v>1797</v>
      </c>
      <c r="C1233" s="1">
        <v>49999</v>
      </c>
      <c r="D1233" s="1">
        <v>21</v>
      </c>
      <c r="E1233" s="2">
        <v>80</v>
      </c>
      <c r="F1233" s="2" t="str" cm="1">
        <f t="array" ref="F1233">_xlfn.IFS(AND(101&gt;E1233, E1233&gt;69), "Top-Tier", AND(70&gt;E1233, E1233&gt;39), "Mid-Tier", 40&gt;E1233, "Low-Tier")</f>
        <v>Top-Tier</v>
      </c>
      <c r="G1233" s="4">
        <v>45047</v>
      </c>
      <c r="H1233" t="s">
        <v>1786</v>
      </c>
      <c r="I1233" t="s">
        <v>33</v>
      </c>
      <c r="J1233" t="s">
        <v>162</v>
      </c>
      <c r="K1233" t="s">
        <v>159</v>
      </c>
      <c r="L1233" t="s">
        <v>24</v>
      </c>
      <c r="N1233" t="s">
        <v>31</v>
      </c>
      <c r="Q1233" t="str">
        <f>LEFT(B1233, 4)</f>
        <v>Acer</v>
      </c>
      <c r="R1233" t="str">
        <f t="shared" si="80"/>
        <v>Intel Core i5 (13th Gen)</v>
      </c>
      <c r="S1233" t="str">
        <f t="shared" si="79"/>
        <v xml:space="preserve">8 GB </v>
      </c>
    </row>
    <row r="1234" spans="1:19">
      <c r="A1234" t="str">
        <f>LEFT(B1234, LEN(B1234)-15)</f>
        <v>Asus ROG Zephyrus G16 GU603VV-N4044WS Laptop (Core i9 13th Gen/16 GB/1 TB SSD/Windows 11/8 GB)</v>
      </c>
      <c r="B1234" t="s">
        <v>1798</v>
      </c>
      <c r="C1234" s="1">
        <v>178990</v>
      </c>
      <c r="D1234" s="1">
        <v>5</v>
      </c>
      <c r="E1234" s="2">
        <v>80</v>
      </c>
      <c r="F1234" s="2" t="str" cm="1">
        <f t="array" ref="F1234">_xlfn.IFS(AND(101&gt;E1234, E1234&gt;69), "Top-Tier", AND(70&gt;E1234, E1234&gt;39), "Mid-Tier", 40&gt;E1234, "Low-Tier")</f>
        <v>Top-Tier</v>
      </c>
      <c r="G1234" s="4">
        <v>45047</v>
      </c>
      <c r="H1234" t="s">
        <v>1786</v>
      </c>
      <c r="I1234" t="s">
        <v>33</v>
      </c>
      <c r="J1234" t="s">
        <v>184</v>
      </c>
      <c r="K1234" t="s">
        <v>547</v>
      </c>
      <c r="L1234" t="s">
        <v>24</v>
      </c>
      <c r="N1234" t="s">
        <v>31</v>
      </c>
      <c r="P1234" s="3">
        <v>87</v>
      </c>
      <c r="Q1234" t="str">
        <f>LEFT(B1234, 4)</f>
        <v>Asus</v>
      </c>
      <c r="R1234" t="str">
        <f t="shared" si="80"/>
        <v>Intel Core i5 (13th Gen)</v>
      </c>
      <c r="S1234" t="str">
        <f t="shared" si="79"/>
        <v>16 GB</v>
      </c>
    </row>
    <row r="1235" spans="1:19">
      <c r="A1235" t="str">
        <f>LEFT(B1235, LEN(B1235)-15)</f>
        <v>Asus TUF Gaming F15 FX507VV-LP071WS Laptop (Core i9 13th Gen/16 GB/1 TB SSD/Windows 11/8 GB)</v>
      </c>
      <c r="B1235" t="s">
        <v>1799</v>
      </c>
      <c r="C1235" s="1">
        <v>159000</v>
      </c>
      <c r="D1235" s="1">
        <v>4</v>
      </c>
      <c r="E1235" s="2">
        <v>80</v>
      </c>
      <c r="F1235" s="2" t="str" cm="1">
        <f t="array" ref="F1235">_xlfn.IFS(AND(101&gt;E1235, E1235&gt;69), "Top-Tier", AND(70&gt;E1235, E1235&gt;39), "Mid-Tier", 40&gt;E1235, "Low-Tier")</f>
        <v>Top-Tier</v>
      </c>
      <c r="G1235" s="4">
        <v>45047</v>
      </c>
      <c r="H1235" t="s">
        <v>1786</v>
      </c>
      <c r="I1235" t="s">
        <v>33</v>
      </c>
      <c r="J1235" t="s">
        <v>184</v>
      </c>
      <c r="K1235" t="s">
        <v>51</v>
      </c>
      <c r="L1235" t="s">
        <v>24</v>
      </c>
      <c r="N1235" t="s">
        <v>31</v>
      </c>
      <c r="P1235" s="3">
        <v>86</v>
      </c>
      <c r="Q1235" t="str">
        <f>LEFT(B1235, 4)</f>
        <v>Asus</v>
      </c>
      <c r="R1235" t="str">
        <f t="shared" si="80"/>
        <v>Intel Core i5 (13th Gen)</v>
      </c>
      <c r="S1235" t="str">
        <f t="shared" si="79"/>
        <v>16 GB</v>
      </c>
    </row>
    <row r="1236" spans="1:19">
      <c r="A1236" t="str">
        <f>LEFT(B1236, LEN(B1236)-15)</f>
        <v>HP 15-fc0028AU (7L032PA) Laptop (AMD Quad Core Ryzen 5/8 GB/512 GB SSD/Windows 11)</v>
      </c>
      <c r="B1236" t="s">
        <v>1800</v>
      </c>
      <c r="C1236" s="1">
        <v>38960</v>
      </c>
      <c r="D1236" s="1">
        <v>73</v>
      </c>
      <c r="E1236" s="2">
        <v>80</v>
      </c>
      <c r="F1236" s="2" t="str" cm="1">
        <f t="array" ref="F1236">_xlfn.IFS(AND(101&gt;E1236, E1236&gt;69), "Top-Tier", AND(70&gt;E1236, E1236&gt;39), "Mid-Tier", 40&gt;E1236, "Low-Tier")</f>
        <v>Top-Tier</v>
      </c>
      <c r="G1236" s="4">
        <v>45047</v>
      </c>
      <c r="H1236" t="s">
        <v>1786</v>
      </c>
      <c r="I1236" t="s">
        <v>33</v>
      </c>
      <c r="J1236" t="s">
        <v>162</v>
      </c>
      <c r="K1236" t="s">
        <v>51</v>
      </c>
      <c r="L1236" t="s">
        <v>24</v>
      </c>
      <c r="M1236" t="s">
        <v>99</v>
      </c>
      <c r="N1236" t="s">
        <v>31</v>
      </c>
      <c r="P1236" s="3">
        <v>72</v>
      </c>
      <c r="Q1236" t="str">
        <f>LEFT(B1236, 2)</f>
        <v>HP</v>
      </c>
      <c r="R1236" t="str">
        <f t="shared" si="80"/>
        <v>Intel Core i5 (13th Gen)</v>
      </c>
      <c r="S1236" t="str">
        <f t="shared" si="79"/>
        <v xml:space="preserve">8 GB </v>
      </c>
    </row>
    <row r="1237" spans="1:19">
      <c r="A1237" t="str">
        <f>LEFT(B1237, LEN(B1237)-15)</f>
        <v>Asus VivoBook 15X OLED M3504YA-LK541WS Laptop (AMD Hexa Core Ryzen 5/16 GB/512 GB SSD/Windows 11)</v>
      </c>
      <c r="B1237" t="s">
        <v>1801</v>
      </c>
      <c r="C1237" s="1">
        <v>55599</v>
      </c>
      <c r="D1237" s="1">
        <v>4</v>
      </c>
      <c r="E1237" s="2">
        <v>80</v>
      </c>
      <c r="F1237" s="2" t="str" cm="1">
        <f t="array" ref="F1237">_xlfn.IFS(AND(101&gt;E1237, E1237&gt;69), "Top-Tier", AND(70&gt;E1237, E1237&gt;39), "Mid-Tier", 40&gt;E1237, "Low-Tier")</f>
        <v>Top-Tier</v>
      </c>
      <c r="G1237" s="4">
        <v>45047</v>
      </c>
      <c r="H1237" t="s">
        <v>1786</v>
      </c>
      <c r="I1237" t="s">
        <v>33</v>
      </c>
      <c r="J1237" t="s">
        <v>34</v>
      </c>
      <c r="K1237" t="s">
        <v>215</v>
      </c>
      <c r="L1237" t="s">
        <v>24</v>
      </c>
      <c r="M1237" t="s">
        <v>95</v>
      </c>
      <c r="N1237" t="s">
        <v>31</v>
      </c>
      <c r="Q1237" t="str">
        <f>LEFT(B1237, 4)</f>
        <v>Asus</v>
      </c>
      <c r="R1237" t="str">
        <f t="shared" si="80"/>
        <v>Intel Core i5 (13th Gen)</v>
      </c>
      <c r="S1237" t="str">
        <f t="shared" si="79"/>
        <v>16 GB</v>
      </c>
    </row>
    <row r="1238" spans="1:19">
      <c r="A1238" t="str">
        <f>LEFT(B1238, LEN(B1238)-15)</f>
        <v>Asus ROG Flow Z13 GZ301VV-MU014WS Laptop (Core i9 13th Gen/16 GB/1 TB SSD/Windows 11/8 GB)</v>
      </c>
      <c r="B1238" t="s">
        <v>1802</v>
      </c>
      <c r="C1238" s="1">
        <v>209990</v>
      </c>
      <c r="D1238" s="1">
        <v>4</v>
      </c>
      <c r="E1238" s="2">
        <v>80</v>
      </c>
      <c r="F1238" s="2" t="str" cm="1">
        <f t="array" ref="F1238">_xlfn.IFS(AND(101&gt;E1238, E1238&gt;69), "Top-Tier", AND(70&gt;E1238, E1238&gt;39), "Mid-Tier", 40&gt;E1238, "Low-Tier")</f>
        <v>Top-Tier</v>
      </c>
      <c r="G1238" s="4">
        <v>45047</v>
      </c>
      <c r="H1238" t="s">
        <v>1786</v>
      </c>
      <c r="I1238" t="s">
        <v>33</v>
      </c>
      <c r="J1238" t="s">
        <v>167</v>
      </c>
      <c r="K1238" t="s">
        <v>219</v>
      </c>
      <c r="L1238" t="s">
        <v>24</v>
      </c>
      <c r="M1238" t="s">
        <v>1803</v>
      </c>
      <c r="Q1238" t="str">
        <f>LEFT(B1238, 4)</f>
        <v>Asus</v>
      </c>
      <c r="R1238" t="str">
        <f t="shared" si="80"/>
        <v>Intel Core i5 (13th Gen)</v>
      </c>
      <c r="S1238" t="str">
        <f t="shared" si="79"/>
        <v>16 GB</v>
      </c>
    </row>
    <row r="1239" spans="1:19">
      <c r="A1239" t="str">
        <f>LEFT(B1239, LEN(B1239)-15)</f>
        <v>Asus ROG Zephyrus G14 GA402NU-N2023WS Laptop (AMD Octa Core Ryzen 7/16 GB/1 TB SSD/Windows 11/6 GB)</v>
      </c>
      <c r="B1239" t="s">
        <v>1804</v>
      </c>
      <c r="C1239" s="1">
        <v>147990</v>
      </c>
      <c r="D1239" s="1">
        <v>3</v>
      </c>
      <c r="E1239" s="2">
        <v>80</v>
      </c>
      <c r="F1239" s="2" t="str" cm="1">
        <f t="array" ref="F1239">_xlfn.IFS(AND(101&gt;E1239, E1239&gt;69), "Top-Tier", AND(70&gt;E1239, E1239&gt;39), "Mid-Tier", 40&gt;E1239, "Low-Tier")</f>
        <v>Top-Tier</v>
      </c>
      <c r="G1239" s="4">
        <v>45047</v>
      </c>
      <c r="H1239" t="s">
        <v>1786</v>
      </c>
      <c r="I1239" t="s">
        <v>33</v>
      </c>
      <c r="J1239" t="s">
        <v>72</v>
      </c>
      <c r="K1239" t="s">
        <v>1508</v>
      </c>
      <c r="L1239" t="s">
        <v>24</v>
      </c>
      <c r="M1239" t="s">
        <v>1713</v>
      </c>
      <c r="N1239" t="s">
        <v>31</v>
      </c>
      <c r="Q1239" t="str">
        <f>LEFT(B1239, 4)</f>
        <v>Asus</v>
      </c>
      <c r="R1239" t="str">
        <f t="shared" si="80"/>
        <v>Intel Core i5 (13th Gen)</v>
      </c>
      <c r="S1239" t="str">
        <f t="shared" si="79"/>
        <v>16 GB</v>
      </c>
    </row>
    <row r="1240" spans="1:19">
      <c r="A1240" t="str">
        <f>LEFT(B1240, LEN(B1240)-15)</f>
        <v>Infinix Y1 Plus Neo XL30 Laptop (Intel Celeron Quad Core/8 GB/256 GB SSD/Windows 11)</v>
      </c>
      <c r="B1240" t="s">
        <v>1805</v>
      </c>
      <c r="C1240" s="1">
        <v>19999</v>
      </c>
      <c r="D1240" s="1">
        <v>4097</v>
      </c>
      <c r="E1240" s="2">
        <v>80</v>
      </c>
      <c r="F1240" s="2" t="str" cm="1">
        <f t="array" ref="F1240">_xlfn.IFS(AND(101&gt;E1240, E1240&gt;69), "Top-Tier", AND(70&gt;E1240, E1240&gt;39), "Mid-Tier", 40&gt;E1240, "Low-Tier")</f>
        <v>Top-Tier</v>
      </c>
      <c r="G1240" s="4">
        <v>45017</v>
      </c>
      <c r="H1240" t="s">
        <v>1786</v>
      </c>
      <c r="I1240" t="s">
        <v>33</v>
      </c>
      <c r="J1240" t="s">
        <v>798</v>
      </c>
      <c r="K1240" t="s">
        <v>51</v>
      </c>
      <c r="L1240" t="s">
        <v>24</v>
      </c>
      <c r="M1240" t="s">
        <v>842</v>
      </c>
      <c r="N1240" t="s">
        <v>31</v>
      </c>
      <c r="O1240" t="s">
        <v>261</v>
      </c>
      <c r="Q1240" t="str">
        <f>LEFT(B1240, 7)</f>
        <v>Infinix</v>
      </c>
      <c r="R1240" t="str">
        <f t="shared" si="80"/>
        <v>Intel Core i5 (13th Gen)</v>
      </c>
      <c r="S1240" t="str">
        <f t="shared" si="79"/>
        <v xml:space="preserve">8 GB </v>
      </c>
    </row>
    <row r="1241" spans="1:19">
      <c r="A1241" t="str">
        <f>LEFT(B1241, LEN(B1241)-15)</f>
        <v>Infinix Y1 Plus Neo XL30 Laptop (Intel Celeron Quad Core/8 GB/512 GB SSD/Windows 11)</v>
      </c>
      <c r="B1241" t="s">
        <v>1806</v>
      </c>
      <c r="C1241" s="1">
        <v>24990</v>
      </c>
      <c r="D1241" s="1">
        <v>4094</v>
      </c>
      <c r="E1241" s="2">
        <v>80</v>
      </c>
      <c r="F1241" s="2" t="str" cm="1">
        <f t="array" ref="F1241">_xlfn.IFS(AND(101&gt;E1241, E1241&gt;69), "Top-Tier", AND(70&gt;E1241, E1241&gt;39), "Mid-Tier", 40&gt;E1241, "Low-Tier")</f>
        <v>Top-Tier</v>
      </c>
      <c r="G1241" s="4">
        <v>45017</v>
      </c>
      <c r="H1241" t="s">
        <v>1786</v>
      </c>
      <c r="I1241" t="s">
        <v>33</v>
      </c>
      <c r="J1241" t="s">
        <v>494</v>
      </c>
      <c r="K1241" t="s">
        <v>51</v>
      </c>
      <c r="L1241" t="s">
        <v>24</v>
      </c>
      <c r="M1241" t="s">
        <v>842</v>
      </c>
      <c r="N1241" t="s">
        <v>31</v>
      </c>
      <c r="O1241" t="s">
        <v>261</v>
      </c>
      <c r="Q1241" t="str">
        <f>LEFT(B1241, 7)</f>
        <v>Infinix</v>
      </c>
      <c r="R1241" t="str">
        <f t="shared" si="80"/>
        <v>Intel Core i5 (13th Gen)</v>
      </c>
      <c r="S1241" t="str">
        <f t="shared" si="79"/>
        <v xml:space="preserve">8 GB </v>
      </c>
    </row>
    <row r="1242" spans="1:19">
      <c r="A1242" t="str">
        <f>LEFT(B1242, LEN(B1242)-15)</f>
        <v>MSI Cyborg 15 A12UCX-264IN Laptop (Core i5 12th Gen/16 GB/512 GB SSD/Windows 11/4 GB)</v>
      </c>
      <c r="B1242" t="s">
        <v>1807</v>
      </c>
      <c r="C1242" s="1">
        <v>58500</v>
      </c>
      <c r="D1242" s="1">
        <v>43</v>
      </c>
      <c r="E1242" s="2">
        <v>80</v>
      </c>
      <c r="F1242" s="2" t="str" cm="1">
        <f t="array" ref="F1242">_xlfn.IFS(AND(101&gt;E1242, E1242&gt;69), "Top-Tier", AND(70&gt;E1242, E1242&gt;39), "Mid-Tier", 40&gt;E1242, "Low-Tier")</f>
        <v>Top-Tier</v>
      </c>
      <c r="G1242" s="4">
        <v>45017</v>
      </c>
      <c r="H1242" t="s">
        <v>1786</v>
      </c>
      <c r="I1242" t="s">
        <v>33</v>
      </c>
      <c r="J1242" t="s">
        <v>54</v>
      </c>
      <c r="K1242" t="s">
        <v>159</v>
      </c>
      <c r="L1242" t="s">
        <v>24</v>
      </c>
      <c r="N1242" t="s">
        <v>31</v>
      </c>
      <c r="P1242" s="3">
        <v>85</v>
      </c>
      <c r="Q1242" t="str">
        <f>LEFT(B1242, 3)</f>
        <v>MSI</v>
      </c>
      <c r="R1242" t="str">
        <f t="shared" si="80"/>
        <v>Intel Core i5 (13th Gen)</v>
      </c>
      <c r="S1242" t="str">
        <f t="shared" si="79"/>
        <v>16 GB</v>
      </c>
    </row>
    <row r="1243" spans="1:19">
      <c r="A1243" t="str">
        <f>LEFT(B1243, LEN(B1243)-15)</f>
        <v>HP 15s-fq2738TU Laptop (Core i3 11th Gen/8 GB/512 GB SSD/Windows 11)</v>
      </c>
      <c r="B1243" t="s">
        <v>1808</v>
      </c>
      <c r="C1243" s="1">
        <v>35990</v>
      </c>
      <c r="D1243" s="1">
        <v>235</v>
      </c>
      <c r="E1243" s="2">
        <v>80</v>
      </c>
      <c r="F1243" s="2" t="str" cm="1">
        <f t="array" ref="F1243">_xlfn.IFS(AND(101&gt;E1243, E1243&gt;69), "Top-Tier", AND(70&gt;E1243, E1243&gt;39), "Mid-Tier", 40&gt;E1243, "Low-Tier")</f>
        <v>Top-Tier</v>
      </c>
      <c r="G1243" s="4">
        <v>45017</v>
      </c>
      <c r="H1243" t="s">
        <v>1786</v>
      </c>
      <c r="I1243" t="s">
        <v>33</v>
      </c>
      <c r="J1243" t="s">
        <v>50</v>
      </c>
      <c r="K1243" t="s">
        <v>560</v>
      </c>
      <c r="L1243" t="s">
        <v>24</v>
      </c>
      <c r="M1243" t="s">
        <v>95</v>
      </c>
      <c r="N1243" t="s">
        <v>31</v>
      </c>
      <c r="Q1243" t="str">
        <f>LEFT(B1243, 2)</f>
        <v>HP</v>
      </c>
      <c r="R1243" t="str">
        <f t="shared" si="80"/>
        <v>Intel Core i5 (13th Gen)</v>
      </c>
      <c r="S1243" t="str">
        <f t="shared" si="79"/>
        <v xml:space="preserve">8 GB </v>
      </c>
    </row>
    <row r="1244" spans="1:19">
      <c r="A1244" t="str">
        <f>LEFT(B1244, LEN(B1244)-15)</f>
        <v>Asus VivoBook 14 X1404VA-NK541WS Laptop (Core i5 13th Gen/16 GB/512 GB SSD/Windows 11)</v>
      </c>
      <c r="B1244" t="s">
        <v>1809</v>
      </c>
      <c r="C1244" s="1">
        <v>51990</v>
      </c>
      <c r="D1244" s="1">
        <v>157</v>
      </c>
      <c r="E1244" s="2">
        <v>80</v>
      </c>
      <c r="F1244" s="2" t="str" cm="1">
        <f t="array" ref="F1244">_xlfn.IFS(AND(101&gt;E1244, E1244&gt;69), "Top-Tier", AND(70&gt;E1244, E1244&gt;39), "Mid-Tier", 40&gt;E1244, "Low-Tier")</f>
        <v>Top-Tier</v>
      </c>
      <c r="G1244" s="4">
        <v>45017</v>
      </c>
      <c r="H1244" t="s">
        <v>1786</v>
      </c>
      <c r="I1244" t="s">
        <v>33</v>
      </c>
      <c r="J1244" t="s">
        <v>34</v>
      </c>
      <c r="K1244" t="s">
        <v>149</v>
      </c>
      <c r="L1244" t="s">
        <v>24</v>
      </c>
      <c r="P1244" s="3">
        <v>73</v>
      </c>
      <c r="Q1244" t="str">
        <f>LEFT(B1244, 4)</f>
        <v>Asus</v>
      </c>
      <c r="R1244" t="str">
        <f t="shared" si="80"/>
        <v>Intel Core i5 (13th Gen)</v>
      </c>
      <c r="S1244" t="str">
        <f t="shared" si="79"/>
        <v>16 GB</v>
      </c>
    </row>
    <row r="1245" spans="1:19">
      <c r="A1245" t="str">
        <f>LEFT(B1245, LEN(B1245)-15)</f>
        <v>Asus VivoBook 14 X1404VA-NK522WS Laptop (Core i5 13th Gen/8 GB/512 GB SSD/Windows 11)</v>
      </c>
      <c r="B1245" t="s">
        <v>1810</v>
      </c>
      <c r="C1245" s="1">
        <v>48990</v>
      </c>
      <c r="D1245" s="1">
        <v>157</v>
      </c>
      <c r="E1245" s="2">
        <v>80</v>
      </c>
      <c r="F1245" s="2" t="str" cm="1">
        <f t="array" ref="F1245">_xlfn.IFS(AND(101&gt;E1245, E1245&gt;69), "Top-Tier", AND(70&gt;E1245, E1245&gt;39), "Mid-Tier", 40&gt;E1245, "Low-Tier")</f>
        <v>Top-Tier</v>
      </c>
      <c r="G1245" s="4">
        <v>45017</v>
      </c>
      <c r="H1245" t="s">
        <v>1786</v>
      </c>
      <c r="I1245" t="s">
        <v>33</v>
      </c>
      <c r="J1245" t="s">
        <v>50</v>
      </c>
      <c r="K1245" t="s">
        <v>149</v>
      </c>
      <c r="L1245" t="s">
        <v>24</v>
      </c>
      <c r="P1245" s="3">
        <v>72</v>
      </c>
      <c r="Q1245" t="str">
        <f>LEFT(B1245, 4)</f>
        <v>Asus</v>
      </c>
      <c r="R1245" t="str">
        <f t="shared" si="80"/>
        <v>Intel Core i5 (13th Gen)</v>
      </c>
      <c r="S1245" t="str">
        <f t="shared" si="79"/>
        <v xml:space="preserve">8 GB </v>
      </c>
    </row>
    <row r="1246" spans="1:19">
      <c r="A1246" t="str">
        <f>LEFT(B1246, LEN(B1246)-15)</f>
        <v>HP Victus 15-fb0133AX (87B79PA) Laptop (AMD Hexa Core Ryzen 5/16 GB/512 GB SSD/Windows 11/4 GB)</v>
      </c>
      <c r="B1246" t="s">
        <v>1811</v>
      </c>
      <c r="C1246" s="1">
        <v>57990</v>
      </c>
      <c r="D1246" s="1">
        <v>280</v>
      </c>
      <c r="E1246" s="2">
        <v>80</v>
      </c>
      <c r="F1246" s="2" t="str" cm="1">
        <f t="array" ref="F1246">_xlfn.IFS(AND(101&gt;E1246, E1246&gt;69), "Top-Tier", AND(70&gt;E1246, E1246&gt;39), "Mid-Tier", 40&gt;E1246, "Low-Tier")</f>
        <v>Top-Tier</v>
      </c>
      <c r="G1246" s="4">
        <v>45017</v>
      </c>
      <c r="H1246" t="s">
        <v>1786</v>
      </c>
      <c r="I1246" t="s">
        <v>33</v>
      </c>
      <c r="J1246" t="s">
        <v>34</v>
      </c>
      <c r="K1246" t="s">
        <v>51</v>
      </c>
      <c r="L1246" t="s">
        <v>24</v>
      </c>
      <c r="N1246" t="s">
        <v>31</v>
      </c>
      <c r="P1246" s="3">
        <v>83</v>
      </c>
      <c r="Q1246" t="str">
        <f>LEFT(B1246, 2)</f>
        <v>HP</v>
      </c>
      <c r="R1246" t="str">
        <f t="shared" si="80"/>
        <v>Intel Core i5 (13th Gen)</v>
      </c>
      <c r="S1246" t="str">
        <f t="shared" si="79"/>
        <v>16 GB</v>
      </c>
    </row>
    <row r="1247" spans="1:19">
      <c r="A1247" t="str">
        <f>LEFT(B1247, LEN(B1247)-15)</f>
        <v>HP 250 G8 (7M6L7PA) Laptop (Core i3 11th Gen/8 GB/1 TB 256 GB SSD/DOS)</v>
      </c>
      <c r="B1247" t="s">
        <v>1812</v>
      </c>
      <c r="C1247" s="1">
        <v>46999</v>
      </c>
      <c r="D1247" s="1">
        <v>189</v>
      </c>
      <c r="E1247" s="2">
        <v>80</v>
      </c>
      <c r="F1247" s="2" t="str" cm="1">
        <f t="array" ref="F1247">_xlfn.IFS(AND(101&gt;E1247, E1247&gt;69), "Top-Tier", AND(70&gt;E1247, E1247&gt;39), "Mid-Tier", 40&gt;E1247, "Low-Tier")</f>
        <v>Top-Tier</v>
      </c>
      <c r="G1247" s="4">
        <v>45017</v>
      </c>
      <c r="H1247" t="s">
        <v>1786</v>
      </c>
      <c r="I1247" t="s">
        <v>124</v>
      </c>
      <c r="J1247" t="s">
        <v>332</v>
      </c>
      <c r="K1247" t="s">
        <v>674</v>
      </c>
      <c r="L1247" t="s">
        <v>24</v>
      </c>
      <c r="M1247" t="s">
        <v>52</v>
      </c>
      <c r="N1247" t="s">
        <v>31</v>
      </c>
      <c r="Q1247" t="str">
        <f>LEFT(B1247, 2)</f>
        <v>HP</v>
      </c>
      <c r="R1247" t="str">
        <f t="shared" si="80"/>
        <v>Intel Core i5 (13th Gen)</v>
      </c>
      <c r="S1247" t="str">
        <f t="shared" si="79"/>
        <v xml:space="preserve">8 GB </v>
      </c>
    </row>
    <row r="1248" spans="1:19">
      <c r="A1248" t="str">
        <f>LEFT(B1248, LEN(B1248)-15)</f>
        <v>Lenovo V15 G2 (82QYA00MIN) Laptop (Intel Celeron Dual Core/8 GB/256 GB SSD/Windows 11)</v>
      </c>
      <c r="B1248" t="s">
        <v>1813</v>
      </c>
      <c r="C1248" s="1">
        <v>20490</v>
      </c>
      <c r="D1248" s="1">
        <v>3031</v>
      </c>
      <c r="E1248" s="2">
        <v>80</v>
      </c>
      <c r="F1248" s="2" t="str" cm="1">
        <f t="array" ref="F1248">_xlfn.IFS(AND(101&gt;E1248, E1248&gt;69), "Top-Tier", AND(70&gt;E1248, E1248&gt;39), "Mid-Tier", 40&gt;E1248, "Low-Tier")</f>
        <v>Top-Tier</v>
      </c>
      <c r="G1248" s="4">
        <v>45017</v>
      </c>
      <c r="H1248" t="s">
        <v>1786</v>
      </c>
      <c r="I1248" t="s">
        <v>33</v>
      </c>
      <c r="J1248" t="s">
        <v>338</v>
      </c>
      <c r="K1248" t="s">
        <v>51</v>
      </c>
      <c r="L1248" t="s">
        <v>24</v>
      </c>
      <c r="N1248" t="s">
        <v>31</v>
      </c>
      <c r="Q1248" t="str">
        <f>LEFT(B1248, 6)</f>
        <v>Lenovo</v>
      </c>
      <c r="R1248" t="str">
        <f t="shared" si="80"/>
        <v>Intel Core i5 (13th Gen)</v>
      </c>
      <c r="S1248" t="str">
        <f t="shared" si="79"/>
        <v xml:space="preserve">8 GB </v>
      </c>
    </row>
    <row r="1249" spans="1:19">
      <c r="A1249" t="str">
        <f>LEFT(B1249, LEN(B1249)-15)</f>
        <v>Asus ROG Zephyrus M16 GU604VY-NM058WS Laptop (Core i9 13th Gen/32 GB/2 TB SSD/Windows 11/16 GB)</v>
      </c>
      <c r="B1249" t="s">
        <v>1814</v>
      </c>
      <c r="C1249" s="1">
        <v>359990</v>
      </c>
      <c r="D1249" s="1">
        <v>2</v>
      </c>
      <c r="E1249" s="2">
        <v>80</v>
      </c>
      <c r="F1249" s="2" t="str" cm="1">
        <f t="array" ref="F1249">_xlfn.IFS(AND(101&gt;E1249, E1249&gt;69), "Top-Tier", AND(70&gt;E1249, E1249&gt;39), "Mid-Tier", 40&gt;E1249, "Low-Tier")</f>
        <v>Top-Tier</v>
      </c>
      <c r="G1249" s="4">
        <v>44986</v>
      </c>
      <c r="H1249" t="s">
        <v>1786</v>
      </c>
      <c r="I1249" t="s">
        <v>33</v>
      </c>
      <c r="J1249" t="s">
        <v>172</v>
      </c>
      <c r="K1249" t="s">
        <v>117</v>
      </c>
      <c r="L1249" t="s">
        <v>24</v>
      </c>
      <c r="N1249" t="s">
        <v>31</v>
      </c>
      <c r="Q1249" t="str">
        <f>LEFT(B1249, 4)</f>
        <v>Asus</v>
      </c>
      <c r="R1249" t="str">
        <f t="shared" si="80"/>
        <v>Intel Core i5 (13th Gen)</v>
      </c>
      <c r="S1249" t="str">
        <f t="shared" si="79"/>
        <v>32 GB</v>
      </c>
    </row>
    <row r="1250" spans="1:19">
      <c r="A1250" t="str">
        <f>LEFT(B1250, LEN(B1250)-15)</f>
        <v>Asus ROG Strix Scar 16 G634JZ-N4062WS Laptop (Core i9 13th Gen/32 GB/1 TB SSD/Windows 11/12 GB)</v>
      </c>
      <c r="B1250" t="s">
        <v>1815</v>
      </c>
      <c r="C1250" s="1">
        <v>279990</v>
      </c>
      <c r="D1250" s="1">
        <v>4</v>
      </c>
      <c r="E1250" s="2">
        <v>80</v>
      </c>
      <c r="F1250" s="2" t="str" cm="1">
        <f t="array" ref="F1250">_xlfn.IFS(AND(101&gt;E1250, E1250&gt;69), "Top-Tier", AND(70&gt;E1250, E1250&gt;39), "Mid-Tier", 40&gt;E1250, "Low-Tier")</f>
        <v>Top-Tier</v>
      </c>
      <c r="G1250" s="4">
        <v>44986</v>
      </c>
      <c r="H1250" t="s">
        <v>1786</v>
      </c>
      <c r="I1250" t="s">
        <v>33</v>
      </c>
      <c r="J1250" t="s">
        <v>144</v>
      </c>
      <c r="K1250" t="s">
        <v>117</v>
      </c>
      <c r="L1250" t="s">
        <v>24</v>
      </c>
      <c r="N1250" t="s">
        <v>31</v>
      </c>
      <c r="Q1250" t="str">
        <f>LEFT(B1250, 4)</f>
        <v>Asus</v>
      </c>
      <c r="R1250" t="str">
        <f t="shared" si="80"/>
        <v>Intel Core i5 (13th Gen)</v>
      </c>
      <c r="S1250" t="str">
        <f t="shared" si="79"/>
        <v>32 GB</v>
      </c>
    </row>
    <row r="1251" spans="1:19">
      <c r="A1251" t="str">
        <f>LEFT(B1251, LEN(B1251)-15)</f>
        <v>MSI Modern 15 B13M-289IN Laptop (Core i5 13th Gen/16 GB/512 GB SSD/Windows 11)</v>
      </c>
      <c r="B1251" t="s">
        <v>1816</v>
      </c>
      <c r="C1251" s="1">
        <v>46990</v>
      </c>
      <c r="D1251" s="1">
        <v>71</v>
      </c>
      <c r="E1251" s="2">
        <v>80</v>
      </c>
      <c r="F1251" s="2" t="str" cm="1">
        <f t="array" ref="F1251">_xlfn.IFS(AND(101&gt;E1251, E1251&gt;69), "Top-Tier", AND(70&gt;E1251, E1251&gt;39), "Mid-Tier", 40&gt;E1251, "Low-Tier")</f>
        <v>Top-Tier</v>
      </c>
      <c r="G1251" s="4">
        <v>44986</v>
      </c>
      <c r="H1251" t="s">
        <v>1786</v>
      </c>
      <c r="I1251" t="s">
        <v>33</v>
      </c>
      <c r="J1251" t="s">
        <v>34</v>
      </c>
      <c r="K1251" t="s">
        <v>51</v>
      </c>
      <c r="L1251" t="s">
        <v>24</v>
      </c>
      <c r="M1251" t="s">
        <v>52</v>
      </c>
      <c r="N1251" t="s">
        <v>31</v>
      </c>
      <c r="P1251" s="3">
        <v>75</v>
      </c>
      <c r="Q1251" t="str">
        <f>LEFT(B1251, 3)</f>
        <v>MSI</v>
      </c>
      <c r="R1251" t="str">
        <f t="shared" si="80"/>
        <v>Intel Core i5 (13th Gen)</v>
      </c>
      <c r="S1251" t="str">
        <f t="shared" si="79"/>
        <v>16 GB</v>
      </c>
    </row>
    <row r="1252" spans="1:19">
      <c r="A1252" t="str">
        <f>LEFT(B1252, LEN(B1252)-15)</f>
        <v>MSI Modern 14 C13M-436IN Laptop (Core i5 13th Gen/16 GB/512 GB SSD/Windows 11)</v>
      </c>
      <c r="B1252" t="s">
        <v>1817</v>
      </c>
      <c r="C1252" s="1">
        <v>45890</v>
      </c>
      <c r="D1252" s="1">
        <v>154</v>
      </c>
      <c r="E1252" s="2">
        <v>80</v>
      </c>
      <c r="F1252" s="2" t="str" cm="1">
        <f t="array" ref="F1252">_xlfn.IFS(AND(101&gt;E1252, E1252&gt;69), "Top-Tier", AND(70&gt;E1252, E1252&gt;39), "Mid-Tier", 40&gt;E1252, "Low-Tier")</f>
        <v>Top-Tier</v>
      </c>
      <c r="G1252" s="4">
        <v>44986</v>
      </c>
      <c r="H1252" t="s">
        <v>1818</v>
      </c>
      <c r="I1252" t="s">
        <v>33</v>
      </c>
      <c r="J1252" t="s">
        <v>34</v>
      </c>
      <c r="K1252" t="s">
        <v>149</v>
      </c>
      <c r="L1252" t="s">
        <v>24</v>
      </c>
      <c r="M1252" t="s">
        <v>428</v>
      </c>
      <c r="N1252" t="s">
        <v>31</v>
      </c>
      <c r="P1252" s="3">
        <v>75</v>
      </c>
      <c r="Q1252" t="str">
        <f>LEFT(B1252, 3)</f>
        <v>MSI</v>
      </c>
      <c r="R1252" t="str">
        <f t="shared" si="80"/>
        <v>Intel Core i5 (13th Gen)</v>
      </c>
      <c r="S1252" t="str">
        <f t="shared" si="79"/>
        <v>16 GB</v>
      </c>
    </row>
    <row r="1253" spans="1:19">
      <c r="A1253" t="str">
        <f>LEFT(B1253, LEN(B1253)-15)</f>
        <v>MSI Modern 14 C13M-437IN Laptop (Core i5 13th Gen/8 GB/512 GB SSD/Windows 11)</v>
      </c>
      <c r="B1253" t="s">
        <v>1819</v>
      </c>
      <c r="C1253" s="1">
        <v>42990</v>
      </c>
      <c r="D1253" s="1">
        <v>61</v>
      </c>
      <c r="E1253" s="2">
        <v>80</v>
      </c>
      <c r="F1253" s="2" t="str" cm="1">
        <f t="array" ref="F1253">_xlfn.IFS(AND(101&gt;E1253, E1253&gt;69), "Top-Tier", AND(70&gt;E1253, E1253&gt;39), "Mid-Tier", 40&gt;E1253, "Low-Tier")</f>
        <v>Top-Tier</v>
      </c>
      <c r="G1253" s="4">
        <v>44986</v>
      </c>
      <c r="H1253" t="s">
        <v>1818</v>
      </c>
      <c r="I1253" t="s">
        <v>33</v>
      </c>
      <c r="J1253" t="s">
        <v>50</v>
      </c>
      <c r="K1253" t="s">
        <v>149</v>
      </c>
      <c r="L1253" t="s">
        <v>24</v>
      </c>
      <c r="M1253" t="s">
        <v>428</v>
      </c>
      <c r="N1253" t="s">
        <v>31</v>
      </c>
      <c r="P1253" s="3">
        <v>74</v>
      </c>
      <c r="Q1253" t="str">
        <f>LEFT(B1253, 3)</f>
        <v>MSI</v>
      </c>
      <c r="R1253" t="str">
        <f t="shared" si="80"/>
        <v>Intel Core i5 (13th Gen)</v>
      </c>
      <c r="S1253" t="str">
        <f t="shared" si="79"/>
        <v xml:space="preserve">8 GB </v>
      </c>
    </row>
    <row r="1254" spans="1:19">
      <c r="A1254" t="str">
        <f>LEFT(B1254, LEN(B1254)-15)</f>
        <v>Lenovo Thinkpad E15 (21E6S05B00) Laptop (Core i5 12th Gen/8 GB/512 GB SSD/Windows 11)</v>
      </c>
      <c r="B1254" t="s">
        <v>1820</v>
      </c>
      <c r="C1254" s="1">
        <v>65750</v>
      </c>
      <c r="D1254" s="1">
        <v>119</v>
      </c>
      <c r="E1254" s="2">
        <v>80</v>
      </c>
      <c r="F1254" s="2" t="str" cm="1">
        <f t="array" ref="F1254">_xlfn.IFS(AND(101&gt;E1254, E1254&gt;69), "Top-Tier", AND(70&gt;E1254, E1254&gt;39), "Mid-Tier", 40&gt;E1254, "Low-Tier")</f>
        <v>Top-Tier</v>
      </c>
      <c r="G1254" s="4">
        <v>44986</v>
      </c>
      <c r="H1254" t="s">
        <v>1818</v>
      </c>
      <c r="I1254" t="s">
        <v>33</v>
      </c>
      <c r="J1254" t="s">
        <v>50</v>
      </c>
      <c r="K1254" t="s">
        <v>51</v>
      </c>
      <c r="L1254" t="s">
        <v>24</v>
      </c>
      <c r="M1254" t="s">
        <v>135</v>
      </c>
      <c r="N1254" t="s">
        <v>31</v>
      </c>
      <c r="P1254" s="3">
        <v>74</v>
      </c>
      <c r="Q1254" t="str">
        <f>LEFT(B1254, 6)</f>
        <v>Lenovo</v>
      </c>
      <c r="R1254" t="str">
        <f t="shared" si="80"/>
        <v>Intel Core i5 (13th Gen)</v>
      </c>
      <c r="S1254" t="str">
        <f t="shared" si="79"/>
        <v xml:space="preserve">8 GB </v>
      </c>
    </row>
    <row r="1255" spans="1:19">
      <c r="A1255" t="str">
        <f>LEFT(B1255, LEN(B1255)-15)</f>
        <v>Asus VivoBook Go 15 E1504FA-NJ542WS Laptop (AMD Quad Core Ryzen 5/16 GB/512 GB SSD/Windows 11)</v>
      </c>
      <c r="B1255" t="s">
        <v>1821</v>
      </c>
      <c r="C1255" s="1">
        <v>41990</v>
      </c>
      <c r="D1255" s="1">
        <v>81</v>
      </c>
      <c r="E1255" s="2">
        <v>80</v>
      </c>
      <c r="F1255" s="2" t="str" cm="1">
        <f t="array" ref="F1255">_xlfn.IFS(AND(101&gt;E1255, E1255&gt;69), "Top-Tier", AND(70&gt;E1255, E1255&gt;39), "Mid-Tier", 40&gt;E1255, "Low-Tier")</f>
        <v>Top-Tier</v>
      </c>
      <c r="G1255" s="4">
        <v>44986</v>
      </c>
      <c r="H1255" t="s">
        <v>1818</v>
      </c>
      <c r="I1255" t="s">
        <v>33</v>
      </c>
      <c r="J1255" t="s">
        <v>54</v>
      </c>
      <c r="K1255" t="s">
        <v>51</v>
      </c>
      <c r="L1255" t="s">
        <v>24</v>
      </c>
      <c r="M1255" t="s">
        <v>74</v>
      </c>
      <c r="N1255" t="s">
        <v>31</v>
      </c>
      <c r="O1255" t="s">
        <v>152</v>
      </c>
      <c r="P1255" s="3">
        <v>72</v>
      </c>
      <c r="Q1255" t="str">
        <f>LEFT(B1255, 4)</f>
        <v>Asus</v>
      </c>
      <c r="R1255" t="str">
        <f t="shared" si="80"/>
        <v>Intel Core i5 (13th Gen)</v>
      </c>
      <c r="S1255" t="str">
        <f t="shared" si="79"/>
        <v>16 GB</v>
      </c>
    </row>
    <row r="1256" spans="1:19">
      <c r="A1256" t="str">
        <f>LEFT(B1256, LEN(B1256)-15)</f>
        <v>Acer Aspire 5 A515-57 (NX.K2VSI.002) Laptop (Core i3 12th Gen/8 GB/512 GB SSD/Windows 11)</v>
      </c>
      <c r="B1256" t="s">
        <v>1822</v>
      </c>
      <c r="C1256" s="1">
        <v>35000</v>
      </c>
      <c r="D1256" s="1">
        <v>42</v>
      </c>
      <c r="E1256" s="2">
        <v>80</v>
      </c>
      <c r="F1256" s="2" t="str" cm="1">
        <f t="array" ref="F1256">_xlfn.IFS(AND(101&gt;E1256, E1256&gt;69), "Top-Tier", AND(70&gt;E1256, E1256&gt;39), "Mid-Tier", 40&gt;E1256, "Low-Tier")</f>
        <v>Top-Tier</v>
      </c>
      <c r="G1256" s="4">
        <v>44986</v>
      </c>
      <c r="H1256" t="s">
        <v>1818</v>
      </c>
      <c r="I1256" t="s">
        <v>33</v>
      </c>
      <c r="J1256" t="s">
        <v>50</v>
      </c>
      <c r="K1256" t="s">
        <v>51</v>
      </c>
      <c r="L1256" t="s">
        <v>24</v>
      </c>
      <c r="M1256" t="s">
        <v>95</v>
      </c>
      <c r="N1256" t="s">
        <v>31</v>
      </c>
      <c r="P1256" s="3">
        <v>72</v>
      </c>
      <c r="Q1256" t="str">
        <f>LEFT(B1256, 4)</f>
        <v>Acer</v>
      </c>
      <c r="R1256" t="str">
        <f t="shared" si="80"/>
        <v>Intel Core i5 (13th Gen)</v>
      </c>
      <c r="S1256" t="str">
        <f t="shared" si="79"/>
        <v xml:space="preserve">8 GB </v>
      </c>
    </row>
    <row r="1257" spans="1:19">
      <c r="A1257" t="str">
        <f>LEFT(B1257, LEN(B1257)-15)</f>
        <v>MSI Modern 15 B13M-291IN Laptop (Core i5 13th Gen/8 GB/512 GB SSD/Windows 11)</v>
      </c>
      <c r="B1257" t="s">
        <v>1823</v>
      </c>
      <c r="C1257" s="1">
        <v>43990</v>
      </c>
      <c r="D1257" s="1">
        <v>64</v>
      </c>
      <c r="E1257" s="2">
        <v>80</v>
      </c>
      <c r="F1257" s="2" t="str" cm="1">
        <f t="array" ref="F1257">_xlfn.IFS(AND(101&gt;E1257, E1257&gt;69), "Top-Tier", AND(70&gt;E1257, E1257&gt;39), "Mid-Tier", 40&gt;E1257, "Low-Tier")</f>
        <v>Top-Tier</v>
      </c>
      <c r="G1257" s="4">
        <v>44986</v>
      </c>
      <c r="H1257" t="s">
        <v>1818</v>
      </c>
      <c r="I1257" t="s">
        <v>33</v>
      </c>
      <c r="J1257" t="s">
        <v>50</v>
      </c>
      <c r="K1257" t="s">
        <v>51</v>
      </c>
      <c r="L1257" t="s">
        <v>24</v>
      </c>
      <c r="M1257" t="s">
        <v>253</v>
      </c>
      <c r="N1257" t="s">
        <v>31</v>
      </c>
      <c r="P1257" s="3">
        <v>74</v>
      </c>
      <c r="Q1257" t="str">
        <f>LEFT(B1257, 3)</f>
        <v>MSI</v>
      </c>
      <c r="R1257" t="str">
        <f t="shared" si="80"/>
        <v>Intel Core i5 (13th Gen)</v>
      </c>
      <c r="S1257" t="str">
        <f t="shared" si="79"/>
        <v xml:space="preserve">8 GB </v>
      </c>
    </row>
    <row r="1258" spans="1:19">
      <c r="A1258" t="str">
        <f>LEFT(B1258, LEN(B1258)-15)</f>
        <v>Lenovo Thinkpad E14 (21E3S0AV00) Laptop (Core i3 12th Gen/8 GB/512 GB SSD/Windows 11)</v>
      </c>
      <c r="B1258" t="s">
        <v>1824</v>
      </c>
      <c r="C1258" s="1">
        <v>48499</v>
      </c>
      <c r="D1258" s="1">
        <v>57</v>
      </c>
      <c r="E1258" s="2">
        <v>80</v>
      </c>
      <c r="F1258" s="2" t="str" cm="1">
        <f t="array" ref="F1258">_xlfn.IFS(AND(101&gt;E1258, E1258&gt;69), "Top-Tier", AND(70&gt;E1258, E1258&gt;39), "Mid-Tier", 40&gt;E1258, "Low-Tier")</f>
        <v>Top-Tier</v>
      </c>
      <c r="G1258" s="4">
        <v>44958</v>
      </c>
      <c r="H1258" t="s">
        <v>1818</v>
      </c>
      <c r="I1258" t="s">
        <v>33</v>
      </c>
      <c r="J1258" t="s">
        <v>50</v>
      </c>
      <c r="K1258" t="s">
        <v>149</v>
      </c>
      <c r="L1258" t="s">
        <v>24</v>
      </c>
      <c r="M1258" t="s">
        <v>135</v>
      </c>
      <c r="N1258" t="s">
        <v>31</v>
      </c>
      <c r="P1258" s="3">
        <v>72</v>
      </c>
      <c r="Q1258" t="str">
        <f>LEFT(B1258, 6)</f>
        <v>Lenovo</v>
      </c>
      <c r="R1258" t="str">
        <f t="shared" si="80"/>
        <v>Intel Core i5 (13th Gen)</v>
      </c>
      <c r="S1258" t="str">
        <f t="shared" si="79"/>
        <v xml:space="preserve">8 GB </v>
      </c>
    </row>
    <row r="1259" spans="1:19">
      <c r="A1259" t="str">
        <f>LEFT(B1259, LEN(B1259)-15)</f>
        <v>Asus VivoBook 15 X1502ZA-EJ322WS Laptop (Core i3 12th Gen/8 GB/512 GB SSD/Windows 11)</v>
      </c>
      <c r="B1259" t="s">
        <v>1825</v>
      </c>
      <c r="C1259" s="1">
        <v>32990</v>
      </c>
      <c r="D1259" s="1">
        <v>239</v>
      </c>
      <c r="E1259" s="2">
        <v>80</v>
      </c>
      <c r="F1259" s="2" t="str" cm="1">
        <f t="array" ref="F1259">_xlfn.IFS(AND(101&gt;E1259, E1259&gt;69), "Top-Tier", AND(70&gt;E1259, E1259&gt;39), "Mid-Tier", 40&gt;E1259, "Low-Tier")</f>
        <v>Top-Tier</v>
      </c>
      <c r="G1259" s="4">
        <v>44958</v>
      </c>
      <c r="H1259" t="s">
        <v>1818</v>
      </c>
      <c r="I1259" t="s">
        <v>33</v>
      </c>
      <c r="J1259" t="s">
        <v>50</v>
      </c>
      <c r="K1259" t="s">
        <v>51</v>
      </c>
      <c r="L1259" t="s">
        <v>24</v>
      </c>
      <c r="M1259" t="s">
        <v>253</v>
      </c>
      <c r="N1259" t="s">
        <v>31</v>
      </c>
      <c r="P1259" s="3">
        <v>72</v>
      </c>
      <c r="Q1259" t="str">
        <f>LEFT(B1259, 4)</f>
        <v>Asus</v>
      </c>
      <c r="R1259" t="str">
        <f t="shared" si="80"/>
        <v>Intel Core i5 (13th Gen)</v>
      </c>
      <c r="S1259" t="str">
        <f t="shared" si="79"/>
        <v xml:space="preserve">8 GB </v>
      </c>
    </row>
    <row r="1260" spans="1:19">
      <c r="A1260" t="str">
        <f>LEFT(B1260, LEN(B1260)-15)</f>
        <v>Lenovo Thinkpad 14 G2 (20VDA0V1IH) Laptop (Core i3 11th Gen/8 GB/512 GB SSD/DOS)</v>
      </c>
      <c r="B1260" t="s">
        <v>1826</v>
      </c>
      <c r="C1260" s="1">
        <v>34990</v>
      </c>
      <c r="D1260" s="1">
        <v>1</v>
      </c>
      <c r="E1260" s="2">
        <v>80</v>
      </c>
      <c r="F1260" s="2" t="str" cm="1">
        <f t="array" ref="F1260">_xlfn.IFS(AND(101&gt;E1260, E1260&gt;69), "Top-Tier", AND(70&gt;E1260, E1260&gt;39), "Mid-Tier", 40&gt;E1260, "Low-Tier")</f>
        <v>Top-Tier</v>
      </c>
      <c r="G1260" s="4">
        <v>44927</v>
      </c>
      <c r="H1260" t="s">
        <v>1818</v>
      </c>
      <c r="I1260" t="s">
        <v>124</v>
      </c>
      <c r="J1260" t="s">
        <v>955</v>
      </c>
      <c r="K1260" t="s">
        <v>149</v>
      </c>
      <c r="L1260" t="s">
        <v>24</v>
      </c>
      <c r="M1260" t="s">
        <v>74</v>
      </c>
      <c r="N1260" t="s">
        <v>31</v>
      </c>
      <c r="P1260" s="3">
        <v>75</v>
      </c>
      <c r="Q1260" t="str">
        <f>LEFT(B1260, 6)</f>
        <v>Lenovo</v>
      </c>
      <c r="R1260" t="str">
        <f t="shared" si="80"/>
        <v>Intel Core i5 (13th Gen)</v>
      </c>
      <c r="S1260" t="str">
        <f t="shared" si="79"/>
        <v xml:space="preserve">8 GB </v>
      </c>
    </row>
    <row r="1261" spans="1:19">
      <c r="A1261" t="str">
        <f>LEFT(B1261, LEN(B1261)-15)</f>
        <v>Lenovo V15 (82KDA011IH) Laptop (AMD Hexa Core Ryzen 5/8 GB/512 GB SSD/Windows 11)</v>
      </c>
      <c r="B1261" t="s">
        <v>1827</v>
      </c>
      <c r="C1261" s="1">
        <v>37990</v>
      </c>
      <c r="D1261" s="1">
        <v>312</v>
      </c>
      <c r="E1261" s="2">
        <v>80</v>
      </c>
      <c r="F1261" s="2" t="str" cm="1">
        <f t="array" ref="F1261">_xlfn.IFS(AND(101&gt;E1261, E1261&gt;69), "Top-Tier", AND(70&gt;E1261, E1261&gt;39), "Mid-Tier", 40&gt;E1261, "Low-Tier")</f>
        <v>Top-Tier</v>
      </c>
      <c r="G1261" s="4">
        <v>44927</v>
      </c>
      <c r="H1261" t="s">
        <v>1818</v>
      </c>
      <c r="I1261" t="s">
        <v>33</v>
      </c>
      <c r="J1261" t="s">
        <v>50</v>
      </c>
      <c r="K1261" t="s">
        <v>51</v>
      </c>
      <c r="L1261" t="s">
        <v>24</v>
      </c>
      <c r="M1261" t="s">
        <v>253</v>
      </c>
      <c r="N1261" t="s">
        <v>31</v>
      </c>
      <c r="P1261" s="3">
        <v>73</v>
      </c>
      <c r="Q1261" t="str">
        <f>LEFT(B1261, 6)</f>
        <v>Lenovo</v>
      </c>
      <c r="R1261" t="str">
        <f t="shared" si="80"/>
        <v>Intel Core i5 (13th Gen)</v>
      </c>
      <c r="S1261" t="str">
        <f t="shared" si="79"/>
        <v xml:space="preserve">8 GB </v>
      </c>
    </row>
    <row r="1262" spans="1:19">
      <c r="A1262" t="str">
        <f>LEFT(B1262, LEN(B1262)-15)</f>
        <v>Apple MacBook Pro M2 Max MNWA3HN/A Ultrabook (Apple M2 Max/32 GB/1 TB SSD/macOS Ventura)</v>
      </c>
      <c r="B1262" t="s">
        <v>1828</v>
      </c>
      <c r="C1262" s="1">
        <v>322490</v>
      </c>
      <c r="D1262" s="1">
        <v>8</v>
      </c>
      <c r="E1262" s="2">
        <v>80</v>
      </c>
      <c r="F1262" s="2" t="str" cm="1">
        <f t="array" ref="F1262">_xlfn.IFS(AND(101&gt;E1262, E1262&gt;69), "Top-Tier", AND(70&gt;E1262, E1262&gt;39), "Mid-Tier", 40&gt;E1262, "Low-Tier")</f>
        <v>Top-Tier</v>
      </c>
      <c r="G1262" s="4">
        <v>44927</v>
      </c>
      <c r="H1262" t="s">
        <v>1818</v>
      </c>
      <c r="I1262" t="s">
        <v>207</v>
      </c>
      <c r="J1262" t="s">
        <v>211</v>
      </c>
      <c r="K1262" t="s">
        <v>68</v>
      </c>
      <c r="L1262" t="s">
        <v>24</v>
      </c>
      <c r="M1262" t="s">
        <v>69</v>
      </c>
      <c r="N1262" t="s">
        <v>31</v>
      </c>
      <c r="P1262" s="3">
        <v>80</v>
      </c>
      <c r="Q1262" t="str">
        <f>LEFT(B1262, 5)</f>
        <v>Apple</v>
      </c>
      <c r="R1262" t="str">
        <f t="shared" si="80"/>
        <v>Intel Core i5 (13th Gen)</v>
      </c>
      <c r="S1262" t="str">
        <f t="shared" si="79"/>
        <v>32 GB</v>
      </c>
    </row>
    <row r="1263" spans="1:19">
      <c r="A1263" t="str">
        <f>LEFT(B1263, LEN(B1263)-15)</f>
        <v>Asus VivoBook Go 15 E1504FA-NJ541WS Laptop (AMD Quad Core Ryzen 5/16 GB/512 GB SSD/Windows 11)</v>
      </c>
      <c r="B1263" t="s">
        <v>1829</v>
      </c>
      <c r="C1263" s="1">
        <v>41990</v>
      </c>
      <c r="D1263" s="1">
        <v>82</v>
      </c>
      <c r="E1263" s="2">
        <v>80</v>
      </c>
      <c r="F1263" s="2" t="str" cm="1">
        <f t="array" ref="F1263">_xlfn.IFS(AND(101&gt;E1263, E1263&gt;69), "Top-Tier", AND(70&gt;E1263, E1263&gt;39), "Mid-Tier", 40&gt;E1263, "Low-Tier")</f>
        <v>Top-Tier</v>
      </c>
      <c r="G1263" s="4">
        <v>44896</v>
      </c>
      <c r="H1263" t="s">
        <v>1818</v>
      </c>
      <c r="I1263" t="s">
        <v>33</v>
      </c>
      <c r="J1263" t="s">
        <v>54</v>
      </c>
      <c r="K1263" t="s">
        <v>159</v>
      </c>
      <c r="L1263" t="s">
        <v>24</v>
      </c>
      <c r="M1263" t="s">
        <v>74</v>
      </c>
      <c r="N1263" t="s">
        <v>31</v>
      </c>
      <c r="P1263" s="3">
        <v>71</v>
      </c>
      <c r="Q1263" t="str">
        <f>LEFT(B1263, 4)</f>
        <v>Asus</v>
      </c>
      <c r="R1263" t="str">
        <f t="shared" si="80"/>
        <v>Intel Core i5 (13th Gen)</v>
      </c>
      <c r="S1263" t="str">
        <f t="shared" si="79"/>
        <v>16 GB</v>
      </c>
    </row>
    <row r="1264" spans="1:19">
      <c r="A1264" t="str">
        <f>LEFT(B1264, LEN(B1264)-15)</f>
        <v>MSI Modern 15 B12M-226IN Laptop (Core i7 12th Gen/16 GB/512 GB SSD/Windows 11)</v>
      </c>
      <c r="B1264" t="s">
        <v>1830</v>
      </c>
      <c r="C1264" s="1">
        <v>60109</v>
      </c>
      <c r="D1264" s="1">
        <v>22</v>
      </c>
      <c r="E1264" s="2">
        <v>80</v>
      </c>
      <c r="F1264" s="2" t="str" cm="1">
        <f t="array" ref="F1264">_xlfn.IFS(AND(101&gt;E1264, E1264&gt;69), "Top-Tier", AND(70&gt;E1264, E1264&gt;39), "Mid-Tier", 40&gt;E1264, "Low-Tier")</f>
        <v>Top-Tier</v>
      </c>
      <c r="G1264" s="4">
        <v>44896</v>
      </c>
      <c r="H1264" t="s">
        <v>1818</v>
      </c>
      <c r="I1264" t="s">
        <v>33</v>
      </c>
      <c r="J1264" t="s">
        <v>34</v>
      </c>
      <c r="K1264" t="s">
        <v>51</v>
      </c>
      <c r="L1264" t="s">
        <v>24</v>
      </c>
      <c r="M1264" t="s">
        <v>253</v>
      </c>
      <c r="N1264" t="s">
        <v>31</v>
      </c>
      <c r="P1264" s="3">
        <v>76</v>
      </c>
      <c r="Q1264" t="str">
        <f>LEFT(B1264, 3)</f>
        <v>MSI</v>
      </c>
      <c r="R1264" t="str">
        <f t="shared" si="80"/>
        <v>Intel Core i5 (13th Gen)</v>
      </c>
      <c r="S1264" t="str">
        <f t="shared" si="79"/>
        <v>16 GB</v>
      </c>
    </row>
    <row r="1265" spans="1:19">
      <c r="A1265" t="str">
        <f>LEFT(B1265, LEN(B1265)-15)</f>
        <v>Asus Chromebook Flip C214MA-BU0452 Laptop (Celeron Dual Core/4 GB/64 GB SSD/Google Chrome)</v>
      </c>
      <c r="B1265" t="s">
        <v>1831</v>
      </c>
      <c r="C1265" s="1">
        <v>18307</v>
      </c>
      <c r="D1265" s="1">
        <v>3396</v>
      </c>
      <c r="E1265" s="2">
        <v>80</v>
      </c>
      <c r="F1265" s="2" t="str" cm="1">
        <f t="array" ref="F1265">_xlfn.IFS(AND(101&gt;E1265, E1265&gt;69), "Top-Tier", AND(70&gt;E1265, E1265&gt;39), "Mid-Tier", 40&gt;E1265, "Low-Tier")</f>
        <v>Top-Tier</v>
      </c>
      <c r="G1265" s="4">
        <v>44866</v>
      </c>
      <c r="H1265" t="s">
        <v>1818</v>
      </c>
      <c r="I1265" t="s">
        <v>735</v>
      </c>
      <c r="J1265" t="s">
        <v>1832</v>
      </c>
      <c r="K1265" t="s">
        <v>1833</v>
      </c>
      <c r="L1265" t="s">
        <v>24</v>
      </c>
      <c r="M1265" t="s">
        <v>1713</v>
      </c>
      <c r="O1265" t="s">
        <v>291</v>
      </c>
      <c r="Q1265" t="str">
        <f>LEFT(B1265, 4)</f>
        <v>Asus</v>
      </c>
      <c r="R1265" t="str">
        <f t="shared" si="80"/>
        <v>Intel Core i5 (13th Gen)</v>
      </c>
      <c r="S1265" t="str">
        <f t="shared" si="79"/>
        <v xml:space="preserve">4 GB </v>
      </c>
    </row>
    <row r="1266" spans="1:19">
      <c r="A1266" t="str">
        <f>LEFT(B1266, LEN(B1266)-15)</f>
        <v>Dell Inspiron 15 3511 (D560611WIN9BE) Laptop (Core i3 11th Gen/8 GB/1 TB 256 GB SSD/Windows 10)</v>
      </c>
      <c r="B1266" t="s">
        <v>1834</v>
      </c>
      <c r="C1266" s="1">
        <v>55534</v>
      </c>
      <c r="D1266" s="1">
        <v>826</v>
      </c>
      <c r="E1266" s="2">
        <v>80</v>
      </c>
      <c r="F1266" s="2" t="str" cm="1">
        <f t="array" ref="F1266">_xlfn.IFS(AND(101&gt;E1266, E1266&gt;69), "Top-Tier", AND(70&gt;E1266, E1266&gt;39), "Mid-Tier", 40&gt;E1266, "Low-Tier")</f>
        <v>Top-Tier</v>
      </c>
      <c r="G1266" s="4">
        <v>44866</v>
      </c>
      <c r="H1266" t="s">
        <v>1818</v>
      </c>
      <c r="I1266" t="s">
        <v>248</v>
      </c>
      <c r="J1266" t="s">
        <v>332</v>
      </c>
      <c r="K1266" t="s">
        <v>249</v>
      </c>
      <c r="L1266" t="s">
        <v>24</v>
      </c>
      <c r="M1266" t="s">
        <v>135</v>
      </c>
      <c r="N1266" t="s">
        <v>31</v>
      </c>
      <c r="Q1266" t="str">
        <f>LEFT(B1266, 4)</f>
        <v>Dell</v>
      </c>
      <c r="R1266" t="str">
        <f t="shared" si="80"/>
        <v>Intel Core i5 (13th Gen)</v>
      </c>
      <c r="S1266" t="str">
        <f t="shared" si="79"/>
        <v xml:space="preserve">8 GB </v>
      </c>
    </row>
    <row r="1267" spans="1:19">
      <c r="A1267" t="str">
        <f>LEFT(B1267, LEN(B1267)-15)</f>
        <v>Dell Inspiron 14 5410 (D560596WIN9S) Laptop (Core i7 11th Gen/16 GB/512 GB SSD/Windows 10)</v>
      </c>
      <c r="B1267" t="s">
        <v>1835</v>
      </c>
      <c r="C1267" s="1">
        <v>89090</v>
      </c>
      <c r="D1267" s="1">
        <v>47</v>
      </c>
      <c r="E1267" s="2">
        <v>80</v>
      </c>
      <c r="F1267" s="2" t="str" cm="1">
        <f t="array" ref="F1267">_xlfn.IFS(AND(101&gt;E1267, E1267&gt;69), "Top-Tier", AND(70&gt;E1267, E1267&gt;39), "Mid-Tier", 40&gt;E1267, "Low-Tier")</f>
        <v>Top-Tier</v>
      </c>
      <c r="G1267" s="4">
        <v>44866</v>
      </c>
      <c r="H1267" t="s">
        <v>1836</v>
      </c>
      <c r="I1267" t="s">
        <v>248</v>
      </c>
      <c r="J1267" t="s">
        <v>34</v>
      </c>
      <c r="K1267" t="s">
        <v>439</v>
      </c>
      <c r="L1267" t="s">
        <v>24</v>
      </c>
      <c r="M1267" t="s">
        <v>1571</v>
      </c>
      <c r="N1267" t="s">
        <v>31</v>
      </c>
      <c r="P1267" s="3">
        <v>75</v>
      </c>
      <c r="Q1267" t="str">
        <f>LEFT(B1267, 4)</f>
        <v>Dell</v>
      </c>
      <c r="R1267" t="str">
        <f t="shared" si="80"/>
        <v>Intel Core i5 (13th Gen)</v>
      </c>
      <c r="S1267" t="str">
        <f t="shared" si="79"/>
        <v>16 GB</v>
      </c>
    </row>
    <row r="1268" spans="1:19">
      <c r="A1268" t="str">
        <f>LEFT(B1268, LEN(B1268)-15)</f>
        <v>Dell G15-5525 (D560894WIN9S) Laptop (AMD Octa Core Ryzen 7/16 GB/512 GB SSD/Windows 11/6 GB)</v>
      </c>
      <c r="B1268" t="s">
        <v>1837</v>
      </c>
      <c r="C1268" s="1">
        <v>96999</v>
      </c>
      <c r="D1268" s="1">
        <v>65</v>
      </c>
      <c r="E1268" s="2">
        <v>80</v>
      </c>
      <c r="F1268" s="2" t="str" cm="1">
        <f t="array" ref="F1268">_xlfn.IFS(AND(101&gt;E1268, E1268&gt;69), "Top-Tier", AND(70&gt;E1268, E1268&gt;39), "Mid-Tier", 40&gt;E1268, "Low-Tier")</f>
        <v>Top-Tier</v>
      </c>
      <c r="G1268" s="4">
        <v>44835</v>
      </c>
      <c r="H1268" t="s">
        <v>1838</v>
      </c>
      <c r="I1268" t="s">
        <v>33</v>
      </c>
      <c r="J1268" t="s">
        <v>54</v>
      </c>
      <c r="K1268" t="s">
        <v>51</v>
      </c>
      <c r="L1268" t="s">
        <v>24</v>
      </c>
      <c r="N1268" t="s">
        <v>31</v>
      </c>
      <c r="P1268" s="3">
        <v>82</v>
      </c>
      <c r="Q1268" t="str">
        <f>LEFT(B1268, 4)</f>
        <v>Dell</v>
      </c>
      <c r="R1268" t="str">
        <f t="shared" si="80"/>
        <v>Intel Core i5 (13th Gen)</v>
      </c>
      <c r="S1268" t="str">
        <f t="shared" si="79"/>
        <v>16 GB</v>
      </c>
    </row>
    <row r="1269" spans="1:19">
      <c r="A1269" t="str">
        <f>LEFT(B1269, LEN(B1269)-15)</f>
        <v>Dell Inspiron 15 3511 (D560647WIN9S) Laptop (Core i5 11th Gen/8 GB/1 TB 256 GB SSD/Windows 11)</v>
      </c>
      <c r="B1269" t="s">
        <v>1839</v>
      </c>
      <c r="C1269" s="1">
        <v>41500</v>
      </c>
      <c r="D1269" s="1">
        <v>43</v>
      </c>
      <c r="E1269" s="2">
        <v>80</v>
      </c>
      <c r="F1269" s="2" t="str" cm="1">
        <f t="array" ref="F1269">_xlfn.IFS(AND(101&gt;E1269, E1269&gt;69), "Top-Tier", AND(70&gt;E1269, E1269&gt;39), "Mid-Tier", 40&gt;E1269, "Low-Tier")</f>
        <v>Top-Tier</v>
      </c>
      <c r="G1269" s="4">
        <v>44835</v>
      </c>
      <c r="H1269" t="s">
        <v>1840</v>
      </c>
      <c r="I1269" t="s">
        <v>33</v>
      </c>
      <c r="J1269" t="s">
        <v>332</v>
      </c>
      <c r="K1269" t="s">
        <v>51</v>
      </c>
      <c r="L1269" t="s">
        <v>24</v>
      </c>
      <c r="M1269" t="s">
        <v>135</v>
      </c>
      <c r="N1269" t="s">
        <v>31</v>
      </c>
      <c r="Q1269" t="str">
        <f>LEFT(B1269, 4)</f>
        <v>Dell</v>
      </c>
      <c r="R1269" t="str">
        <f t="shared" ref="R1224:R1287" si="81">LEFT(H1269, 23)</f>
        <v>Intel Core i5 (6th Gen)</v>
      </c>
      <c r="S1269" t="str">
        <f t="shared" ref="S1269:S1331" si="82">LEFT(J1269, 5)</f>
        <v xml:space="preserve">8 GB </v>
      </c>
    </row>
    <row r="1270" spans="1:19">
      <c r="A1270" t="str">
        <f>LEFT(B1270, LEN(B1270)-15)</f>
        <v>Dell G15-5525 (D560898WIN9S) Laptop (AMD Octa Core Ryzen 7/16 GB/1 TB SSD/Windows 11/8 GB)</v>
      </c>
      <c r="B1270" t="s">
        <v>1841</v>
      </c>
      <c r="C1270" s="1">
        <v>132876</v>
      </c>
      <c r="D1270" s="1">
        <v>4</v>
      </c>
      <c r="E1270" s="2">
        <v>80</v>
      </c>
      <c r="F1270" s="2" t="str" cm="1">
        <f t="array" ref="F1270">_xlfn.IFS(AND(101&gt;E1270, E1270&gt;69), "Top-Tier", AND(70&gt;E1270, E1270&gt;39), "Mid-Tier", 40&gt;E1270, "Low-Tier")</f>
        <v>Top-Tier</v>
      </c>
      <c r="G1270" s="4">
        <v>44835</v>
      </c>
      <c r="H1270" t="s">
        <v>1842</v>
      </c>
      <c r="I1270" t="s">
        <v>33</v>
      </c>
      <c r="J1270" t="s">
        <v>72</v>
      </c>
      <c r="K1270" t="s">
        <v>51</v>
      </c>
      <c r="L1270" t="s">
        <v>24</v>
      </c>
      <c r="N1270" t="s">
        <v>31</v>
      </c>
      <c r="P1270" s="3">
        <v>84</v>
      </c>
      <c r="Q1270" t="str">
        <f>LEFT(B1270, 4)</f>
        <v>Dell</v>
      </c>
      <c r="R1270" t="str">
        <f t="shared" si="81"/>
        <v>Intel Core i5 (7th Gen)</v>
      </c>
      <c r="S1270" t="str">
        <f t="shared" si="82"/>
        <v>16 GB</v>
      </c>
    </row>
    <row r="1271" spans="1:19">
      <c r="A1271" t="str">
        <f>LEFT(B1271, LEN(B1271)-15)</f>
        <v>Dell Inspiron 15 3520 (D560900WIN9B) Laptop (Core i5 12th Gen/8 GB/1 TB 256 GB SSD/Windows 11)</v>
      </c>
      <c r="B1271" t="s">
        <v>1843</v>
      </c>
      <c r="C1271" s="1">
        <v>59990</v>
      </c>
      <c r="D1271" s="1">
        <v>414</v>
      </c>
      <c r="E1271" s="2">
        <v>80</v>
      </c>
      <c r="F1271" s="2" t="str" cm="1">
        <f t="array" ref="F1271">_xlfn.IFS(AND(101&gt;E1271, E1271&gt;69), "Top-Tier", AND(70&gt;E1271, E1271&gt;39), "Mid-Tier", 40&gt;E1271, "Low-Tier")</f>
        <v>Top-Tier</v>
      </c>
      <c r="G1271" s="4">
        <v>44835</v>
      </c>
      <c r="H1271" t="s">
        <v>1842</v>
      </c>
      <c r="I1271" t="s">
        <v>33</v>
      </c>
      <c r="J1271" t="s">
        <v>332</v>
      </c>
      <c r="K1271" t="s">
        <v>51</v>
      </c>
      <c r="L1271" t="s">
        <v>24</v>
      </c>
      <c r="M1271" t="s">
        <v>237</v>
      </c>
      <c r="N1271" t="s">
        <v>31</v>
      </c>
      <c r="P1271" s="3">
        <v>73</v>
      </c>
      <c r="Q1271" t="str">
        <f>LEFT(B1271, 4)</f>
        <v>Dell</v>
      </c>
      <c r="R1271" t="str">
        <f t="shared" si="81"/>
        <v>Intel Core i5 (7th Gen)</v>
      </c>
      <c r="S1271" t="str">
        <f t="shared" si="82"/>
        <v xml:space="preserve">8 GB </v>
      </c>
    </row>
    <row r="1272" spans="1:19">
      <c r="A1272" t="str">
        <f>LEFT(B1272, LEN(B1272)-15)</f>
        <v>Asus ROG Zephyrus G15 GA503RM-HQ030WS Laptop (AMD Octa Core Ryzen 9/16 GB/1 TB SSD/Windows 11/6 GB)</v>
      </c>
      <c r="B1272" t="s">
        <v>1844</v>
      </c>
      <c r="C1272" s="1">
        <v>161990</v>
      </c>
      <c r="D1272" s="1">
        <v>1</v>
      </c>
      <c r="E1272" s="2">
        <v>80</v>
      </c>
      <c r="F1272" s="2" t="str" cm="1">
        <f t="array" ref="F1272">_xlfn.IFS(AND(101&gt;E1272, E1272&gt;69), "Top-Tier", AND(70&gt;E1272, E1272&gt;39), "Mid-Tier", 40&gt;E1272, "Low-Tier")</f>
        <v>Top-Tier</v>
      </c>
      <c r="G1272" s="4">
        <v>44774</v>
      </c>
      <c r="H1272" t="s">
        <v>1845</v>
      </c>
      <c r="I1272" t="s">
        <v>33</v>
      </c>
      <c r="J1272" t="s">
        <v>72</v>
      </c>
      <c r="K1272" t="s">
        <v>256</v>
      </c>
      <c r="L1272" t="s">
        <v>24</v>
      </c>
      <c r="N1272" t="s">
        <v>31</v>
      </c>
      <c r="P1272" s="3">
        <v>85</v>
      </c>
      <c r="Q1272" t="str">
        <f>LEFT(B1272, 4)</f>
        <v>Asus</v>
      </c>
      <c r="R1272" t="str">
        <f t="shared" si="81"/>
        <v>Intel Core i5 (7th Gen)</v>
      </c>
      <c r="S1272" t="str">
        <f t="shared" si="82"/>
        <v>16 GB</v>
      </c>
    </row>
    <row r="1273" spans="1:19">
      <c r="A1273" t="str">
        <f>LEFT(B1273, LEN(B1273)-15)</f>
        <v>Dell Inspiron 15 3511 (D560842WIN9B) Laptop (Core i3 11th Gen/8 GB/512 GB SSD/Windows 11)</v>
      </c>
      <c r="B1273" t="s">
        <v>1846</v>
      </c>
      <c r="C1273" s="1">
        <v>37990</v>
      </c>
      <c r="D1273" s="1">
        <v>192</v>
      </c>
      <c r="E1273" s="2">
        <v>80</v>
      </c>
      <c r="F1273" s="2" t="str" cm="1">
        <f t="array" ref="F1273">_xlfn.IFS(AND(101&gt;E1273, E1273&gt;69), "Top-Tier", AND(70&gt;E1273, E1273&gt;39), "Mid-Tier", 40&gt;E1273, "Low-Tier")</f>
        <v>Top-Tier</v>
      </c>
      <c r="G1273" s="4">
        <v>44774</v>
      </c>
      <c r="H1273" t="s">
        <v>1847</v>
      </c>
      <c r="I1273" t="s">
        <v>33</v>
      </c>
      <c r="J1273" t="s">
        <v>50</v>
      </c>
      <c r="K1273" t="s">
        <v>51</v>
      </c>
      <c r="L1273" t="s">
        <v>24</v>
      </c>
      <c r="N1273" t="s">
        <v>31</v>
      </c>
      <c r="Q1273" t="str">
        <f>LEFT(B1273, 4)</f>
        <v>Dell</v>
      </c>
      <c r="R1273" t="str">
        <f t="shared" si="81"/>
        <v>Intel Core i5 (8th Gen)</v>
      </c>
      <c r="S1273" t="str">
        <f t="shared" si="82"/>
        <v xml:space="preserve">8 GB </v>
      </c>
    </row>
    <row r="1274" spans="1:19">
      <c r="A1274" t="str">
        <f>LEFT(B1274, LEN(B1274)-15)</f>
        <v>Lenovo IdeaPad Flex 5 Gen 7 (82R9008GIN) Laptop (AMD Hexa Core Ryzen 5/16 GB/512 GB SSD/Windows 11)</v>
      </c>
      <c r="B1274" t="s">
        <v>1848</v>
      </c>
      <c r="C1274" s="1">
        <v>69500</v>
      </c>
      <c r="D1274" s="1">
        <v>122</v>
      </c>
      <c r="E1274" s="2">
        <v>80</v>
      </c>
      <c r="F1274" s="2" t="str" cm="1">
        <f t="array" ref="F1274">_xlfn.IFS(AND(101&gt;E1274, E1274&gt;69), "Top-Tier", AND(70&gt;E1274, E1274&gt;39), "Mid-Tier", 40&gt;E1274, "Low-Tier")</f>
        <v>Top-Tier</v>
      </c>
      <c r="G1274" s="4">
        <v>44774</v>
      </c>
      <c r="H1274" t="s">
        <v>1849</v>
      </c>
      <c r="I1274" t="s">
        <v>33</v>
      </c>
      <c r="J1274" t="s">
        <v>214</v>
      </c>
      <c r="K1274" t="s">
        <v>185</v>
      </c>
      <c r="L1274" t="s">
        <v>24</v>
      </c>
      <c r="M1274" t="s">
        <v>74</v>
      </c>
      <c r="N1274" t="s">
        <v>31</v>
      </c>
      <c r="P1274" s="3">
        <v>75</v>
      </c>
      <c r="Q1274" t="str">
        <f>LEFT(B1274, 6)</f>
        <v>Lenovo</v>
      </c>
      <c r="R1274" t="str">
        <f t="shared" si="81"/>
        <v>Intel Core i5 (8th Gen)</v>
      </c>
      <c r="S1274" t="str">
        <f t="shared" si="82"/>
        <v>16 GB</v>
      </c>
    </row>
    <row r="1275" spans="1:19">
      <c r="A1275" t="str">
        <f>LEFT(B1275, LEN(B1275)-15)</f>
        <v>Dell Vostro 3425 (D552305WIN9BE) Laptop (AMD Quad Core Ryzen 3/8 GB/256 GB SSD/Windows 11)</v>
      </c>
      <c r="B1275" t="s">
        <v>1850</v>
      </c>
      <c r="C1275" s="1">
        <v>34700</v>
      </c>
      <c r="D1275" s="1">
        <v>350</v>
      </c>
      <c r="E1275" s="2">
        <v>80</v>
      </c>
      <c r="F1275" s="2" t="str" cm="1">
        <f t="array" ref="F1275">_xlfn.IFS(AND(101&gt;E1275, E1275&gt;69), "Top-Tier", AND(70&gt;E1275, E1275&gt;39), "Mid-Tier", 40&gt;E1275, "Low-Tier")</f>
        <v>Top-Tier</v>
      </c>
      <c r="G1275" s="4">
        <v>44774</v>
      </c>
      <c r="H1275" t="s">
        <v>1849</v>
      </c>
      <c r="I1275" t="s">
        <v>33</v>
      </c>
      <c r="J1275" t="s">
        <v>338</v>
      </c>
      <c r="K1275" t="s">
        <v>149</v>
      </c>
      <c r="L1275" t="s">
        <v>24</v>
      </c>
      <c r="N1275" t="s">
        <v>31</v>
      </c>
      <c r="Q1275" t="str">
        <f>LEFT(B1275, 4)</f>
        <v>Dell</v>
      </c>
      <c r="R1275" t="str">
        <f t="shared" si="81"/>
        <v>Intel Core i5 (8th Gen)</v>
      </c>
      <c r="S1275" t="str">
        <f t="shared" si="82"/>
        <v xml:space="preserve">8 GB </v>
      </c>
    </row>
    <row r="1276" spans="1:19">
      <c r="A1276" t="str">
        <f>LEFT(B1276, LEN(B1276)-15)</f>
        <v>HP 15s-fq5112TU (6Q2M3PA) Laptop (Core i5 12th Gen/16 GB/512 GB SSD/Windows 11)</v>
      </c>
      <c r="B1276" t="s">
        <v>1851</v>
      </c>
      <c r="C1276" s="1">
        <v>48740</v>
      </c>
      <c r="D1276" s="1">
        <v>716</v>
      </c>
      <c r="E1276" s="2">
        <v>80</v>
      </c>
      <c r="F1276" s="2" t="str" cm="1">
        <f t="array" ref="F1276">_xlfn.IFS(AND(101&gt;E1276, E1276&gt;69), "Top-Tier", AND(70&gt;E1276, E1276&gt;39), "Mid-Tier", 40&gt;E1276, "Low-Tier")</f>
        <v>Top-Tier</v>
      </c>
      <c r="G1276" s="4">
        <v>44774</v>
      </c>
      <c r="H1276" t="s">
        <v>1849</v>
      </c>
      <c r="I1276" t="s">
        <v>33</v>
      </c>
      <c r="J1276" t="s">
        <v>34</v>
      </c>
      <c r="K1276" t="s">
        <v>51</v>
      </c>
      <c r="L1276" t="s">
        <v>24</v>
      </c>
      <c r="M1276" t="s">
        <v>95</v>
      </c>
      <c r="N1276" t="s">
        <v>31</v>
      </c>
      <c r="P1276" s="3">
        <v>75</v>
      </c>
      <c r="Q1276" t="str">
        <f>LEFT(B1276, 2)</f>
        <v>HP</v>
      </c>
      <c r="R1276" t="str">
        <f t="shared" si="81"/>
        <v>Intel Core i5 (8th Gen)</v>
      </c>
      <c r="S1276" t="str">
        <f t="shared" si="82"/>
        <v>16 GB</v>
      </c>
    </row>
    <row r="1277" spans="1:19">
      <c r="A1277" t="str">
        <f>LEFT(B1277, LEN(B1277)-15)</f>
        <v>HP Pavilion Plus 14-eh0025TU (6H2F4PA) Laptop (Core i5 12th Gen/16 GB/512 GB SSD/Windows 11)</v>
      </c>
      <c r="B1277" t="s">
        <v>1852</v>
      </c>
      <c r="C1277" s="1">
        <v>73990</v>
      </c>
      <c r="D1277" s="1">
        <v>220</v>
      </c>
      <c r="E1277" s="2">
        <v>80</v>
      </c>
      <c r="F1277" s="2" t="str" cm="1">
        <f t="array" ref="F1277">_xlfn.IFS(AND(101&gt;E1277, E1277&gt;69), "Top-Tier", AND(70&gt;E1277, E1277&gt;39), "Mid-Tier", 40&gt;E1277, "Low-Tier")</f>
        <v>Top-Tier</v>
      </c>
      <c r="G1277" s="4">
        <v>44774</v>
      </c>
      <c r="H1277" t="s">
        <v>1849</v>
      </c>
      <c r="I1277" t="s">
        <v>33</v>
      </c>
      <c r="J1277" t="s">
        <v>34</v>
      </c>
      <c r="K1277" t="s">
        <v>104</v>
      </c>
      <c r="L1277" t="s">
        <v>24</v>
      </c>
      <c r="M1277" t="s">
        <v>732</v>
      </c>
      <c r="N1277" t="s">
        <v>31</v>
      </c>
      <c r="P1277" s="3">
        <v>78</v>
      </c>
      <c r="Q1277" t="str">
        <f>LEFT(B1277, 2)</f>
        <v>HP</v>
      </c>
      <c r="R1277" t="str">
        <f t="shared" si="81"/>
        <v>Intel Core i5 (8th Gen)</v>
      </c>
      <c r="S1277" t="str">
        <f t="shared" si="82"/>
        <v>16 GB</v>
      </c>
    </row>
    <row r="1278" spans="1:19">
      <c r="A1278" t="str">
        <f>LEFT(B1278, LEN(B1278)-15)</f>
        <v>Asus Zenbook Flip 14 OLED UP5401ZA-KN501WS Laptop (Core i5 12th Gen/16 GB/512 GB SSD/Windows 11)</v>
      </c>
      <c r="B1278" t="s">
        <v>1853</v>
      </c>
      <c r="C1278" s="1">
        <v>74990</v>
      </c>
      <c r="D1278" s="1">
        <v>49</v>
      </c>
      <c r="E1278" s="2">
        <v>80</v>
      </c>
      <c r="F1278" s="2" t="str" cm="1">
        <f t="array" ref="F1278">_xlfn.IFS(AND(101&gt;E1278, E1278&gt;69), "Top-Tier", AND(70&gt;E1278, E1278&gt;39), "Mid-Tier", 40&gt;E1278, "Low-Tier")</f>
        <v>Top-Tier</v>
      </c>
      <c r="G1278" s="4">
        <v>44743</v>
      </c>
      <c r="H1278" t="s">
        <v>1849</v>
      </c>
      <c r="I1278" t="s">
        <v>33</v>
      </c>
      <c r="J1278" t="s">
        <v>121</v>
      </c>
      <c r="K1278" t="s">
        <v>81</v>
      </c>
      <c r="L1278" t="s">
        <v>24</v>
      </c>
      <c r="M1278" t="s">
        <v>44</v>
      </c>
      <c r="N1278" t="s">
        <v>31</v>
      </c>
      <c r="O1278" t="s">
        <v>291</v>
      </c>
      <c r="P1278" s="3">
        <v>77</v>
      </c>
      <c r="Q1278" t="str">
        <f>LEFT(B1278, 4)</f>
        <v>Asus</v>
      </c>
      <c r="R1278" t="str">
        <f t="shared" si="81"/>
        <v>Intel Core i5 (8th Gen)</v>
      </c>
      <c r="S1278" t="str">
        <f t="shared" si="82"/>
        <v>16 GB</v>
      </c>
    </row>
    <row r="1279" spans="1:19">
      <c r="A1279" t="str">
        <f>LEFT(B1279, LEN(B1279)-15)</f>
        <v>Asus VivoBook 14 X415JA-EB531WS Laptop (Core i5 10th Gen/16 GB/512 GB SSD/Windows 11)</v>
      </c>
      <c r="B1279" t="s">
        <v>1854</v>
      </c>
      <c r="C1279" s="1">
        <v>49490</v>
      </c>
      <c r="D1279" s="1">
        <v>22</v>
      </c>
      <c r="E1279" s="2">
        <v>80</v>
      </c>
      <c r="F1279" s="2" t="str" cm="1">
        <f t="array" ref="F1279">_xlfn.IFS(AND(101&gt;E1279, E1279&gt;69), "Top-Tier", AND(70&gt;E1279, E1279&gt;39), "Mid-Tier", 40&gt;E1279, "Low-Tier")</f>
        <v>Top-Tier</v>
      </c>
      <c r="G1279" s="4">
        <v>44743</v>
      </c>
      <c r="H1279" t="s">
        <v>1849</v>
      </c>
      <c r="I1279" t="s">
        <v>33</v>
      </c>
      <c r="J1279" t="s">
        <v>34</v>
      </c>
      <c r="K1279" t="s">
        <v>149</v>
      </c>
      <c r="L1279" t="s">
        <v>24</v>
      </c>
      <c r="M1279" t="s">
        <v>52</v>
      </c>
      <c r="N1279" t="s">
        <v>31</v>
      </c>
      <c r="Q1279" t="str">
        <f>LEFT(B1279, 4)</f>
        <v>Asus</v>
      </c>
      <c r="R1279" t="str">
        <f t="shared" si="81"/>
        <v>Intel Core i5 (8th Gen)</v>
      </c>
      <c r="S1279" t="str">
        <f t="shared" si="82"/>
        <v>16 GB</v>
      </c>
    </row>
    <row r="1280" spans="1:19">
      <c r="A1280" t="str">
        <f>LEFT(B1280, LEN(B1280)-15)</f>
        <v>HP 15s-eq1559AU (6P9A3PA) Laptop (AMD Dual Core Athlon/8 GB/512 GB SSD/Windows 11)</v>
      </c>
      <c r="B1280" t="s">
        <v>1855</v>
      </c>
      <c r="C1280" s="1">
        <v>29990</v>
      </c>
      <c r="D1280" s="1">
        <v>1673</v>
      </c>
      <c r="E1280" s="2">
        <v>80</v>
      </c>
      <c r="F1280" s="2" t="str" cm="1">
        <f t="array" ref="F1280">_xlfn.IFS(AND(101&gt;E1280, E1280&gt;69), "Top-Tier", AND(70&gt;E1280, E1280&gt;39), "Mid-Tier", 40&gt;E1280, "Low-Tier")</f>
        <v>Top-Tier</v>
      </c>
      <c r="G1280" s="4">
        <v>44743</v>
      </c>
      <c r="H1280" t="s">
        <v>1849</v>
      </c>
      <c r="I1280" t="s">
        <v>33</v>
      </c>
      <c r="J1280" t="s">
        <v>50</v>
      </c>
      <c r="K1280" t="s">
        <v>560</v>
      </c>
      <c r="L1280" t="s">
        <v>24</v>
      </c>
      <c r="M1280" t="s">
        <v>95</v>
      </c>
      <c r="N1280" t="s">
        <v>31</v>
      </c>
      <c r="Q1280" t="str">
        <f>LEFT(B1280, 2)</f>
        <v>HP</v>
      </c>
      <c r="R1280" t="str">
        <f t="shared" si="81"/>
        <v>Intel Core i5 (8th Gen)</v>
      </c>
      <c r="S1280" t="str">
        <f t="shared" si="82"/>
        <v xml:space="preserve">8 GB </v>
      </c>
    </row>
    <row r="1281" spans="1:19">
      <c r="A1281" t="str">
        <f>LEFT(B1281, LEN(B1281)-15)</f>
        <v>Lenovo V15 (82KDA01BIH) Laptop (AMD Quad Core Ryzen 3/8 GB/512 GB SSD/Windows 11)</v>
      </c>
      <c r="B1281" t="s">
        <v>1856</v>
      </c>
      <c r="C1281" s="1">
        <v>28900</v>
      </c>
      <c r="D1281" s="1">
        <v>648</v>
      </c>
      <c r="E1281" s="2">
        <v>80</v>
      </c>
      <c r="F1281" s="2" t="str" cm="1">
        <f t="array" ref="F1281">_xlfn.IFS(AND(101&gt;E1281, E1281&gt;69), "Top-Tier", AND(70&gt;E1281, E1281&gt;39), "Mid-Tier", 40&gt;E1281, "Low-Tier")</f>
        <v>Top-Tier</v>
      </c>
      <c r="G1281" s="4">
        <v>44743</v>
      </c>
      <c r="H1281" t="s">
        <v>1849</v>
      </c>
      <c r="I1281" t="s">
        <v>33</v>
      </c>
      <c r="J1281" t="s">
        <v>50</v>
      </c>
      <c r="K1281" t="s">
        <v>51</v>
      </c>
      <c r="L1281" t="s">
        <v>24</v>
      </c>
      <c r="M1281" t="s">
        <v>253</v>
      </c>
      <c r="N1281" t="s">
        <v>31</v>
      </c>
      <c r="Q1281" t="str">
        <f>LEFT(B1281, 6)</f>
        <v>Lenovo</v>
      </c>
      <c r="R1281" t="str">
        <f t="shared" si="81"/>
        <v>Intel Core i5 (8th Gen)</v>
      </c>
      <c r="S1281" t="str">
        <f t="shared" si="82"/>
        <v xml:space="preserve">8 GB </v>
      </c>
    </row>
    <row r="1282" spans="1:19">
      <c r="A1282" t="str">
        <f>LEFT(B1282, LEN(B1282)-15)</f>
        <v>Dell G15-5525 (D560818WIN9B) Laptop (AMD Hexa Core Ryzen 5/16 GB/512 GB SSD/Windows 11/4 GB)</v>
      </c>
      <c r="B1282" t="s">
        <v>1857</v>
      </c>
      <c r="C1282" s="1">
        <v>67790</v>
      </c>
      <c r="D1282" s="1">
        <v>232</v>
      </c>
      <c r="E1282" s="2">
        <v>80</v>
      </c>
      <c r="F1282" s="2" t="str" cm="1">
        <f t="array" ref="F1282">_xlfn.IFS(AND(101&gt;E1282, E1282&gt;69), "Top-Tier", AND(70&gt;E1282, E1282&gt;39), "Mid-Tier", 40&gt;E1282, "Low-Tier")</f>
        <v>Top-Tier</v>
      </c>
      <c r="G1282" s="4">
        <v>44743</v>
      </c>
      <c r="H1282" t="s">
        <v>1849</v>
      </c>
      <c r="I1282" t="s">
        <v>33</v>
      </c>
      <c r="J1282" t="s">
        <v>54</v>
      </c>
      <c r="K1282" t="s">
        <v>51</v>
      </c>
      <c r="L1282" t="s">
        <v>24</v>
      </c>
      <c r="N1282" t="s">
        <v>31</v>
      </c>
      <c r="P1282" s="3">
        <v>79</v>
      </c>
      <c r="Q1282" t="str">
        <f>LEFT(B1282, 4)</f>
        <v>Dell</v>
      </c>
      <c r="R1282" t="str">
        <f t="shared" si="81"/>
        <v>Intel Core i5 (8th Gen)</v>
      </c>
      <c r="S1282" t="str">
        <f t="shared" si="82"/>
        <v>16 GB</v>
      </c>
    </row>
    <row r="1283" spans="1:19">
      <c r="A1283" t="str">
        <f>LEFT(B1283, LEN(B1283)-15)</f>
        <v>HP Pavilion x360 14-ek0072TU (6Q0Y7PA) Laptop (Core i5 12th Gen/16 GB/512 GB SSD/Windows 11)</v>
      </c>
      <c r="B1283" t="s">
        <v>1858</v>
      </c>
      <c r="C1283" s="1">
        <v>75550</v>
      </c>
      <c r="D1283" s="1">
        <v>96</v>
      </c>
      <c r="E1283" s="2">
        <v>80</v>
      </c>
      <c r="F1283" s="2" t="str" cm="1">
        <f t="array" ref="F1283">_xlfn.IFS(AND(101&gt;E1283, E1283&gt;69), "Top-Tier", AND(70&gt;E1283, E1283&gt;39), "Mid-Tier", 40&gt;E1283, "Low-Tier")</f>
        <v>Top-Tier</v>
      </c>
      <c r="G1283" s="4">
        <v>44743</v>
      </c>
      <c r="H1283" t="s">
        <v>1849</v>
      </c>
      <c r="I1283" t="s">
        <v>33</v>
      </c>
      <c r="J1283" t="s">
        <v>34</v>
      </c>
      <c r="K1283" t="s">
        <v>149</v>
      </c>
      <c r="L1283" t="s">
        <v>24</v>
      </c>
      <c r="M1283" t="s">
        <v>52</v>
      </c>
      <c r="N1283" t="s">
        <v>31</v>
      </c>
      <c r="P1283" s="3">
        <v>76</v>
      </c>
      <c r="Q1283" t="str">
        <f>LEFT(B1283, 2)</f>
        <v>HP</v>
      </c>
      <c r="R1283" t="str">
        <f t="shared" si="81"/>
        <v>Intel Core i5 (8th Gen)</v>
      </c>
      <c r="S1283" t="str">
        <f t="shared" si="82"/>
        <v>16 GB</v>
      </c>
    </row>
    <row r="1284" spans="1:19">
      <c r="A1284" t="str">
        <f>LEFT(B1284, LEN(B1284)-15)</f>
        <v>HP Victus 15-fb0053AX (6F9U1PA) Laptop (AMD Octa Core Ryzen 7/16 GB/512 GB SSD/Windows 11/4 GB)</v>
      </c>
      <c r="B1284" t="s">
        <v>1859</v>
      </c>
      <c r="C1284" s="1">
        <v>71999</v>
      </c>
      <c r="D1284" s="1">
        <v>14</v>
      </c>
      <c r="E1284" s="2">
        <v>80</v>
      </c>
      <c r="F1284" s="2" t="str" cm="1">
        <f t="array" ref="F1284">_xlfn.IFS(AND(101&gt;E1284, E1284&gt;69), "Top-Tier", AND(70&gt;E1284, E1284&gt;39), "Mid-Tier", 40&gt;E1284, "Low-Tier")</f>
        <v>Top-Tier</v>
      </c>
      <c r="G1284" s="4">
        <v>44743</v>
      </c>
      <c r="H1284" t="s">
        <v>1849</v>
      </c>
      <c r="I1284" t="s">
        <v>33</v>
      </c>
      <c r="J1284" t="s">
        <v>34</v>
      </c>
      <c r="K1284" t="s">
        <v>159</v>
      </c>
      <c r="L1284" t="s">
        <v>24</v>
      </c>
      <c r="N1284" t="s">
        <v>31</v>
      </c>
      <c r="P1284" s="3">
        <v>80</v>
      </c>
      <c r="Q1284" t="str">
        <f>LEFT(B1284, 2)</f>
        <v>HP</v>
      </c>
      <c r="R1284" t="str">
        <f t="shared" si="81"/>
        <v>Intel Core i5 (8th Gen)</v>
      </c>
      <c r="S1284" t="str">
        <f t="shared" si="82"/>
        <v>16 GB</v>
      </c>
    </row>
    <row r="1285" spans="1:19">
      <c r="A1285" t="str">
        <f>LEFT(B1285, LEN(B1285)-15)</f>
        <v>HP 15s-fq2671TU (6N044PA) Laptop (Core i3 11th Gen/8 GB/512 GB SSD/Windows 11)</v>
      </c>
      <c r="B1285" t="s">
        <v>1860</v>
      </c>
      <c r="C1285" s="1">
        <v>35750</v>
      </c>
      <c r="D1285" s="1">
        <v>507</v>
      </c>
      <c r="E1285" s="2">
        <v>80</v>
      </c>
      <c r="F1285" s="2" t="str" cm="1">
        <f t="array" ref="F1285">_xlfn.IFS(AND(101&gt;E1285, E1285&gt;69), "Top-Tier", AND(70&gt;E1285, E1285&gt;39), "Mid-Tier", 40&gt;E1285, "Low-Tier")</f>
        <v>Top-Tier</v>
      </c>
      <c r="G1285" s="4">
        <v>44713</v>
      </c>
      <c r="H1285" t="s">
        <v>1861</v>
      </c>
      <c r="I1285" t="s">
        <v>33</v>
      </c>
      <c r="J1285" t="s">
        <v>50</v>
      </c>
      <c r="K1285" t="s">
        <v>51</v>
      </c>
      <c r="L1285" t="s">
        <v>24</v>
      </c>
      <c r="M1285" t="s">
        <v>95</v>
      </c>
      <c r="N1285" t="s">
        <v>31</v>
      </c>
      <c r="Q1285" t="str">
        <f>LEFT(B1285, 2)</f>
        <v>HP</v>
      </c>
      <c r="R1285" t="str">
        <f t="shared" si="81"/>
        <v>Intel Core i5 (8th Gen)</v>
      </c>
      <c r="S1285" t="str">
        <f t="shared" si="82"/>
        <v xml:space="preserve">8 GB </v>
      </c>
    </row>
    <row r="1286" spans="1:19">
      <c r="A1286" t="str">
        <f>LEFT(B1286, LEN(B1286)-15)</f>
        <v>Dell Inspiron 15 3511 (D560745WIN9B) Laptop (Core i5 11th Gen/8 GB/512 GB SSD/Windows 11)</v>
      </c>
      <c r="B1286" t="s">
        <v>1862</v>
      </c>
      <c r="C1286" s="1">
        <v>64226</v>
      </c>
      <c r="D1286" s="1">
        <v>188</v>
      </c>
      <c r="E1286" s="2">
        <v>80</v>
      </c>
      <c r="F1286" s="2" t="str" cm="1">
        <f t="array" ref="F1286">_xlfn.IFS(AND(101&gt;E1286, E1286&gt;69), "Top-Tier", AND(70&gt;E1286, E1286&gt;39), "Mid-Tier", 40&gt;E1286, "Low-Tier")</f>
        <v>Top-Tier</v>
      </c>
      <c r="G1286" s="4">
        <v>44713</v>
      </c>
      <c r="H1286" t="s">
        <v>1863</v>
      </c>
      <c r="I1286" t="s">
        <v>33</v>
      </c>
      <c r="J1286" t="s">
        <v>50</v>
      </c>
      <c r="K1286" t="s">
        <v>51</v>
      </c>
      <c r="L1286" t="s">
        <v>24</v>
      </c>
      <c r="M1286" t="s">
        <v>135</v>
      </c>
      <c r="N1286" t="s">
        <v>31</v>
      </c>
      <c r="Q1286" t="str">
        <f>LEFT(B1286, 4)</f>
        <v>Dell</v>
      </c>
      <c r="R1286" t="str">
        <f t="shared" si="81"/>
        <v>Intel Core i5 (8th Gen)</v>
      </c>
      <c r="S1286" t="str">
        <f t="shared" si="82"/>
        <v xml:space="preserve">8 GB </v>
      </c>
    </row>
    <row r="1287" spans="1:19">
      <c r="A1287" t="str">
        <f>LEFT(B1287, LEN(B1287)-15)</f>
        <v>Lenovo V15 (82KBA03TIH) Laptop (Core i3 11th Gen/8 GB/1 TB 256 GB SSD/Windows 11)</v>
      </c>
      <c r="B1287" t="s">
        <v>1864</v>
      </c>
      <c r="C1287" s="1">
        <v>40961</v>
      </c>
      <c r="D1287" s="1">
        <v>10</v>
      </c>
      <c r="E1287" s="2">
        <v>80</v>
      </c>
      <c r="F1287" s="2" t="str" cm="1">
        <f t="array" ref="F1287">_xlfn.IFS(AND(101&gt;E1287, E1287&gt;69), "Top-Tier", AND(70&gt;E1287, E1287&gt;39), "Mid-Tier", 40&gt;E1287, "Low-Tier")</f>
        <v>Top-Tier</v>
      </c>
      <c r="G1287" s="4">
        <v>44713</v>
      </c>
      <c r="H1287" t="s">
        <v>1865</v>
      </c>
      <c r="I1287" t="s">
        <v>33</v>
      </c>
      <c r="J1287" t="s">
        <v>332</v>
      </c>
      <c r="K1287" t="s">
        <v>51</v>
      </c>
      <c r="L1287" t="s">
        <v>24</v>
      </c>
      <c r="M1287" t="s">
        <v>253</v>
      </c>
      <c r="N1287" t="s">
        <v>31</v>
      </c>
      <c r="Q1287" t="str">
        <f>LEFT(B1287, 6)</f>
        <v>Lenovo</v>
      </c>
      <c r="R1287" t="str">
        <f t="shared" si="81"/>
        <v>Intel Core i5 (8th Gen)</v>
      </c>
      <c r="S1287" t="str">
        <f t="shared" si="82"/>
        <v xml:space="preserve">8 GB </v>
      </c>
    </row>
    <row r="1288" spans="1:19">
      <c r="A1288" t="str">
        <f>LEFT(B1288, LEN(B1288)-15)</f>
        <v>MSI Prestige 16 Intel Evo A13M-266IN Laptop (Core i7 13th Gen/16 GB/1 TB SSD/Windows 11)</v>
      </c>
      <c r="B1288" t="s">
        <v>1866</v>
      </c>
      <c r="C1288" s="1">
        <v>149216</v>
      </c>
      <c r="D1288" s="1">
        <v>1</v>
      </c>
      <c r="E1288" s="2">
        <v>80</v>
      </c>
      <c r="F1288" s="2" t="str" cm="1">
        <f t="array" ref="F1288">_xlfn.IFS(AND(101&gt;E1288, E1288&gt;69), "Top-Tier", AND(70&gt;E1288, E1288&gt;39), "Mid-Tier", 40&gt;E1288, "Low-Tier")</f>
        <v>Top-Tier</v>
      </c>
      <c r="G1288" s="4">
        <v>44713</v>
      </c>
      <c r="H1288" t="s">
        <v>1865</v>
      </c>
      <c r="I1288" t="s">
        <v>33</v>
      </c>
      <c r="J1288" t="s">
        <v>167</v>
      </c>
      <c r="K1288" t="s">
        <v>547</v>
      </c>
      <c r="L1288" t="s">
        <v>24</v>
      </c>
      <c r="M1288" t="s">
        <v>69</v>
      </c>
      <c r="N1288" t="s">
        <v>31</v>
      </c>
      <c r="P1288" s="3">
        <v>80</v>
      </c>
      <c r="Q1288" t="str">
        <f>LEFT(B1288, 3)</f>
        <v>MSI</v>
      </c>
      <c r="R1288" t="str">
        <f t="shared" ref="R1288:R1290" si="83">LEFT(H1288, 23)</f>
        <v>Intel Core i5 (8th Gen)</v>
      </c>
      <c r="S1288" t="str">
        <f t="shared" si="82"/>
        <v>16 GB</v>
      </c>
    </row>
    <row r="1289" spans="1:19">
      <c r="A1289" t="str">
        <f>LEFT(B1289, LEN(B1289)-15)</f>
        <v>Infinix INBook X1 Neo XL22 Laptop (Intel Celeron Quad Core/4 GB/128 GB SSD/Windows 11)</v>
      </c>
      <c r="B1289" t="s">
        <v>1867</v>
      </c>
      <c r="C1289" s="1">
        <v>22999</v>
      </c>
      <c r="D1289" s="1">
        <v>1493</v>
      </c>
      <c r="E1289" s="2">
        <v>80</v>
      </c>
      <c r="F1289" s="2" t="str" cm="1">
        <f t="array" ref="F1289">_xlfn.IFS(AND(101&gt;E1289, E1289&gt;69), "Top-Tier", AND(70&gt;E1289, E1289&gt;39), "Mid-Tier", 40&gt;E1289, "Low-Tier")</f>
        <v>Top-Tier</v>
      </c>
      <c r="G1289" s="4">
        <v>44713</v>
      </c>
      <c r="H1289" t="s">
        <v>1865</v>
      </c>
      <c r="I1289" t="s">
        <v>33</v>
      </c>
      <c r="J1289" t="s">
        <v>1435</v>
      </c>
      <c r="K1289" t="s">
        <v>149</v>
      </c>
      <c r="L1289" t="s">
        <v>24</v>
      </c>
      <c r="M1289" t="s">
        <v>968</v>
      </c>
      <c r="N1289" t="s">
        <v>31</v>
      </c>
      <c r="O1289" t="s">
        <v>261</v>
      </c>
      <c r="Q1289" t="str">
        <f>LEFT(B1289, 7)</f>
        <v>Infinix</v>
      </c>
      <c r="R1289" t="str">
        <f t="shared" si="83"/>
        <v>Intel Core i5 (8th Gen)</v>
      </c>
      <c r="S1289" t="str">
        <f t="shared" si="82"/>
        <v xml:space="preserve">4 GB </v>
      </c>
    </row>
    <row r="1290" spans="1:19">
      <c r="A1290" t="str">
        <f>LEFT(B1290, LEN(B1290)-15)</f>
        <v>Asus TUF Gaming A15 FA566NCR-HN254WS Laptop (AMD Octa Core Ryzen 7/16 GB/512 GB SSD/Windows 11/4 GB)</v>
      </c>
      <c r="B1290" t="s">
        <v>1868</v>
      </c>
      <c r="C1290" s="1">
        <v>70026</v>
      </c>
      <c r="D1290" s="1">
        <v>304</v>
      </c>
      <c r="E1290" s="2">
        <v>78</v>
      </c>
      <c r="F1290" s="2" t="str" cm="1">
        <f t="array" ref="F1290">_xlfn.IFS(AND(101&gt;E1290, E1290&gt;69), "Top-Tier", AND(70&gt;E1290, E1290&gt;39), "Mid-Tier", 40&gt;E1290, "Low-Tier")</f>
        <v>Top-Tier</v>
      </c>
      <c r="G1290" s="4">
        <v>45748</v>
      </c>
      <c r="H1290" t="s">
        <v>1869</v>
      </c>
      <c r="I1290" t="s">
        <v>33</v>
      </c>
      <c r="J1290" t="s">
        <v>54</v>
      </c>
      <c r="K1290" t="s">
        <v>51</v>
      </c>
      <c r="L1290" t="s">
        <v>24</v>
      </c>
      <c r="N1290" t="s">
        <v>31</v>
      </c>
      <c r="P1290" s="3">
        <v>82</v>
      </c>
      <c r="Q1290" t="str">
        <f>LEFT(B1290, 4)</f>
        <v>Asus</v>
      </c>
      <c r="R1290" t="str">
        <f t="shared" si="83"/>
        <v>Intel Core i5 (9th Gen)</v>
      </c>
      <c r="S1290" t="str">
        <f t="shared" si="82"/>
        <v>16 GB</v>
      </c>
    </row>
    <row r="1291" spans="1:19">
      <c r="A1291" t="str">
        <f>LEFT(B1291, LEN(B1291)-15)</f>
        <v>HP 15s-GR0007AU (21W93PA) Laptop (AMD Dual Core Ryzen 3/4 GB/1 TB/Windows 10)</v>
      </c>
      <c r="B1291" t="s">
        <v>1870</v>
      </c>
      <c r="C1291" s="1">
        <v>35274</v>
      </c>
      <c r="D1291" s="1">
        <v>1925</v>
      </c>
      <c r="E1291" s="2">
        <v>78</v>
      </c>
      <c r="F1291" s="2" t="str" cm="1">
        <f t="array" ref="F1291">_xlfn.IFS(AND(101&gt;E1291, E1291&gt;69), "Top-Tier", AND(70&gt;E1291, E1291&gt;39), "Mid-Tier", 40&gt;E1291, "Low-Tier")</f>
        <v>Top-Tier</v>
      </c>
      <c r="G1291" s="4">
        <v>44044</v>
      </c>
      <c r="H1291" t="s">
        <v>1871</v>
      </c>
      <c r="I1291" t="s">
        <v>248</v>
      </c>
      <c r="J1291" t="s">
        <v>542</v>
      </c>
      <c r="K1291" t="s">
        <v>249</v>
      </c>
      <c r="L1291" t="s">
        <v>24</v>
      </c>
      <c r="M1291" t="s">
        <v>52</v>
      </c>
      <c r="N1291" t="s">
        <v>31</v>
      </c>
      <c r="Q1291" t="str">
        <f>LEFT(B1291, 2)</f>
        <v>HP</v>
      </c>
      <c r="R1291" t="str">
        <f>LEFT(H1291, 23)</f>
        <v>Intel Core i5 (9th Gen)</v>
      </c>
      <c r="S1291" t="str">
        <f t="shared" si="82"/>
        <v xml:space="preserve">4 GB </v>
      </c>
    </row>
    <row r="1292" spans="1:19">
      <c r="A1292" t="str">
        <f>LEFT(B1292, LEN(B1292)-15)</f>
        <v>Lenovo 100e Chromebook Gen 4 (82W00004HA) Laptop (MediaTek Octa core/4 GB/32 GB eMMC/Google Chrome)</v>
      </c>
      <c r="B1292" t="s">
        <v>1872</v>
      </c>
      <c r="C1292" s="1">
        <v>9499</v>
      </c>
      <c r="D1292" s="1">
        <v>103</v>
      </c>
      <c r="E1292" s="2">
        <v>78</v>
      </c>
      <c r="F1292" s="2" t="str" cm="1">
        <f t="array" ref="F1292">_xlfn.IFS(AND(101&gt;E1292, E1292&gt;69), "Top-Tier", AND(70&gt;E1292, E1292&gt;39), "Mid-Tier", 40&gt;E1292, "Low-Tier")</f>
        <v>Top-Tier</v>
      </c>
      <c r="G1292" s="4">
        <v>45778</v>
      </c>
      <c r="H1292" t="s">
        <v>1873</v>
      </c>
      <c r="I1292" t="s">
        <v>735</v>
      </c>
      <c r="J1292" t="s">
        <v>1188</v>
      </c>
      <c r="K1292" t="s">
        <v>1505</v>
      </c>
      <c r="L1292" t="s">
        <v>24</v>
      </c>
      <c r="M1292" t="s">
        <v>99</v>
      </c>
      <c r="N1292" t="s">
        <v>31</v>
      </c>
      <c r="Q1292" t="str">
        <f>LEFT(B1292, 6)</f>
        <v>Lenovo</v>
      </c>
      <c r="R1292" t="str">
        <f>LEFT(H1292, 24)</f>
        <v>Intel Core i7 (10th Gen)</v>
      </c>
      <c r="S1292" t="str">
        <f t="shared" si="82"/>
        <v xml:space="preserve">4 GB </v>
      </c>
    </row>
    <row r="1293" spans="1:19">
      <c r="A1293" t="str">
        <f>LEFT(B1293, LEN(B1293)-15)</f>
        <v>Acer Aspire 3 A325-45 (UN.344SI.004) Laptop (Intel Celeron Dual Core/8 GB/512 GB SSD/Windows 11)</v>
      </c>
      <c r="B1293" t="s">
        <v>1874</v>
      </c>
      <c r="C1293" s="1">
        <v>23990</v>
      </c>
      <c r="D1293" s="1">
        <v>2559</v>
      </c>
      <c r="E1293" s="2">
        <v>78</v>
      </c>
      <c r="F1293" s="2" t="str" cm="1">
        <f t="array" ref="F1293">_xlfn.IFS(AND(101&gt;E1293, E1293&gt;69), "Top-Tier", AND(70&gt;E1293, E1293&gt;39), "Mid-Tier", 40&gt;E1293, "Low-Tier")</f>
        <v>Top-Tier</v>
      </c>
      <c r="G1293" s="4">
        <v>45474</v>
      </c>
      <c r="H1293" t="s">
        <v>1875</v>
      </c>
      <c r="I1293" t="s">
        <v>33</v>
      </c>
      <c r="J1293" t="s">
        <v>494</v>
      </c>
      <c r="K1293" t="s">
        <v>674</v>
      </c>
      <c r="L1293" t="s">
        <v>24</v>
      </c>
      <c r="M1293" t="s">
        <v>132</v>
      </c>
      <c r="N1293" t="s">
        <v>31</v>
      </c>
      <c r="Q1293" t="str">
        <f>LEFT(B1293, 4)</f>
        <v>Acer</v>
      </c>
      <c r="R1293" t="str">
        <f t="shared" ref="R1293:R1355" si="84">LEFT(H1292, 24)</f>
        <v>Intel Core i7 (10th Gen)</v>
      </c>
      <c r="S1293" t="str">
        <f t="shared" si="82"/>
        <v xml:space="preserve">8 GB </v>
      </c>
    </row>
    <row r="1294" spans="1:19">
      <c r="A1294" t="str">
        <f>LEFT(B1294, LEN(B1294)-15)</f>
        <v>Lenovo IdeaPad Slim 3 14IAH8 (83EQ0073IN) Laptop (Core i5 12th Gen/16 GB/512 GB SSD/Windows 11)</v>
      </c>
      <c r="B1294" t="s">
        <v>1876</v>
      </c>
      <c r="C1294" s="1">
        <v>49990</v>
      </c>
      <c r="D1294" s="1">
        <v>606</v>
      </c>
      <c r="E1294" s="2">
        <v>78</v>
      </c>
      <c r="F1294" s="2" t="str" cm="1">
        <f t="array" ref="F1294">_xlfn.IFS(AND(101&gt;E1294, E1294&gt;69), "Top-Tier", AND(70&gt;E1294, E1294&gt;39), "Mid-Tier", 40&gt;E1294, "Low-Tier")</f>
        <v>Top-Tier</v>
      </c>
      <c r="G1294" s="4">
        <v>45627</v>
      </c>
      <c r="H1294" t="s">
        <v>1875</v>
      </c>
      <c r="I1294" t="s">
        <v>33</v>
      </c>
      <c r="J1294" t="s">
        <v>121</v>
      </c>
      <c r="K1294" t="s">
        <v>149</v>
      </c>
      <c r="L1294" t="s">
        <v>24</v>
      </c>
      <c r="M1294" t="s">
        <v>95</v>
      </c>
      <c r="N1294" t="s">
        <v>31</v>
      </c>
      <c r="P1294" s="3">
        <v>77</v>
      </c>
      <c r="Q1294" t="str">
        <f>LEFT(B1294, 6)</f>
        <v>Lenovo</v>
      </c>
      <c r="R1294" t="str">
        <f t="shared" si="84"/>
        <v>Intel Core i7 (10th Gen)</v>
      </c>
      <c r="S1294" t="str">
        <f t="shared" si="82"/>
        <v>16 GB</v>
      </c>
    </row>
    <row r="1295" spans="1:19">
      <c r="A1295" t="str">
        <f>LEFT(B1295, LEN(B1295)-15)</f>
        <v>Asus VivoBook 14 X1404VA-NK760WS Laptop (Core i3 13th Gen/8 GB/512 GB SSD/Windows 11)</v>
      </c>
      <c r="B1295" t="s">
        <v>1877</v>
      </c>
      <c r="C1295" s="1">
        <v>38990</v>
      </c>
      <c r="D1295" s="1">
        <v>319</v>
      </c>
      <c r="E1295" s="2">
        <v>78</v>
      </c>
      <c r="F1295" s="2" t="str" cm="1">
        <f t="array" ref="F1295">_xlfn.IFS(AND(101&gt;E1295, E1295&gt;69), "Top-Tier", AND(70&gt;E1295, E1295&gt;39), "Mid-Tier", 40&gt;E1295, "Low-Tier")</f>
        <v>Top-Tier</v>
      </c>
      <c r="G1295" s="4">
        <v>45658</v>
      </c>
      <c r="H1295" t="s">
        <v>1878</v>
      </c>
      <c r="I1295" t="s">
        <v>33</v>
      </c>
      <c r="J1295" t="s">
        <v>50</v>
      </c>
      <c r="K1295" t="s">
        <v>427</v>
      </c>
      <c r="L1295" t="s">
        <v>24</v>
      </c>
      <c r="M1295" t="s">
        <v>95</v>
      </c>
      <c r="N1295" t="s">
        <v>31</v>
      </c>
      <c r="P1295" s="3">
        <v>76</v>
      </c>
      <c r="Q1295" t="str">
        <f>LEFT(B1295, 4)</f>
        <v>Asus</v>
      </c>
      <c r="R1295" t="str">
        <f t="shared" si="84"/>
        <v>Intel Core i7 (10th Gen)</v>
      </c>
      <c r="S1295" t="str">
        <f t="shared" si="82"/>
        <v xml:space="preserve">8 GB </v>
      </c>
    </row>
    <row r="1296" spans="1:19">
      <c r="A1296" t="str">
        <f>LEFT(B1296, LEN(B1296)-15)</f>
        <v>Asus VivoBook 14 X1404VA-NK761WS Laptop (Core i3 13th Gen/8 GB/512 GB SSD/Windows 11)</v>
      </c>
      <c r="B1296" t="s">
        <v>1879</v>
      </c>
      <c r="C1296" s="1">
        <v>38689</v>
      </c>
      <c r="D1296" s="1">
        <v>666</v>
      </c>
      <c r="E1296" s="2">
        <v>78</v>
      </c>
      <c r="F1296" s="2" t="str" cm="1">
        <f t="array" ref="F1296">_xlfn.IFS(AND(101&gt;E1296, E1296&gt;69), "Top-Tier", AND(70&gt;E1296, E1296&gt;39), "Mid-Tier", 40&gt;E1296, "Low-Tier")</f>
        <v>Top-Tier</v>
      </c>
      <c r="G1296" s="4">
        <v>45658</v>
      </c>
      <c r="H1296" t="s">
        <v>1878</v>
      </c>
      <c r="I1296" t="s">
        <v>33</v>
      </c>
      <c r="J1296" t="s">
        <v>50</v>
      </c>
      <c r="K1296" t="s">
        <v>427</v>
      </c>
      <c r="L1296" t="s">
        <v>24</v>
      </c>
      <c r="M1296" t="s">
        <v>95</v>
      </c>
      <c r="N1296" t="s">
        <v>31</v>
      </c>
      <c r="P1296" s="3">
        <v>76</v>
      </c>
      <c r="Q1296" t="str">
        <f>LEFT(B1296, 4)</f>
        <v>Asus</v>
      </c>
      <c r="R1296" t="str">
        <f t="shared" si="84"/>
        <v>Intel Core i7 (10th Gen)</v>
      </c>
      <c r="S1296" t="str">
        <f t="shared" si="82"/>
        <v xml:space="preserve">8 GB </v>
      </c>
    </row>
    <row r="1297" spans="1:19">
      <c r="A1297" t="str">
        <f>LEFT(B1297, LEN(B1297)-15)</f>
        <v>HP Pavilion Plus 14-EW1112TU (B6NX8PA) Laptop (Core Ultra 5/16 GB/512 GB SSD/Windows 11)</v>
      </c>
      <c r="B1297" t="s">
        <v>1880</v>
      </c>
      <c r="C1297" s="1">
        <v>89990</v>
      </c>
      <c r="D1297" s="1">
        <v>42</v>
      </c>
      <c r="E1297" s="2">
        <v>78</v>
      </c>
      <c r="F1297" s="2" t="str" cm="1">
        <f t="array" ref="F1297">_xlfn.IFS(AND(101&gt;E1297, E1297&gt;69), "Top-Tier", AND(70&gt;E1297, E1297&gt;39), "Mid-Tier", 40&gt;E1297, "Low-Tier")</f>
        <v>Top-Tier</v>
      </c>
      <c r="G1297" s="4">
        <v>45658</v>
      </c>
      <c r="H1297" t="s">
        <v>1881</v>
      </c>
      <c r="I1297" t="s">
        <v>33</v>
      </c>
      <c r="J1297" t="s">
        <v>63</v>
      </c>
      <c r="K1297" t="s">
        <v>221</v>
      </c>
      <c r="L1297" t="s">
        <v>24</v>
      </c>
      <c r="M1297" t="s">
        <v>444</v>
      </c>
      <c r="N1297" t="s">
        <v>31</v>
      </c>
      <c r="P1297" s="3">
        <v>84</v>
      </c>
      <c r="Q1297" t="str">
        <f>LEFT(B1297, 2)</f>
        <v>HP</v>
      </c>
      <c r="R1297" t="str">
        <f t="shared" si="84"/>
        <v>Intel Core i7 (10th Gen)</v>
      </c>
      <c r="S1297" t="str">
        <f t="shared" si="82"/>
        <v>16 GB</v>
      </c>
    </row>
    <row r="1298" spans="1:19">
      <c r="A1298" t="str">
        <f>LEFT(B1298, LEN(B1298)-15)</f>
        <v>Acer Aspire 3 A324-45 (UN.342SI.004) Laptop (Intel Celeron Dual Core/8 GB/512 GB SSD/Windows 11)</v>
      </c>
      <c r="B1298" t="s">
        <v>1882</v>
      </c>
      <c r="C1298" s="1">
        <v>19990</v>
      </c>
      <c r="D1298" s="1">
        <v>2118</v>
      </c>
      <c r="E1298" s="2">
        <v>78</v>
      </c>
      <c r="F1298" s="2" t="str" cm="1">
        <f t="array" ref="F1298">_xlfn.IFS(AND(101&gt;E1298, E1298&gt;69), "Top-Tier", AND(70&gt;E1298, E1298&gt;39), "Mid-Tier", 40&gt;E1298, "Low-Tier")</f>
        <v>Top-Tier</v>
      </c>
      <c r="G1298" s="4">
        <v>45474</v>
      </c>
      <c r="H1298" t="s">
        <v>1883</v>
      </c>
      <c r="I1298" t="s">
        <v>33</v>
      </c>
      <c r="J1298" t="s">
        <v>494</v>
      </c>
      <c r="K1298" t="s">
        <v>224</v>
      </c>
      <c r="L1298" t="s">
        <v>24</v>
      </c>
      <c r="M1298" t="s">
        <v>132</v>
      </c>
      <c r="N1298" t="s">
        <v>31</v>
      </c>
      <c r="O1298" t="s">
        <v>152</v>
      </c>
      <c r="Q1298" t="str">
        <f>LEFT(B1298, 4)</f>
        <v>Acer</v>
      </c>
      <c r="R1298" t="str">
        <f t="shared" si="84"/>
        <v>Intel Core i7 (10th Gen)</v>
      </c>
      <c r="S1298" t="str">
        <f t="shared" si="82"/>
        <v xml:space="preserve">8 GB </v>
      </c>
    </row>
    <row r="1299" spans="1:19">
      <c r="A1299" t="str">
        <f>LEFT(B1299, LEN(B1299)-15)</f>
        <v>Asus Vivobook 16X K3605VC-RP413WS Laptop (Core i5 13th Gen/16 GB/512 GB SSD/Windows 11/4 GB)</v>
      </c>
      <c r="B1299" t="s">
        <v>1884</v>
      </c>
      <c r="C1299" s="1">
        <v>68990</v>
      </c>
      <c r="D1299" s="1">
        <v>436</v>
      </c>
      <c r="E1299" s="2">
        <v>78</v>
      </c>
      <c r="F1299" s="2" t="str" cm="1">
        <f t="array" ref="F1299">_xlfn.IFS(AND(101&gt;E1299, E1299&gt;69), "Top-Tier", AND(70&gt;E1299, E1299&gt;39), "Mid-Tier", 40&gt;E1299, "Low-Tier")</f>
        <v>Top-Tier</v>
      </c>
      <c r="G1299" s="4">
        <v>45689</v>
      </c>
      <c r="H1299" t="s">
        <v>1885</v>
      </c>
      <c r="I1299" t="s">
        <v>33</v>
      </c>
      <c r="J1299" t="s">
        <v>34</v>
      </c>
      <c r="K1299" t="s">
        <v>155</v>
      </c>
      <c r="L1299" t="s">
        <v>24</v>
      </c>
      <c r="M1299" t="s">
        <v>122</v>
      </c>
      <c r="N1299" t="s">
        <v>31</v>
      </c>
      <c r="P1299" s="3">
        <v>85</v>
      </c>
      <c r="Q1299" t="str">
        <f>LEFT(B1299, 4)</f>
        <v>Asus</v>
      </c>
      <c r="R1299" t="str">
        <f t="shared" si="84"/>
        <v>Intel Core i7 (10th Gen)</v>
      </c>
      <c r="S1299" t="str">
        <f t="shared" si="82"/>
        <v>16 GB</v>
      </c>
    </row>
    <row r="1300" spans="1:19">
      <c r="A1300" t="str">
        <f>LEFT(B1300, LEN(B1300)-15)</f>
        <v>Dell Inspiron 14 3467 (A561202SIN9) Laptop (Core i3 6th Gen/4 GB/1 TB/Windows 10)</v>
      </c>
      <c r="B1300" t="s">
        <v>1886</v>
      </c>
      <c r="C1300" s="1">
        <v>30999</v>
      </c>
      <c r="D1300" s="1">
        <v>4426</v>
      </c>
      <c r="E1300" s="2">
        <v>78</v>
      </c>
      <c r="F1300" s="2" t="str" cm="1">
        <f t="array" ref="F1300">_xlfn.IFS(AND(101&gt;E1300, E1300&gt;69), "Top-Tier", AND(70&gt;E1300, E1300&gt;39), "Mid-Tier", 40&gt;E1300, "Low-Tier")</f>
        <v>Top-Tier</v>
      </c>
      <c r="H1300" t="s">
        <v>1887</v>
      </c>
      <c r="I1300" t="s">
        <v>248</v>
      </c>
      <c r="J1300" t="s">
        <v>542</v>
      </c>
      <c r="K1300" t="s">
        <v>1888</v>
      </c>
      <c r="L1300" t="s">
        <v>24</v>
      </c>
      <c r="N1300" t="s">
        <v>31</v>
      </c>
      <c r="O1300" t="s">
        <v>152</v>
      </c>
      <c r="Q1300" t="str">
        <f>LEFT(B1300, 4)</f>
        <v>Dell</v>
      </c>
      <c r="R1300" t="str">
        <f t="shared" si="84"/>
        <v>Intel Core i7 (10th Gen)</v>
      </c>
      <c r="S1300" t="str">
        <f t="shared" si="82"/>
        <v xml:space="preserve">4 GB </v>
      </c>
    </row>
    <row r="1301" spans="1:19">
      <c r="A1301" t="str">
        <f>LEFT(B1301, LEN(B1301)-15)</f>
        <v>Asus VivoBook 15 X1502VA-BQ836WS Laptop (Core i5 13th Gen/16 GB/512 GB SSD/Windows 11)</v>
      </c>
      <c r="B1301" t="s">
        <v>1889</v>
      </c>
      <c r="C1301" s="1">
        <v>57990</v>
      </c>
      <c r="D1301" s="1">
        <v>34</v>
      </c>
      <c r="E1301" s="2">
        <v>78</v>
      </c>
      <c r="F1301" s="2" t="str" cm="1">
        <f t="array" ref="F1301">_xlfn.IFS(AND(101&gt;E1301, E1301&gt;69), "Top-Tier", AND(70&gt;E1301, E1301&gt;39), "Mid-Tier", 40&gt;E1301, "Low-Tier")</f>
        <v>Top-Tier</v>
      </c>
      <c r="G1301" s="4">
        <v>45658</v>
      </c>
      <c r="H1301" t="s">
        <v>1890</v>
      </c>
      <c r="I1301" t="s">
        <v>33</v>
      </c>
      <c r="J1301" t="s">
        <v>34</v>
      </c>
      <c r="K1301" t="s">
        <v>51</v>
      </c>
      <c r="L1301" t="s">
        <v>24</v>
      </c>
      <c r="M1301" t="s">
        <v>52</v>
      </c>
      <c r="N1301" t="s">
        <v>31</v>
      </c>
      <c r="P1301" s="3">
        <v>79</v>
      </c>
      <c r="Q1301" t="str">
        <f>LEFT(B1301, 4)</f>
        <v>Asus</v>
      </c>
      <c r="R1301" t="str">
        <f t="shared" si="84"/>
        <v>Intel Core i7 (11th Gen)</v>
      </c>
      <c r="S1301" t="str">
        <f t="shared" si="82"/>
        <v>16 GB</v>
      </c>
    </row>
    <row r="1302" spans="1:19">
      <c r="A1302" t="str">
        <f>LEFT(B1302, LEN(B1302)-15)</f>
        <v>Asus TUF Gaming A15 FA506NFR-HN259WS Laptop (AMD Octa Core Ryzen 7/16 GB/512 GB SSD/Windows 11/4 GB)</v>
      </c>
      <c r="B1302" t="s">
        <v>1891</v>
      </c>
      <c r="C1302" s="1">
        <v>57990</v>
      </c>
      <c r="D1302" s="1">
        <v>481</v>
      </c>
      <c r="E1302" s="2">
        <v>78</v>
      </c>
      <c r="F1302" s="2" t="str" cm="1">
        <f t="array" ref="F1302">_xlfn.IFS(AND(101&gt;E1302, E1302&gt;69), "Top-Tier", AND(70&gt;E1302, E1302&gt;39), "Mid-Tier", 40&gt;E1302, "Low-Tier")</f>
        <v>Top-Tier</v>
      </c>
      <c r="G1302" s="4">
        <v>45474</v>
      </c>
      <c r="H1302" t="s">
        <v>1892</v>
      </c>
      <c r="I1302" t="s">
        <v>33</v>
      </c>
      <c r="J1302" t="s">
        <v>54</v>
      </c>
      <c r="K1302" t="s">
        <v>51</v>
      </c>
      <c r="L1302" t="s">
        <v>24</v>
      </c>
      <c r="N1302" t="s">
        <v>31</v>
      </c>
      <c r="P1302" s="3">
        <v>85</v>
      </c>
      <c r="Q1302" t="str">
        <f>LEFT(B1302, 4)</f>
        <v>Asus</v>
      </c>
      <c r="R1302" t="str">
        <f t="shared" si="84"/>
        <v>Intel Core i7 (11th Gen)</v>
      </c>
      <c r="S1302" t="str">
        <f t="shared" si="82"/>
        <v>16 GB</v>
      </c>
    </row>
    <row r="1303" spans="1:19">
      <c r="A1303" t="str">
        <f>LEFT(B1303, LEN(B1303)-15)</f>
        <v>Asus Gaming V16 V3607VU-RP550WS Laptop (Core 5 Series 2 /16 GB/512 GB SSD/Windows 11/6 GB)</v>
      </c>
      <c r="B1303" t="s">
        <v>1893</v>
      </c>
      <c r="C1303" s="1">
        <v>79550</v>
      </c>
      <c r="D1303" s="1">
        <v>26</v>
      </c>
      <c r="E1303" s="2">
        <v>78</v>
      </c>
      <c r="F1303" s="2" t="str" cm="1">
        <f t="array" ref="F1303">_xlfn.IFS(AND(101&gt;E1303, E1303&gt;69), "Top-Tier", AND(70&gt;E1303, E1303&gt;39), "Mid-Tier", 40&gt;E1303, "Low-Tier")</f>
        <v>Top-Tier</v>
      </c>
      <c r="G1303" s="4">
        <v>45689</v>
      </c>
      <c r="H1303" t="s">
        <v>1892</v>
      </c>
      <c r="I1303" t="s">
        <v>33</v>
      </c>
      <c r="J1303" t="s">
        <v>54</v>
      </c>
      <c r="K1303" t="s">
        <v>1417</v>
      </c>
      <c r="L1303" t="s">
        <v>24</v>
      </c>
      <c r="N1303" t="s">
        <v>31</v>
      </c>
      <c r="P1303" s="3">
        <v>86</v>
      </c>
      <c r="Q1303" t="str">
        <f>LEFT(B1303, 4)</f>
        <v>Asus</v>
      </c>
      <c r="R1303" t="str">
        <f t="shared" si="84"/>
        <v>Intel Core i7 (11th Gen)</v>
      </c>
      <c r="S1303" t="str">
        <f t="shared" si="82"/>
        <v>16 GB</v>
      </c>
    </row>
    <row r="1304" spans="1:19">
      <c r="A1304" t="str">
        <f>LEFT(B1304, LEN(B1304)-15)</f>
        <v>HP 15q-bu100tu (3GP90PA) Laptop (Core i5 8th Gen/4 GB/1 TB/Windows 10)</v>
      </c>
      <c r="B1304" t="s">
        <v>1894</v>
      </c>
      <c r="C1304" s="1">
        <v>39999</v>
      </c>
      <c r="D1304" s="1">
        <v>506</v>
      </c>
      <c r="E1304" s="2">
        <v>78</v>
      </c>
      <c r="F1304" s="2" t="str" cm="1">
        <f t="array" ref="F1304">_xlfn.IFS(AND(101&gt;E1304, E1304&gt;69), "Top-Tier", AND(70&gt;E1304, E1304&gt;39), "Mid-Tier", 40&gt;E1304, "Low-Tier")</f>
        <v>Top-Tier</v>
      </c>
      <c r="H1304" t="s">
        <v>1892</v>
      </c>
      <c r="I1304" t="s">
        <v>248</v>
      </c>
      <c r="J1304" t="s">
        <v>542</v>
      </c>
      <c r="K1304" t="s">
        <v>705</v>
      </c>
      <c r="L1304" t="s">
        <v>24</v>
      </c>
      <c r="N1304" t="s">
        <v>31</v>
      </c>
      <c r="O1304" t="s">
        <v>152</v>
      </c>
      <c r="Q1304" t="str">
        <f>LEFT(B1304, 2)</f>
        <v>HP</v>
      </c>
      <c r="R1304" t="str">
        <f t="shared" si="84"/>
        <v>Intel Core i7 (11th Gen)</v>
      </c>
      <c r="S1304" t="str">
        <f t="shared" si="82"/>
        <v xml:space="preserve">4 GB </v>
      </c>
    </row>
    <row r="1305" spans="1:19">
      <c r="A1305" t="str">
        <f>LEFT(B1305, LEN(B1305)-15)</f>
        <v>Lenovo IdeaPad Slim 3 15IAH8 (83ER00KPIN) Laptop (Core i5 12th Gen/16 GB/512 GB SSD/Windows 11)</v>
      </c>
      <c r="B1305" t="s">
        <v>1895</v>
      </c>
      <c r="C1305" s="1">
        <v>50570</v>
      </c>
      <c r="D1305" s="1">
        <v>256</v>
      </c>
      <c r="E1305" s="2">
        <v>78</v>
      </c>
      <c r="F1305" s="2" t="str" cm="1">
        <f t="array" ref="F1305">_xlfn.IFS(AND(101&gt;E1305, E1305&gt;69), "Top-Tier", AND(70&gt;E1305, E1305&gt;39), "Mid-Tier", 40&gt;E1305, "Low-Tier")</f>
        <v>Top-Tier</v>
      </c>
      <c r="G1305" s="4">
        <v>45627</v>
      </c>
      <c r="H1305" t="s">
        <v>1892</v>
      </c>
      <c r="I1305" t="s">
        <v>33</v>
      </c>
      <c r="J1305" t="s">
        <v>121</v>
      </c>
      <c r="K1305" t="s">
        <v>51</v>
      </c>
      <c r="L1305" t="s">
        <v>24</v>
      </c>
      <c r="M1305" t="s">
        <v>95</v>
      </c>
      <c r="N1305" t="s">
        <v>31</v>
      </c>
      <c r="P1305" s="3">
        <v>80</v>
      </c>
      <c r="Q1305" t="str">
        <f>LEFT(B1305, 6)</f>
        <v>Lenovo</v>
      </c>
      <c r="R1305" t="str">
        <f t="shared" si="84"/>
        <v>Intel Core i7 (11th Gen)</v>
      </c>
      <c r="S1305" t="str">
        <f t="shared" si="82"/>
        <v>16 GB</v>
      </c>
    </row>
    <row r="1306" spans="1:19">
      <c r="A1306" t="str">
        <f>LEFT(B1306, LEN(B1306)-15)</f>
        <v>Lenovo Ideapad 330S (81F401FVIN) Laptop (Core i3 8th Gen/4 GB/1 TB/Windows 10)</v>
      </c>
      <c r="B1306" t="s">
        <v>1896</v>
      </c>
      <c r="C1306" s="1">
        <v>38590</v>
      </c>
      <c r="D1306" s="1">
        <v>61</v>
      </c>
      <c r="E1306" s="2">
        <v>78</v>
      </c>
      <c r="F1306" s="2" t="str" cm="1">
        <f t="array" ref="F1306">_xlfn.IFS(AND(101&gt;E1306, E1306&gt;69), "Top-Tier", AND(70&gt;E1306, E1306&gt;39), "Mid-Tier", 40&gt;E1306, "Low-Tier")</f>
        <v>Top-Tier</v>
      </c>
      <c r="H1306" t="s">
        <v>1892</v>
      </c>
      <c r="I1306" t="s">
        <v>248</v>
      </c>
      <c r="J1306" t="s">
        <v>542</v>
      </c>
      <c r="K1306" t="s">
        <v>439</v>
      </c>
      <c r="L1306" t="s">
        <v>24</v>
      </c>
      <c r="M1306" t="s">
        <v>122</v>
      </c>
      <c r="N1306" t="s">
        <v>31</v>
      </c>
      <c r="O1306" t="s">
        <v>261</v>
      </c>
      <c r="Q1306" t="str">
        <f>LEFT(B1306, 6)</f>
        <v>Lenovo</v>
      </c>
      <c r="R1306" t="str">
        <f t="shared" si="84"/>
        <v>Intel Core i7 (11th Gen)</v>
      </c>
      <c r="S1306" t="str">
        <f t="shared" si="82"/>
        <v xml:space="preserve">4 GB </v>
      </c>
    </row>
    <row r="1307" spans="1:19">
      <c r="A1307" t="str">
        <f>LEFT(B1307, LEN(B1307)-15)</f>
        <v>HP 15-fd0070TU (A47CXPA) Laptop (Core i5 12th Gen/8 GB/512 GB SSD/Windows 11)</v>
      </c>
      <c r="B1307" t="s">
        <v>1897</v>
      </c>
      <c r="C1307" s="1">
        <v>46390</v>
      </c>
      <c r="D1307" s="1">
        <v>431</v>
      </c>
      <c r="E1307" s="2">
        <v>78</v>
      </c>
      <c r="F1307" s="2" t="str" cm="1">
        <f t="array" ref="F1307">_xlfn.IFS(AND(101&gt;E1307, E1307&gt;69), "Top-Tier", AND(70&gt;E1307, E1307&gt;39), "Mid-Tier", 40&gt;E1307, "Low-Tier")</f>
        <v>Top-Tier</v>
      </c>
      <c r="G1307" s="4">
        <v>45505</v>
      </c>
      <c r="H1307" t="s">
        <v>1892</v>
      </c>
      <c r="I1307" t="s">
        <v>33</v>
      </c>
      <c r="J1307" t="s">
        <v>50</v>
      </c>
      <c r="K1307" t="s">
        <v>51</v>
      </c>
      <c r="L1307" t="s">
        <v>24</v>
      </c>
      <c r="N1307" t="s">
        <v>31</v>
      </c>
      <c r="P1307" s="3">
        <v>73</v>
      </c>
      <c r="Q1307" t="str">
        <f>LEFT(B1307, 2)</f>
        <v>HP</v>
      </c>
      <c r="R1307" t="str">
        <f t="shared" si="84"/>
        <v>Intel Core i7 (11th Gen)</v>
      </c>
      <c r="S1307" t="str">
        <f t="shared" si="82"/>
        <v xml:space="preserve">8 GB </v>
      </c>
    </row>
    <row r="1308" spans="1:19">
      <c r="A1308" t="str">
        <f>LEFT(B1308, LEN(B1308)-15)</f>
        <v>Lenovo Ideapad 3 15IML05 (81WB018UIN) Laptop (Core i3 10th Gen/8 GB/1 TB/Windows 11)</v>
      </c>
      <c r="B1308" t="s">
        <v>1898</v>
      </c>
      <c r="C1308" s="1">
        <v>34939</v>
      </c>
      <c r="D1308" s="1">
        <v>854</v>
      </c>
      <c r="E1308" s="2">
        <v>78</v>
      </c>
      <c r="F1308" s="2" t="str" cm="1">
        <f t="array" ref="F1308">_xlfn.IFS(AND(101&gt;E1308, E1308&gt;69), "Top-Tier", AND(70&gt;E1308, E1308&gt;39), "Mid-Tier", 40&gt;E1308, "Low-Tier")</f>
        <v>Top-Tier</v>
      </c>
      <c r="G1308" s="4">
        <v>44531</v>
      </c>
      <c r="H1308" t="s">
        <v>1892</v>
      </c>
      <c r="I1308" t="s">
        <v>33</v>
      </c>
      <c r="J1308" t="s">
        <v>332</v>
      </c>
      <c r="K1308" t="s">
        <v>217</v>
      </c>
      <c r="L1308" t="s">
        <v>24</v>
      </c>
      <c r="M1308" t="s">
        <v>253</v>
      </c>
      <c r="N1308" t="s">
        <v>31</v>
      </c>
      <c r="Q1308" t="str">
        <f>LEFT(B1308, 6)</f>
        <v>Lenovo</v>
      </c>
      <c r="R1308" t="str">
        <f t="shared" si="84"/>
        <v>Intel Core i7 (11th Gen)</v>
      </c>
      <c r="S1308" t="str">
        <f t="shared" si="82"/>
        <v xml:space="preserve">8 GB </v>
      </c>
    </row>
    <row r="1309" spans="1:19">
      <c r="A1309" t="str">
        <f>LEFT(B1309, LEN(B1309)-15)</f>
        <v>Asus VivoBook S15 OLED S5507QA-MA551WS Laptop (Snapdragon X Plus/16 GB/1 TB SSD/Windows 11)</v>
      </c>
      <c r="B1309" t="s">
        <v>1899</v>
      </c>
      <c r="C1309" s="1">
        <v>79990</v>
      </c>
      <c r="D1309" s="1">
        <v>29</v>
      </c>
      <c r="E1309" s="2">
        <v>78</v>
      </c>
      <c r="F1309" s="2" t="str" cm="1">
        <f t="array" ref="F1309">_xlfn.IFS(AND(101&gt;E1309, E1309&gt;69), "Top-Tier", AND(70&gt;E1309, E1309&gt;39), "Mid-Tier", 40&gt;E1309, "Low-Tier")</f>
        <v>Top-Tier</v>
      </c>
      <c r="G1309" s="4">
        <v>45536</v>
      </c>
      <c r="H1309" t="s">
        <v>1900</v>
      </c>
      <c r="I1309" t="s">
        <v>33</v>
      </c>
      <c r="J1309" t="s">
        <v>42</v>
      </c>
      <c r="K1309" t="s">
        <v>43</v>
      </c>
      <c r="L1309" t="s">
        <v>24</v>
      </c>
      <c r="M1309" t="s">
        <v>44</v>
      </c>
      <c r="N1309" t="s">
        <v>31</v>
      </c>
      <c r="P1309" s="3">
        <v>85</v>
      </c>
      <c r="Q1309" t="str">
        <f>LEFT(B1309, 4)</f>
        <v>Asus</v>
      </c>
      <c r="R1309" t="str">
        <f t="shared" si="84"/>
        <v>Intel Core i7 (11th Gen)</v>
      </c>
      <c r="S1309" t="str">
        <f t="shared" si="82"/>
        <v>16 GB</v>
      </c>
    </row>
    <row r="1310" spans="1:19">
      <c r="A1310" t="str">
        <f>LEFT(B1310, LEN(B1310)-15)</f>
        <v>Asus TUF Gaming A15 FA506NCR-HN075WS Laptop (AMD Octa Core Ryzen 7/16 GB/512 GB SSD/Windows 11/4 GB)</v>
      </c>
      <c r="B1310" t="s">
        <v>1901</v>
      </c>
      <c r="C1310" s="1">
        <v>69990</v>
      </c>
      <c r="D1310" s="1">
        <v>20</v>
      </c>
      <c r="E1310" s="2">
        <v>78</v>
      </c>
      <c r="F1310" s="2" t="str" cm="1">
        <f t="array" ref="F1310">_xlfn.IFS(AND(101&gt;E1310, E1310&gt;69), "Top-Tier", AND(70&gt;E1310, E1310&gt;39), "Mid-Tier", 40&gt;E1310, "Low-Tier")</f>
        <v>Top-Tier</v>
      </c>
      <c r="G1310" s="4">
        <v>45474</v>
      </c>
      <c r="H1310" t="s">
        <v>1900</v>
      </c>
      <c r="I1310" t="s">
        <v>33</v>
      </c>
      <c r="J1310" t="s">
        <v>54</v>
      </c>
      <c r="K1310" t="s">
        <v>51</v>
      </c>
      <c r="L1310" t="s">
        <v>24</v>
      </c>
      <c r="N1310" t="s">
        <v>31</v>
      </c>
      <c r="P1310" s="3">
        <v>86</v>
      </c>
      <c r="Q1310" t="str">
        <f>LEFT(B1310, 4)</f>
        <v>Asus</v>
      </c>
      <c r="R1310" t="str">
        <f t="shared" si="84"/>
        <v>Intel Core i7 (11th Gen)</v>
      </c>
      <c r="S1310" t="str">
        <f t="shared" si="82"/>
        <v>16 GB</v>
      </c>
    </row>
    <row r="1311" spans="1:19">
      <c r="A1311" t="str">
        <f>LEFT(B1311, LEN(B1311)-15)</f>
        <v>Asus VivoBook S14 OLED M5406WA-PP962WS Laptop (AMD Dodeca Core Ryzen 9/24 GB/512 GB SSD/Windows 11)</v>
      </c>
      <c r="B1311" t="s">
        <v>1902</v>
      </c>
      <c r="C1311" s="1">
        <v>114990</v>
      </c>
      <c r="D1311" s="1">
        <v>15</v>
      </c>
      <c r="E1311" s="2">
        <v>78</v>
      </c>
      <c r="F1311" s="2" t="str" cm="1">
        <f t="array" ref="F1311">_xlfn.IFS(AND(101&gt;E1311, E1311&gt;69), "Top-Tier", AND(70&gt;E1311, E1311&gt;39), "Mid-Tier", 40&gt;E1311, "Low-Tier")</f>
        <v>Top-Tier</v>
      </c>
      <c r="G1311" s="4">
        <v>45474</v>
      </c>
      <c r="H1311" t="s">
        <v>1900</v>
      </c>
      <c r="I1311" t="s">
        <v>33</v>
      </c>
      <c r="J1311" t="s">
        <v>713</v>
      </c>
      <c r="K1311" t="s">
        <v>81</v>
      </c>
      <c r="L1311" t="s">
        <v>24</v>
      </c>
      <c r="M1311" t="s">
        <v>44</v>
      </c>
      <c r="N1311" t="s">
        <v>31</v>
      </c>
      <c r="Q1311" t="str">
        <f>LEFT(B1311, 4)</f>
        <v>Asus</v>
      </c>
      <c r="R1311" t="str">
        <f t="shared" si="84"/>
        <v>Intel Core i7 (11th Gen)</v>
      </c>
      <c r="S1311" t="str">
        <f t="shared" si="82"/>
        <v>24 GB</v>
      </c>
    </row>
    <row r="1312" spans="1:19">
      <c r="A1312" t="str">
        <f>LEFT(B1312, LEN(B1312)-15)</f>
        <v>Acer Aspire 5 A515-58M (NX.KHFSI.007) Laptop (Core i5 13th Gen/16 GB/512 GB SSD/Windows 11)</v>
      </c>
      <c r="B1312" t="s">
        <v>1903</v>
      </c>
      <c r="C1312" s="1">
        <v>47990</v>
      </c>
      <c r="D1312" s="1">
        <v>18</v>
      </c>
      <c r="E1312" s="2">
        <v>78</v>
      </c>
      <c r="F1312" s="2" t="str" cm="1">
        <f t="array" ref="F1312">_xlfn.IFS(AND(101&gt;E1312, E1312&gt;69), "Top-Tier", AND(70&gt;E1312, E1312&gt;39), "Mid-Tier", 40&gt;E1312, "Low-Tier")</f>
        <v>Top-Tier</v>
      </c>
      <c r="G1312" s="4">
        <v>45474</v>
      </c>
      <c r="H1312" t="s">
        <v>1904</v>
      </c>
      <c r="I1312" t="s">
        <v>33</v>
      </c>
      <c r="J1312" t="s">
        <v>121</v>
      </c>
      <c r="K1312" t="s">
        <v>741</v>
      </c>
      <c r="L1312" t="s">
        <v>24</v>
      </c>
      <c r="M1312" t="s">
        <v>95</v>
      </c>
      <c r="N1312" t="s">
        <v>31</v>
      </c>
      <c r="P1312" s="3">
        <v>79</v>
      </c>
      <c r="Q1312" t="str">
        <f>LEFT(B1312, 4)</f>
        <v>Acer</v>
      </c>
      <c r="R1312" t="str">
        <f t="shared" si="84"/>
        <v>Intel Core i7 (11th Gen)</v>
      </c>
      <c r="S1312" t="str">
        <f t="shared" si="82"/>
        <v>16 GB</v>
      </c>
    </row>
    <row r="1313" spans="1:19">
      <c r="A1313" t="str">
        <f>LEFT(B1313, LEN(B1313)-15)</f>
        <v>Asus ZenBook 13 UX333FA-A5821TS Laptop (Core i5 10th Gen/8 GB/512 GB SSD/Windows 10)</v>
      </c>
      <c r="B1313" t="s">
        <v>1905</v>
      </c>
      <c r="C1313" s="1">
        <v>98990</v>
      </c>
      <c r="D1313" s="1">
        <v>19</v>
      </c>
      <c r="E1313" s="2">
        <v>78</v>
      </c>
      <c r="F1313" s="2" t="str" cm="1">
        <f t="array" ref="F1313">_xlfn.IFS(AND(101&gt;E1313, E1313&gt;69), "Top-Tier", AND(70&gt;E1313, E1313&gt;39), "Mid-Tier", 40&gt;E1313, "Low-Tier")</f>
        <v>Top-Tier</v>
      </c>
      <c r="G1313" s="4">
        <v>43800</v>
      </c>
      <c r="H1313" t="s">
        <v>1904</v>
      </c>
      <c r="I1313" t="s">
        <v>248</v>
      </c>
      <c r="J1313" t="s">
        <v>1906</v>
      </c>
      <c r="K1313" t="s">
        <v>290</v>
      </c>
      <c r="L1313" t="s">
        <v>24</v>
      </c>
      <c r="M1313" t="s">
        <v>74</v>
      </c>
      <c r="N1313" t="s">
        <v>31</v>
      </c>
      <c r="O1313" t="s">
        <v>152</v>
      </c>
      <c r="Q1313" t="str">
        <f>LEFT(B1313, 4)</f>
        <v>Asus</v>
      </c>
      <c r="R1313" t="str">
        <f t="shared" si="84"/>
        <v>Intel Core i7 (11th Gen)</v>
      </c>
      <c r="S1313" t="str">
        <f t="shared" si="82"/>
        <v xml:space="preserve">8 GB </v>
      </c>
    </row>
    <row r="1314" spans="1:19">
      <c r="A1314" t="str">
        <f>LEFT(B1314, LEN(B1314)-15)</f>
        <v>Asus ZenBook 13 UX333FA-A4117T Laptop (Core i5 8th Gen/8 GB/512 GB SSD/Windows 10)</v>
      </c>
      <c r="B1314" t="s">
        <v>1907</v>
      </c>
      <c r="C1314" s="1">
        <v>69990</v>
      </c>
      <c r="D1314" s="1">
        <v>90</v>
      </c>
      <c r="E1314" s="2">
        <v>78</v>
      </c>
      <c r="F1314" s="2" t="str" cm="1">
        <f t="array" ref="F1314">_xlfn.IFS(AND(101&gt;E1314, E1314&gt;69), "Top-Tier", AND(70&gt;E1314, E1314&gt;39), "Mid-Tier", 40&gt;E1314, "Low-Tier")</f>
        <v>Top-Tier</v>
      </c>
      <c r="H1314" t="s">
        <v>1904</v>
      </c>
      <c r="I1314" t="s">
        <v>248</v>
      </c>
      <c r="J1314" t="s">
        <v>1906</v>
      </c>
      <c r="K1314" t="s">
        <v>290</v>
      </c>
      <c r="L1314" t="s">
        <v>24</v>
      </c>
      <c r="M1314" t="s">
        <v>178</v>
      </c>
      <c r="N1314" t="s">
        <v>31</v>
      </c>
      <c r="O1314" t="s">
        <v>261</v>
      </c>
      <c r="Q1314" t="str">
        <f>LEFT(B1314, 4)</f>
        <v>Asus</v>
      </c>
      <c r="R1314" t="str">
        <f t="shared" si="84"/>
        <v>Intel Core i7 (11th Gen)</v>
      </c>
      <c r="S1314" t="str">
        <f t="shared" si="82"/>
        <v xml:space="preserve">8 GB </v>
      </c>
    </row>
    <row r="1315" spans="1:19">
      <c r="A1315" t="str">
        <f>LEFT(B1315, LEN(B1315)-15)</f>
        <v>Lenovo IdeaPad Slim 3 14AMN8 (82XN006MIN) Laptop (AMD Quad Core Ryzen 3/8 GB/512 GB SSD/Windows 11)</v>
      </c>
      <c r="B1315" t="s">
        <v>1908</v>
      </c>
      <c r="C1315" s="1">
        <v>29990</v>
      </c>
      <c r="D1315" s="1">
        <v>10</v>
      </c>
      <c r="E1315" s="2">
        <v>78</v>
      </c>
      <c r="F1315" s="2" t="str" cm="1">
        <f t="array" ref="F1315">_xlfn.IFS(AND(101&gt;E1315, E1315&gt;69), "Top-Tier", AND(70&gt;E1315, E1315&gt;39), "Mid-Tier", 40&gt;E1315, "Low-Tier")</f>
        <v>Top-Tier</v>
      </c>
      <c r="G1315" s="4">
        <v>45474</v>
      </c>
      <c r="H1315" t="s">
        <v>1904</v>
      </c>
      <c r="I1315" t="s">
        <v>33</v>
      </c>
      <c r="J1315" t="s">
        <v>162</v>
      </c>
      <c r="K1315" t="s">
        <v>1140</v>
      </c>
      <c r="L1315" t="s">
        <v>24</v>
      </c>
      <c r="M1315" t="s">
        <v>95</v>
      </c>
      <c r="N1315" t="s">
        <v>31</v>
      </c>
      <c r="P1315" s="3">
        <v>75</v>
      </c>
      <c r="Q1315" t="str">
        <f>LEFT(B1315, 6)</f>
        <v>Lenovo</v>
      </c>
      <c r="R1315" t="str">
        <f t="shared" si="84"/>
        <v>Intel Core i7 (11th Gen)</v>
      </c>
      <c r="S1315" t="str">
        <f t="shared" si="82"/>
        <v xml:space="preserve">8 GB </v>
      </c>
    </row>
    <row r="1316" spans="1:19">
      <c r="A1316" t="str">
        <f>LEFT(B1316, LEN(B1316)-15)</f>
        <v>Asus Vivobook Go 15 E510KA-EJ011WS Laptop (Intel Celeron Dual Core/8 GB/512 GB SSD/Windows 11)</v>
      </c>
      <c r="B1316" t="s">
        <v>1909</v>
      </c>
      <c r="C1316" s="1">
        <v>26990</v>
      </c>
      <c r="D1316" s="1">
        <v>1806</v>
      </c>
      <c r="E1316" s="2">
        <v>78</v>
      </c>
      <c r="F1316" s="2" t="str" cm="1">
        <f t="array" ref="F1316">_xlfn.IFS(AND(101&gt;E1316, E1316&gt;69), "Top-Tier", AND(70&gt;E1316, E1316&gt;39), "Mid-Tier", 40&gt;E1316, "Low-Tier")</f>
        <v>Top-Tier</v>
      </c>
      <c r="G1316" s="4">
        <v>45444</v>
      </c>
      <c r="H1316" t="s">
        <v>1904</v>
      </c>
      <c r="I1316" t="s">
        <v>33</v>
      </c>
      <c r="J1316" t="s">
        <v>50</v>
      </c>
      <c r="K1316" t="s">
        <v>159</v>
      </c>
      <c r="L1316" t="s">
        <v>24</v>
      </c>
      <c r="M1316" t="s">
        <v>842</v>
      </c>
      <c r="N1316" t="s">
        <v>31</v>
      </c>
      <c r="Q1316" t="str">
        <f>LEFT(B1316, 4)</f>
        <v>Asus</v>
      </c>
      <c r="R1316" t="str">
        <f t="shared" si="84"/>
        <v>Intel Core i7 (11th Gen)</v>
      </c>
      <c r="S1316" t="str">
        <f t="shared" si="82"/>
        <v xml:space="preserve">8 GB </v>
      </c>
    </row>
    <row r="1317" spans="1:19">
      <c r="A1317" t="str">
        <f>LEFT(B1317, LEN(B1317)-15)</f>
        <v>Lenovo IdeaPad Slim 3 (83EM008GIN) Laptop (Core i7 13th Gen/16 GB/512 GB SSD/Windows 11)</v>
      </c>
      <c r="B1317" t="s">
        <v>1910</v>
      </c>
      <c r="C1317" s="1">
        <v>64990</v>
      </c>
      <c r="D1317" s="1">
        <v>778</v>
      </c>
      <c r="E1317" s="2">
        <v>78</v>
      </c>
      <c r="F1317" s="2" t="str" cm="1">
        <f t="array" ref="F1317">_xlfn.IFS(AND(101&gt;E1317, E1317&gt;69), "Top-Tier", AND(70&gt;E1317, E1317&gt;39), "Mid-Tier", 40&gt;E1317, "Low-Tier")</f>
        <v>Top-Tier</v>
      </c>
      <c r="G1317" s="4">
        <v>45444</v>
      </c>
      <c r="H1317" t="s">
        <v>1911</v>
      </c>
      <c r="I1317" t="s">
        <v>33</v>
      </c>
      <c r="J1317" t="s">
        <v>121</v>
      </c>
      <c r="K1317" t="s">
        <v>1517</v>
      </c>
      <c r="L1317" t="s">
        <v>24</v>
      </c>
      <c r="N1317" t="s">
        <v>31</v>
      </c>
      <c r="P1317" s="3">
        <v>79</v>
      </c>
      <c r="Q1317" t="str">
        <f>LEFT(B1317, 6)</f>
        <v>Lenovo</v>
      </c>
      <c r="R1317" t="str">
        <f t="shared" si="84"/>
        <v>Intel Core i7 (11th Gen)</v>
      </c>
      <c r="S1317" t="str">
        <f t="shared" si="82"/>
        <v>16 GB</v>
      </c>
    </row>
    <row r="1318" spans="1:19">
      <c r="A1318" t="str">
        <f>LEFT(B1318, LEN(B1318)-15)</f>
        <v>Dell Inspiron 3525 (IN3525NV1XWS02ORS1) Laptop (AMD Hexa Core Ryzen 5/8 GB/512 GB SSD/Windows 11)</v>
      </c>
      <c r="B1318" t="s">
        <v>1912</v>
      </c>
      <c r="C1318" s="1">
        <v>39990</v>
      </c>
      <c r="D1318" s="1">
        <v>15</v>
      </c>
      <c r="E1318" s="2">
        <v>78</v>
      </c>
      <c r="F1318" s="2" t="str" cm="1">
        <f t="array" ref="F1318">_xlfn.IFS(AND(101&gt;E1318, E1318&gt;69), "Top-Tier", AND(70&gt;E1318, E1318&gt;39), "Mid-Tier", 40&gt;E1318, "Low-Tier")</f>
        <v>Top-Tier</v>
      </c>
      <c r="G1318" s="4">
        <v>45413</v>
      </c>
      <c r="H1318" t="s">
        <v>1911</v>
      </c>
      <c r="I1318" t="s">
        <v>33</v>
      </c>
      <c r="J1318" t="s">
        <v>50</v>
      </c>
      <c r="K1318" t="s">
        <v>51</v>
      </c>
      <c r="L1318" t="s">
        <v>24</v>
      </c>
      <c r="P1318" s="3">
        <v>71</v>
      </c>
      <c r="Q1318" t="str">
        <f>LEFT(B1318, 4)</f>
        <v>Dell</v>
      </c>
      <c r="R1318" t="str">
        <f t="shared" si="84"/>
        <v>Intel Core i7 (11th Gen)</v>
      </c>
      <c r="S1318" t="str">
        <f t="shared" si="82"/>
        <v xml:space="preserve">8 GB </v>
      </c>
    </row>
    <row r="1319" spans="1:19">
      <c r="A1319" t="str">
        <f>LEFT(B1319, LEN(B1319)-15)</f>
        <v>Samsung Galaxy Book 4 Pro NP960XGK-KG3IN Laptop (Core Ultra 7/32 GB/1 TB SSD/Windows 11)</v>
      </c>
      <c r="B1319" t="s">
        <v>1913</v>
      </c>
      <c r="C1319" s="1">
        <v>181990</v>
      </c>
      <c r="D1319" s="1">
        <v>11</v>
      </c>
      <c r="E1319" s="2">
        <v>78</v>
      </c>
      <c r="F1319" s="2" t="str" cm="1">
        <f t="array" ref="F1319">_xlfn.IFS(AND(101&gt;E1319, E1319&gt;69), "Top-Tier", AND(70&gt;E1319, E1319&gt;39), "Mid-Tier", 40&gt;E1319, "Low-Tier")</f>
        <v>Top-Tier</v>
      </c>
      <c r="G1319" s="4">
        <v>45323</v>
      </c>
      <c r="H1319" t="s">
        <v>1911</v>
      </c>
      <c r="I1319" t="s">
        <v>33</v>
      </c>
      <c r="J1319" t="s">
        <v>325</v>
      </c>
      <c r="K1319" t="s">
        <v>169</v>
      </c>
      <c r="L1319" t="s">
        <v>24</v>
      </c>
      <c r="M1319" t="s">
        <v>317</v>
      </c>
      <c r="N1319" t="s">
        <v>31</v>
      </c>
      <c r="P1319" s="3">
        <v>86</v>
      </c>
      <c r="Q1319" t="str">
        <f>LEFT(B1319, 7)</f>
        <v>Samsung</v>
      </c>
      <c r="R1319" t="str">
        <f t="shared" si="84"/>
        <v>Intel Core i7 (11th Gen)</v>
      </c>
      <c r="S1319" t="str">
        <f t="shared" si="82"/>
        <v>32 GB</v>
      </c>
    </row>
    <row r="1320" spans="1:19">
      <c r="A1320" t="str">
        <f>LEFT(B1320, LEN(B1320)-15)</f>
        <v>HP Omen 16-wf1025TX (9Q9M9PA) Laptop (Core i7 14th Gen/16 GB/1 TB SSD/Windows 11/8 GB)</v>
      </c>
      <c r="B1320" t="s">
        <v>1914</v>
      </c>
      <c r="C1320" s="1">
        <v>136999</v>
      </c>
      <c r="D1320" s="1">
        <v>33</v>
      </c>
      <c r="E1320" s="2">
        <v>78</v>
      </c>
      <c r="F1320" s="2" t="str" cm="1">
        <f t="array" ref="F1320">_xlfn.IFS(AND(101&gt;E1320, E1320&gt;69), "Top-Tier", AND(70&gt;E1320, E1320&gt;39), "Mid-Tier", 40&gt;E1320, "Low-Tier")</f>
        <v>Top-Tier</v>
      </c>
      <c r="G1320" s="4">
        <v>45292</v>
      </c>
      <c r="H1320" t="s">
        <v>1911</v>
      </c>
      <c r="I1320" t="s">
        <v>33</v>
      </c>
      <c r="J1320" t="s">
        <v>72</v>
      </c>
      <c r="K1320" t="s">
        <v>271</v>
      </c>
      <c r="L1320" t="s">
        <v>24</v>
      </c>
      <c r="N1320" t="s">
        <v>31</v>
      </c>
      <c r="Q1320" t="str">
        <f>LEFT(B1320, 2)</f>
        <v>HP</v>
      </c>
      <c r="R1320" t="str">
        <f t="shared" si="84"/>
        <v>Intel Core i7 (11th Gen)</v>
      </c>
      <c r="S1320" t="str">
        <f t="shared" si="82"/>
        <v>16 GB</v>
      </c>
    </row>
    <row r="1321" spans="1:19">
      <c r="A1321" t="str">
        <f>LEFT(B1321, LEN(B1321)-15)</f>
        <v>Lenovo Ideapad 3 15IAU7 (82RK00WXIN) Laptop (Core i3 12th Gen/8 GB/256 GB SSD/Windows 11)</v>
      </c>
      <c r="B1321" t="s">
        <v>1915</v>
      </c>
      <c r="C1321" s="1">
        <v>33490</v>
      </c>
      <c r="D1321" s="1">
        <v>7</v>
      </c>
      <c r="E1321" s="2">
        <v>78</v>
      </c>
      <c r="F1321" s="2" t="str" cm="1">
        <f t="array" ref="F1321">_xlfn.IFS(AND(101&gt;E1321, E1321&gt;69), "Top-Tier", AND(70&gt;E1321, E1321&gt;39), "Mid-Tier", 40&gt;E1321, "Low-Tier")</f>
        <v>Top-Tier</v>
      </c>
      <c r="G1321" s="4">
        <v>45292</v>
      </c>
      <c r="H1321" t="s">
        <v>1916</v>
      </c>
      <c r="I1321" t="s">
        <v>33</v>
      </c>
      <c r="J1321" t="s">
        <v>338</v>
      </c>
      <c r="K1321" t="s">
        <v>217</v>
      </c>
      <c r="L1321" t="s">
        <v>24</v>
      </c>
      <c r="M1321" t="s">
        <v>52</v>
      </c>
      <c r="N1321" t="s">
        <v>31</v>
      </c>
      <c r="P1321" s="3">
        <v>75</v>
      </c>
      <c r="Q1321" t="str">
        <f>LEFT(B1321, 6)</f>
        <v>Lenovo</v>
      </c>
      <c r="R1321" t="str">
        <f t="shared" si="84"/>
        <v>Intel Core i7 (11th Gen)</v>
      </c>
      <c r="S1321" t="str">
        <f t="shared" si="82"/>
        <v xml:space="preserve">8 GB </v>
      </c>
    </row>
    <row r="1322" spans="1:19">
      <c r="A1322" t="str">
        <f>LEFT(B1322, LEN(B1322)-15)</f>
        <v>HP 15s- fr5011TU (8Q3X6PA) Laptop (Core i5 12th Gen/16 GB/512 GB SSD/Windows 11)</v>
      </c>
      <c r="B1322" t="s">
        <v>1917</v>
      </c>
      <c r="C1322" s="1">
        <v>50990</v>
      </c>
      <c r="D1322" s="1">
        <v>111</v>
      </c>
      <c r="E1322" s="2">
        <v>78</v>
      </c>
      <c r="F1322" s="2" t="str" cm="1">
        <f t="array" ref="F1322">_xlfn.IFS(AND(101&gt;E1322, E1322&gt;69), "Top-Tier", AND(70&gt;E1322, E1322&gt;39), "Mid-Tier", 40&gt;E1322, "Low-Tier")</f>
        <v>Top-Tier</v>
      </c>
      <c r="G1322" s="4">
        <v>45261</v>
      </c>
      <c r="H1322" t="s">
        <v>1916</v>
      </c>
      <c r="I1322" t="s">
        <v>33</v>
      </c>
      <c r="J1322" t="s">
        <v>34</v>
      </c>
      <c r="K1322" t="s">
        <v>51</v>
      </c>
      <c r="L1322" t="s">
        <v>24</v>
      </c>
      <c r="M1322" t="s">
        <v>74</v>
      </c>
      <c r="N1322" t="s">
        <v>31</v>
      </c>
      <c r="P1322" s="3">
        <v>80</v>
      </c>
      <c r="Q1322" t="str">
        <f>LEFT(B1322, 2)</f>
        <v>HP</v>
      </c>
      <c r="R1322" t="str">
        <f t="shared" si="84"/>
        <v>Intel Core i7 (11th Gen)</v>
      </c>
      <c r="S1322" t="str">
        <f t="shared" si="82"/>
        <v>16 GB</v>
      </c>
    </row>
    <row r="1323" spans="1:19">
      <c r="A1323" t="str">
        <f>LEFT(B1323, LEN(B1323)-15)</f>
        <v>Lenovo ThinkBook 15 G4 (21DJA0FGIH) Laptop (Core i5 12th Gen/16 GB/512 GB SSD/Windows 11)</v>
      </c>
      <c r="B1323" t="s">
        <v>1918</v>
      </c>
      <c r="C1323" s="1">
        <v>39990</v>
      </c>
      <c r="D1323" s="1">
        <v>49</v>
      </c>
      <c r="E1323" s="2">
        <v>78</v>
      </c>
      <c r="F1323" s="2" t="str" cm="1">
        <f t="array" ref="F1323">_xlfn.IFS(AND(101&gt;E1323, E1323&gt;69), "Top-Tier", AND(70&gt;E1323, E1323&gt;39), "Mid-Tier", 40&gt;E1323, "Low-Tier")</f>
        <v>Top-Tier</v>
      </c>
      <c r="G1323" s="4">
        <v>45261</v>
      </c>
      <c r="H1323" t="s">
        <v>1919</v>
      </c>
      <c r="I1323" t="s">
        <v>33</v>
      </c>
      <c r="J1323" t="s">
        <v>34</v>
      </c>
      <c r="K1323" t="s">
        <v>217</v>
      </c>
      <c r="L1323" t="s">
        <v>24</v>
      </c>
      <c r="N1323" t="s">
        <v>31</v>
      </c>
      <c r="P1323" s="3">
        <v>78</v>
      </c>
      <c r="Q1323" t="str">
        <f>LEFT(B1323, 6)</f>
        <v>Lenovo</v>
      </c>
      <c r="R1323" t="str">
        <f t="shared" si="84"/>
        <v>Intel Core i7 (11th Gen)</v>
      </c>
      <c r="S1323" t="str">
        <f t="shared" si="82"/>
        <v>16 GB</v>
      </c>
    </row>
    <row r="1324" spans="1:19">
      <c r="A1324" t="str">
        <f>LEFT(B1324, LEN(B1324)-15)</f>
        <v>Lenovo IdeaPad Slim 3 15IAH8 (83ER008DIN) Laptop (Core i5 12th Gen/16 GB/512 GB SSD/Windows 11)</v>
      </c>
      <c r="B1324" t="s">
        <v>1920</v>
      </c>
      <c r="C1324" s="1">
        <v>51150</v>
      </c>
      <c r="D1324" s="1">
        <v>421</v>
      </c>
      <c r="E1324" s="2">
        <v>78</v>
      </c>
      <c r="F1324" s="2" t="str" cm="1">
        <f t="array" ref="F1324">_xlfn.IFS(AND(101&gt;E1324, E1324&gt;69), "Top-Tier", AND(70&gt;E1324, E1324&gt;39), "Mid-Tier", 40&gt;E1324, "Low-Tier")</f>
        <v>Top-Tier</v>
      </c>
      <c r="G1324" s="4">
        <v>45231</v>
      </c>
      <c r="H1324" t="s">
        <v>1919</v>
      </c>
      <c r="I1324" t="s">
        <v>33</v>
      </c>
      <c r="J1324" t="s">
        <v>121</v>
      </c>
      <c r="K1324" t="s">
        <v>51</v>
      </c>
      <c r="L1324" t="s">
        <v>24</v>
      </c>
      <c r="M1324" t="s">
        <v>95</v>
      </c>
      <c r="N1324" t="s">
        <v>31</v>
      </c>
      <c r="P1324" s="3">
        <v>80</v>
      </c>
      <c r="Q1324" t="str">
        <f>LEFT(B1324, 6)</f>
        <v>Lenovo</v>
      </c>
      <c r="R1324" t="str">
        <f t="shared" si="84"/>
        <v>Intel Core i7 (11th Gen)</v>
      </c>
      <c r="S1324" t="str">
        <f t="shared" si="82"/>
        <v>16 GB</v>
      </c>
    </row>
    <row r="1325" spans="1:19">
      <c r="A1325" t="str">
        <f>LEFT(B1325, LEN(B1325)-15)</f>
        <v>Asus VivoBook 15X OLED M3504YA-LK552WS Laptop (AMD Hexa Core Ryzen 5/16 GB/1 TB SSD/Windows 11)</v>
      </c>
      <c r="B1325" t="s">
        <v>1921</v>
      </c>
      <c r="C1325" s="1">
        <v>55990</v>
      </c>
      <c r="D1325" s="1">
        <v>8</v>
      </c>
      <c r="E1325" s="2">
        <v>78</v>
      </c>
      <c r="F1325" s="2" t="str" cm="1">
        <f t="array" ref="F1325">_xlfn.IFS(AND(101&gt;E1325, E1325&gt;69), "Top-Tier", AND(70&gt;E1325, E1325&gt;39), "Mid-Tier", 40&gt;E1325, "Low-Tier")</f>
        <v>Top-Tier</v>
      </c>
      <c r="G1325" s="4">
        <v>45200</v>
      </c>
      <c r="H1325" t="s">
        <v>1919</v>
      </c>
      <c r="I1325" t="s">
        <v>33</v>
      </c>
      <c r="J1325" t="s">
        <v>184</v>
      </c>
      <c r="K1325" t="s">
        <v>215</v>
      </c>
      <c r="L1325" t="s">
        <v>24</v>
      </c>
      <c r="M1325" t="s">
        <v>95</v>
      </c>
      <c r="N1325" t="s">
        <v>31</v>
      </c>
      <c r="P1325" s="3">
        <v>75</v>
      </c>
      <c r="Q1325" t="str">
        <f>LEFT(B1325, 4)</f>
        <v>Asus</v>
      </c>
      <c r="R1325" t="str">
        <f t="shared" si="84"/>
        <v>Intel Core i7 (11th Gen)</v>
      </c>
      <c r="S1325" t="str">
        <f t="shared" si="82"/>
        <v>16 GB</v>
      </c>
    </row>
    <row r="1326" spans="1:19">
      <c r="A1326" t="str">
        <f>LEFT(B1326, LEN(B1326)-15)</f>
        <v>Zebronics Pro Series Y ZEB-NBC 2S Laptop (Core i5 11th Gen/8 GB/512 GB SSD/Windows 11)</v>
      </c>
      <c r="B1326" t="s">
        <v>1922</v>
      </c>
      <c r="C1326" s="1">
        <v>48999</v>
      </c>
      <c r="D1326" s="1">
        <v>742</v>
      </c>
      <c r="E1326" s="2">
        <v>78</v>
      </c>
      <c r="F1326" s="2" t="str" cm="1">
        <f t="array" ref="F1326">_xlfn.IFS(AND(101&gt;E1326, E1326&gt;69), "Top-Tier", AND(70&gt;E1326, E1326&gt;39), "Mid-Tier", 40&gt;E1326, "Low-Tier")</f>
        <v>Top-Tier</v>
      </c>
      <c r="G1326" s="4">
        <v>45200</v>
      </c>
      <c r="H1326" t="s">
        <v>1923</v>
      </c>
      <c r="I1326" t="s">
        <v>33</v>
      </c>
      <c r="J1326" t="s">
        <v>955</v>
      </c>
      <c r="K1326" t="s">
        <v>51</v>
      </c>
      <c r="L1326" t="s">
        <v>24</v>
      </c>
      <c r="M1326" t="s">
        <v>253</v>
      </c>
      <c r="N1326" t="s">
        <v>31</v>
      </c>
      <c r="P1326" s="3">
        <v>73</v>
      </c>
      <c r="Q1326" t="str">
        <f>LEFT(B1326, 9)</f>
        <v>Zebronics</v>
      </c>
      <c r="R1326" t="str">
        <f t="shared" si="84"/>
        <v>Intel Core i7 (11th Gen)</v>
      </c>
      <c r="S1326" t="str">
        <f t="shared" si="82"/>
        <v xml:space="preserve">8 GB </v>
      </c>
    </row>
    <row r="1327" spans="1:19">
      <c r="A1327" t="str">
        <f>LEFT(B1327, LEN(B1327)-15)</f>
        <v>Zebronics Pro Series Z ZEB-NBC 4S Laptop (Core i5 12th Gen/8 GB/512 GB SSD/Windows 11)</v>
      </c>
      <c r="B1327" t="s">
        <v>1924</v>
      </c>
      <c r="C1327" s="1">
        <v>60999</v>
      </c>
      <c r="D1327" s="1">
        <v>446</v>
      </c>
      <c r="E1327" s="2">
        <v>78</v>
      </c>
      <c r="F1327" s="2" t="str" cm="1">
        <f t="array" ref="F1327">_xlfn.IFS(AND(101&gt;E1327, E1327&gt;69), "Top-Tier", AND(70&gt;E1327, E1327&gt;39), "Mid-Tier", 40&gt;E1327, "Low-Tier")</f>
        <v>Top-Tier</v>
      </c>
      <c r="G1327" s="4">
        <v>45200</v>
      </c>
      <c r="H1327" t="s">
        <v>1923</v>
      </c>
      <c r="I1327" t="s">
        <v>33</v>
      </c>
      <c r="J1327" t="s">
        <v>50</v>
      </c>
      <c r="K1327" t="s">
        <v>51</v>
      </c>
      <c r="L1327" t="s">
        <v>24</v>
      </c>
      <c r="M1327" t="s">
        <v>253</v>
      </c>
      <c r="N1327" t="s">
        <v>31</v>
      </c>
      <c r="P1327" s="3">
        <v>79</v>
      </c>
      <c r="Q1327" t="str">
        <f>LEFT(B1327, 9)</f>
        <v>Zebronics</v>
      </c>
      <c r="R1327" t="str">
        <f t="shared" si="84"/>
        <v>Intel Core i7 (11th Gen)</v>
      </c>
      <c r="S1327" t="str">
        <f t="shared" si="82"/>
        <v xml:space="preserve">8 GB </v>
      </c>
    </row>
    <row r="1328" spans="1:19">
      <c r="A1328" t="str">
        <f>LEFT(B1328, LEN(B1328)-15)</f>
        <v>Zebronics Pro Series Z ZEB-NBC 3S Laptop (Core i3 12th Gen/8 GB/512 GB SSD/Windows 11)</v>
      </c>
      <c r="B1328" t="s">
        <v>1925</v>
      </c>
      <c r="C1328" s="1">
        <v>50999</v>
      </c>
      <c r="D1328" s="1">
        <v>289</v>
      </c>
      <c r="E1328" s="2">
        <v>78</v>
      </c>
      <c r="F1328" s="2" t="str" cm="1">
        <f t="array" ref="F1328">_xlfn.IFS(AND(101&gt;E1328, E1328&gt;69), "Top-Tier", AND(70&gt;E1328, E1328&gt;39), "Mid-Tier", 40&gt;E1328, "Low-Tier")</f>
        <v>Top-Tier</v>
      </c>
      <c r="G1328" s="4">
        <v>45170</v>
      </c>
      <c r="H1328" t="s">
        <v>1926</v>
      </c>
      <c r="I1328" t="s">
        <v>33</v>
      </c>
      <c r="J1328" t="s">
        <v>50</v>
      </c>
      <c r="K1328" t="s">
        <v>51</v>
      </c>
      <c r="L1328" t="s">
        <v>24</v>
      </c>
      <c r="M1328" t="s">
        <v>253</v>
      </c>
      <c r="N1328" t="s">
        <v>31</v>
      </c>
      <c r="P1328" s="3">
        <v>77</v>
      </c>
      <c r="Q1328" t="str">
        <f>LEFT(B1328, 9)</f>
        <v>Zebronics</v>
      </c>
      <c r="R1328" t="str">
        <f t="shared" si="84"/>
        <v>Intel Core i7 (11th Gen)</v>
      </c>
      <c r="S1328" t="str">
        <f t="shared" si="82"/>
        <v xml:space="preserve">8 GB </v>
      </c>
    </row>
    <row r="1329" spans="1:19">
      <c r="A1329" t="str">
        <f>LEFT(B1329, LEN(B1329)-15)</f>
        <v>Lenovo Yoga 7 14ARP8 (82YM0074IN) Laptop (AMD Octa Core Ryzen 7/16 GB/1 TB SSD/Windows 11)</v>
      </c>
      <c r="B1329" t="s">
        <v>1927</v>
      </c>
      <c r="C1329" s="1">
        <v>92190</v>
      </c>
      <c r="D1329" s="1">
        <v>17</v>
      </c>
      <c r="E1329" s="2">
        <v>78</v>
      </c>
      <c r="F1329" s="2" t="str" cm="1">
        <f t="array" ref="F1329">_xlfn.IFS(AND(101&gt;E1329, E1329&gt;69), "Top-Tier", AND(70&gt;E1329, E1329&gt;39), "Mid-Tier", 40&gt;E1329, "Low-Tier")</f>
        <v>Top-Tier</v>
      </c>
      <c r="G1329" s="4">
        <v>45139</v>
      </c>
      <c r="H1329" t="s">
        <v>1928</v>
      </c>
      <c r="I1329" t="s">
        <v>33</v>
      </c>
      <c r="J1329" t="s">
        <v>167</v>
      </c>
      <c r="K1329" t="s">
        <v>59</v>
      </c>
      <c r="L1329" t="s">
        <v>24</v>
      </c>
      <c r="O1329" t="s">
        <v>261</v>
      </c>
      <c r="P1329" s="3">
        <v>75</v>
      </c>
      <c r="Q1329" t="str">
        <f>LEFT(B1329, 6)</f>
        <v>Lenovo</v>
      </c>
      <c r="R1329" t="str">
        <f t="shared" si="84"/>
        <v>Intel Core i7 (12th Gen)</v>
      </c>
      <c r="S1329" t="str">
        <f t="shared" si="82"/>
        <v>16 GB</v>
      </c>
    </row>
    <row r="1330" spans="1:19">
      <c r="A1330" t="str">
        <f>LEFT(B1330, LEN(B1330)-15)</f>
        <v>Fujitsu UH-X 4ZR1M37246 Laptop (Core i5 13th Gen/16 GB/512 GB SSD/Windows 11)</v>
      </c>
      <c r="B1330" t="s">
        <v>1929</v>
      </c>
      <c r="C1330" s="1">
        <v>79990</v>
      </c>
      <c r="D1330" s="1">
        <v>15</v>
      </c>
      <c r="E1330" s="2">
        <v>78</v>
      </c>
      <c r="F1330" s="2" t="str" cm="1">
        <f t="array" ref="F1330">_xlfn.IFS(AND(101&gt;E1330, E1330&gt;69), "Top-Tier", AND(70&gt;E1330, E1330&gt;39), "Mid-Tier", 40&gt;E1330, "Low-Tier")</f>
        <v>Top-Tier</v>
      </c>
      <c r="G1330" s="4">
        <v>45139</v>
      </c>
      <c r="H1330" t="s">
        <v>1930</v>
      </c>
      <c r="I1330" t="s">
        <v>33</v>
      </c>
      <c r="J1330" t="s">
        <v>121</v>
      </c>
      <c r="K1330" t="s">
        <v>185</v>
      </c>
      <c r="L1330" t="s">
        <v>24</v>
      </c>
      <c r="N1330" t="s">
        <v>31</v>
      </c>
      <c r="P1330" s="3">
        <v>76</v>
      </c>
      <c r="Q1330" t="str">
        <f>LEFT(B1330, 7)</f>
        <v>Fujitsu</v>
      </c>
      <c r="R1330" t="str">
        <f t="shared" si="84"/>
        <v>Intel Core i7 (12th Gen)</v>
      </c>
      <c r="S1330" t="str">
        <f t="shared" si="82"/>
        <v>16 GB</v>
      </c>
    </row>
    <row r="1331" spans="1:19">
      <c r="A1331" t="str">
        <f>LEFT(B1331, LEN(B1331)-15)</f>
        <v>Lenovo Ideapad Slim 3 15AMN8 (82XQ008VIN) Laptop (AMD Quad Core Ryzen 5/16 GB/512 GB SSD/Windows 11)</v>
      </c>
      <c r="B1331" t="s">
        <v>1931</v>
      </c>
      <c r="C1331" s="1">
        <v>42990</v>
      </c>
      <c r="D1331" s="1">
        <v>215</v>
      </c>
      <c r="E1331" s="2">
        <v>78</v>
      </c>
      <c r="F1331" s="2" t="str" cm="1">
        <f t="array" ref="F1331">_xlfn.IFS(AND(101&gt;E1331, E1331&gt;69), "Top-Tier", AND(70&gt;E1331, E1331&gt;39), "Mid-Tier", 40&gt;E1331, "Low-Tier")</f>
        <v>Top-Tier</v>
      </c>
      <c r="G1331" s="4">
        <v>45108</v>
      </c>
      <c r="H1331" t="s">
        <v>1930</v>
      </c>
      <c r="I1331" t="s">
        <v>33</v>
      </c>
      <c r="J1331" t="s">
        <v>121</v>
      </c>
      <c r="K1331" t="s">
        <v>51</v>
      </c>
      <c r="L1331" t="s">
        <v>24</v>
      </c>
      <c r="N1331" t="s">
        <v>31</v>
      </c>
      <c r="P1331" s="3">
        <v>72</v>
      </c>
      <c r="Q1331" t="str">
        <f>LEFT(B1331, 6)</f>
        <v>Lenovo</v>
      </c>
      <c r="R1331" t="str">
        <f>LEFT(H873, 24)</f>
        <v>Intel Core i5 (11th Gen)</v>
      </c>
      <c r="S1331" t="str">
        <f t="shared" si="82"/>
        <v>16 GB</v>
      </c>
    </row>
    <row r="1332" spans="1:19">
      <c r="A1332" t="str">
        <f>LEFT(B1332, LEN(B1332)-15)</f>
        <v>Asus TUF Gaming F15 FX506HF-HN024WS Laptop (Core i5 11th Gen/8 GB/512 GB SSD/Windows 11/4 GB)</v>
      </c>
      <c r="B1332" t="s">
        <v>1932</v>
      </c>
      <c r="C1332" s="1">
        <v>52500</v>
      </c>
      <c r="D1332" s="1">
        <v>262</v>
      </c>
      <c r="E1332" s="2">
        <v>78</v>
      </c>
      <c r="F1332" s="2" t="str" cm="1">
        <f t="array" ref="F1332">_xlfn.IFS(AND(101&gt;E1332, E1332&gt;69), "Top-Tier", AND(70&gt;E1332, E1332&gt;39), "Mid-Tier", 40&gt;E1332, "Low-Tier")</f>
        <v>Top-Tier</v>
      </c>
      <c r="G1332" s="4">
        <v>45108</v>
      </c>
      <c r="H1332" t="s">
        <v>1930</v>
      </c>
      <c r="I1332" t="s">
        <v>33</v>
      </c>
      <c r="J1332" t="s">
        <v>50</v>
      </c>
      <c r="K1332" t="s">
        <v>51</v>
      </c>
      <c r="L1332" t="s">
        <v>24</v>
      </c>
      <c r="N1332" t="s">
        <v>31</v>
      </c>
      <c r="P1332" s="3">
        <v>77</v>
      </c>
      <c r="Q1332" t="str">
        <f>LEFT(B1332, 4)</f>
        <v>Asus</v>
      </c>
      <c r="R1332" t="str">
        <f t="shared" si="84"/>
        <v>Intel Core i7 (12th Gen)</v>
      </c>
      <c r="S1332" t="str">
        <f t="shared" ref="S1332:S1395" si="85">LEFT(J1332, 5)</f>
        <v xml:space="preserve">8 GB </v>
      </c>
    </row>
    <row r="1333" spans="1:19">
      <c r="A1333" t="str">
        <f>LEFT(B1333, LEN(B1333)-15)</f>
        <v>MSI Modern 15 B11M-063IN Laptop (Core i3 11th Gen/8 GB/512 GB SSD/Windows 11)</v>
      </c>
      <c r="B1333" t="s">
        <v>1933</v>
      </c>
      <c r="C1333" s="1">
        <v>59990</v>
      </c>
      <c r="D1333" s="1">
        <v>129</v>
      </c>
      <c r="E1333" s="2">
        <v>78</v>
      </c>
      <c r="F1333" s="2" t="str" cm="1">
        <f t="array" ref="F1333">_xlfn.IFS(AND(101&gt;E1333, E1333&gt;69), "Top-Tier", AND(70&gt;E1333, E1333&gt;39), "Mid-Tier", 40&gt;E1333, "Low-Tier")</f>
        <v>Top-Tier</v>
      </c>
      <c r="G1333" s="4">
        <v>45108</v>
      </c>
      <c r="H1333" t="s">
        <v>1934</v>
      </c>
      <c r="I1333" t="s">
        <v>33</v>
      </c>
      <c r="J1333" t="s">
        <v>50</v>
      </c>
      <c r="K1333" t="s">
        <v>51</v>
      </c>
      <c r="L1333" t="s">
        <v>24</v>
      </c>
      <c r="M1333" t="s">
        <v>122</v>
      </c>
      <c r="N1333" t="s">
        <v>31</v>
      </c>
      <c r="Q1333" t="str">
        <f>LEFT(B1333, 3)</f>
        <v>MSI</v>
      </c>
      <c r="R1333" t="str">
        <f t="shared" si="84"/>
        <v>Intel Core i7 (12th Gen)</v>
      </c>
      <c r="S1333" t="str">
        <f t="shared" si="85"/>
        <v xml:space="preserve">8 GB </v>
      </c>
    </row>
    <row r="1334" spans="1:19">
      <c r="A1334" t="str">
        <f>LEFT(B1334, LEN(B1334)-15)</f>
        <v>HP 255 G9 (840T7PA) Laptop (AMD Dual Core Athlon/4 GB/256 GB SSD/DOS)</v>
      </c>
      <c r="B1334" t="s">
        <v>1935</v>
      </c>
      <c r="C1334" s="1">
        <v>24490</v>
      </c>
      <c r="D1334" s="1">
        <v>1366</v>
      </c>
      <c r="E1334" s="2">
        <v>78</v>
      </c>
      <c r="F1334" s="2" t="str" cm="1">
        <f t="array" ref="F1334">_xlfn.IFS(AND(101&gt;E1334, E1334&gt;69), "Top-Tier", AND(70&gt;E1334, E1334&gt;39), "Mid-Tier", 40&gt;E1334, "Low-Tier")</f>
        <v>Top-Tier</v>
      </c>
      <c r="G1334" s="4">
        <v>45078</v>
      </c>
      <c r="H1334" t="s">
        <v>1934</v>
      </c>
      <c r="I1334" t="s">
        <v>124</v>
      </c>
      <c r="J1334" t="s">
        <v>698</v>
      </c>
      <c r="K1334" t="s">
        <v>674</v>
      </c>
      <c r="L1334" t="s">
        <v>24</v>
      </c>
      <c r="M1334" t="s">
        <v>95</v>
      </c>
      <c r="N1334" t="s">
        <v>31</v>
      </c>
      <c r="Q1334" t="str">
        <f>LEFT(B1334, 2)</f>
        <v>HP</v>
      </c>
      <c r="R1334" t="str">
        <f t="shared" si="84"/>
        <v>Intel Core i7 (12th Gen)</v>
      </c>
      <c r="S1334" t="str">
        <f t="shared" si="85"/>
        <v xml:space="preserve">4 GB </v>
      </c>
    </row>
    <row r="1335" spans="1:19">
      <c r="A1335" t="str">
        <f>LEFT(B1335, LEN(B1335)-15)</f>
        <v>Lenovo ThinkBook 15 G5 (21JFA00QIN) Laptop (AMD Octa Core Ryzen 7/8 GB/512 GB SSD/DOS)</v>
      </c>
      <c r="B1335" t="s">
        <v>1936</v>
      </c>
      <c r="C1335" s="1">
        <v>40999</v>
      </c>
      <c r="D1335" s="1">
        <v>22</v>
      </c>
      <c r="E1335" s="2">
        <v>78</v>
      </c>
      <c r="F1335" s="2" t="str" cm="1">
        <f t="array" ref="F1335">_xlfn.IFS(AND(101&gt;E1335, E1335&gt;69), "Top-Tier", AND(70&gt;E1335, E1335&gt;39), "Mid-Tier", 40&gt;E1335, "Low-Tier")</f>
        <v>Top-Tier</v>
      </c>
      <c r="G1335" s="4">
        <v>45078</v>
      </c>
      <c r="H1335" t="s">
        <v>1937</v>
      </c>
      <c r="I1335" t="s">
        <v>124</v>
      </c>
      <c r="J1335" t="s">
        <v>50</v>
      </c>
      <c r="K1335" t="s">
        <v>51</v>
      </c>
      <c r="L1335" t="s">
        <v>24</v>
      </c>
      <c r="M1335" t="s">
        <v>122</v>
      </c>
      <c r="N1335" t="s">
        <v>31</v>
      </c>
      <c r="P1335" s="3">
        <v>75</v>
      </c>
      <c r="Q1335" t="str">
        <f>LEFT(B1335, 6)</f>
        <v>Lenovo</v>
      </c>
      <c r="R1335" t="str">
        <f t="shared" si="84"/>
        <v>Intel Core i7 (12th Gen)</v>
      </c>
      <c r="S1335" t="str">
        <f t="shared" si="85"/>
        <v xml:space="preserve">8 GB </v>
      </c>
    </row>
    <row r="1336" spans="1:19">
      <c r="A1336" t="str">
        <f>LEFT(B1336, LEN(B1336)-15)</f>
        <v>Asus TUF Gaming F15 FX506HF-HN026W Laptop (Core i5 11th Gen/8 GB/1 TB SSD/Windows 11/4 GB)</v>
      </c>
      <c r="B1336" t="s">
        <v>1938</v>
      </c>
      <c r="C1336" s="1">
        <v>58990</v>
      </c>
      <c r="D1336" s="1">
        <v>266</v>
      </c>
      <c r="E1336" s="2">
        <v>78</v>
      </c>
      <c r="F1336" s="2" t="str" cm="1">
        <f t="array" ref="F1336">_xlfn.IFS(AND(101&gt;E1336, E1336&gt;69), "Top-Tier", AND(70&gt;E1336, E1336&gt;39), "Mid-Tier", 40&gt;E1336, "Low-Tier")</f>
        <v>Top-Tier</v>
      </c>
      <c r="G1336" s="4">
        <v>45078</v>
      </c>
      <c r="H1336" t="s">
        <v>1937</v>
      </c>
      <c r="I1336" t="s">
        <v>33</v>
      </c>
      <c r="J1336" t="s">
        <v>98</v>
      </c>
      <c r="K1336" t="s">
        <v>51</v>
      </c>
      <c r="L1336" t="s">
        <v>24</v>
      </c>
      <c r="M1336" t="s">
        <v>1939</v>
      </c>
      <c r="N1336" t="s">
        <v>31</v>
      </c>
      <c r="O1336" t="s">
        <v>152</v>
      </c>
      <c r="P1336" s="3">
        <v>79</v>
      </c>
      <c r="Q1336" t="str">
        <f>LEFT(B1336, 4)</f>
        <v>Asus</v>
      </c>
      <c r="R1336" t="str">
        <f t="shared" si="84"/>
        <v>Intel Core i7 (12th Gen)</v>
      </c>
      <c r="S1336" t="str">
        <f t="shared" si="85"/>
        <v xml:space="preserve">8 GB </v>
      </c>
    </row>
    <row r="1337" spans="1:19">
      <c r="A1337" t="str">
        <f>LEFT(B1337, LEN(B1337)-15)</f>
        <v>Asus VivoBook 15 X1502ZA-EJ544WS Laptop (Core i5 12th Gen/16 GB/512 GB SSD/Windows 11)</v>
      </c>
      <c r="B1337" t="s">
        <v>1796</v>
      </c>
      <c r="C1337" s="1">
        <v>51990</v>
      </c>
      <c r="D1337" s="1">
        <v>100</v>
      </c>
      <c r="E1337" s="2">
        <v>78</v>
      </c>
      <c r="F1337" s="2" t="str" cm="1">
        <f t="array" ref="F1337">_xlfn.IFS(AND(101&gt;E1337, E1337&gt;69), "Top-Tier", AND(70&gt;E1337, E1337&gt;39), "Mid-Tier", 40&gt;E1337, "Low-Tier")</f>
        <v>Top-Tier</v>
      </c>
      <c r="G1337" s="4">
        <v>45047</v>
      </c>
      <c r="H1337" t="s">
        <v>1937</v>
      </c>
      <c r="I1337" t="s">
        <v>33</v>
      </c>
      <c r="J1337" t="s">
        <v>34</v>
      </c>
      <c r="K1337" t="s">
        <v>51</v>
      </c>
      <c r="L1337" t="s">
        <v>24</v>
      </c>
      <c r="M1337" t="s">
        <v>52</v>
      </c>
      <c r="N1337" t="s">
        <v>31</v>
      </c>
      <c r="P1337" s="3">
        <v>77</v>
      </c>
      <c r="Q1337" t="str">
        <f>LEFT(B1337, 4)</f>
        <v>Asus</v>
      </c>
      <c r="R1337" t="str">
        <f t="shared" si="84"/>
        <v>Intel Core i7 (12th Gen)</v>
      </c>
      <c r="S1337" t="str">
        <f t="shared" si="85"/>
        <v>16 GB</v>
      </c>
    </row>
    <row r="1338" spans="1:19">
      <c r="A1338" t="str">
        <f>LEFT(B1338, LEN(B1338)-15)</f>
        <v>Asus ROG Strix G16 G614JI-N4151WS Laptop (Core i9 13th Gen/16 GB/1 TB SSD/Windows 11/8 GB)</v>
      </c>
      <c r="B1338" t="s">
        <v>1940</v>
      </c>
      <c r="C1338" s="1">
        <v>187074</v>
      </c>
      <c r="D1338" s="1">
        <v>11</v>
      </c>
      <c r="E1338" s="2">
        <v>78</v>
      </c>
      <c r="F1338" s="2" t="str" cm="1">
        <f t="array" ref="F1338">_xlfn.IFS(AND(101&gt;E1338, E1338&gt;69), "Top-Tier", AND(70&gt;E1338, E1338&gt;39), "Mid-Tier", 40&gt;E1338, "Low-Tier")</f>
        <v>Top-Tier</v>
      </c>
      <c r="G1338" s="4">
        <v>45047</v>
      </c>
      <c r="H1338" t="s">
        <v>1937</v>
      </c>
      <c r="I1338" t="s">
        <v>33</v>
      </c>
      <c r="J1338" t="s">
        <v>72</v>
      </c>
      <c r="K1338" t="s">
        <v>117</v>
      </c>
      <c r="L1338" t="s">
        <v>24</v>
      </c>
      <c r="M1338" t="s">
        <v>1939</v>
      </c>
      <c r="N1338" t="s">
        <v>31</v>
      </c>
      <c r="Q1338" t="str">
        <f>LEFT(B1338, 4)</f>
        <v>Asus</v>
      </c>
      <c r="R1338" t="str">
        <f t="shared" si="84"/>
        <v>Intel Core i7 (12th Gen)</v>
      </c>
      <c r="S1338" t="str">
        <f t="shared" si="85"/>
        <v>16 GB</v>
      </c>
    </row>
    <row r="1339" spans="1:19">
      <c r="A1339" t="str">
        <f>LEFT(B1339, LEN(B1339)-15)</f>
        <v>HP 250 G9 (7M659PA) Laptop (Core i3 12th Gen/8 GB/512 GB SSD/DOS)</v>
      </c>
      <c r="B1339" t="s">
        <v>1941</v>
      </c>
      <c r="C1339" s="1">
        <v>33650</v>
      </c>
      <c r="D1339" s="1">
        <v>17</v>
      </c>
      <c r="E1339" s="2">
        <v>78</v>
      </c>
      <c r="F1339" s="2" t="str" cm="1">
        <f t="array" ref="F1339">_xlfn.IFS(AND(101&gt;E1339, E1339&gt;69), "Top-Tier", AND(70&gt;E1339, E1339&gt;39), "Mid-Tier", 40&gt;E1339, "Low-Tier")</f>
        <v>Top-Tier</v>
      </c>
      <c r="G1339" s="4">
        <v>45047</v>
      </c>
      <c r="H1339" t="s">
        <v>1937</v>
      </c>
      <c r="I1339" t="s">
        <v>124</v>
      </c>
      <c r="J1339" t="s">
        <v>50</v>
      </c>
      <c r="K1339" t="s">
        <v>674</v>
      </c>
      <c r="L1339" t="s">
        <v>24</v>
      </c>
      <c r="M1339" t="s">
        <v>52</v>
      </c>
      <c r="N1339" t="s">
        <v>31</v>
      </c>
      <c r="P1339" s="3">
        <v>75</v>
      </c>
      <c r="Q1339" t="str">
        <f>LEFT(B1339, 2)</f>
        <v>HP</v>
      </c>
      <c r="R1339" t="str">
        <f t="shared" si="84"/>
        <v>Intel Core i7 (12th Gen)</v>
      </c>
      <c r="S1339" t="str">
        <f t="shared" si="85"/>
        <v xml:space="preserve">8 GB </v>
      </c>
    </row>
    <row r="1340" spans="1:19">
      <c r="A1340" t="str">
        <f>LEFT(B1340, LEN(B1340)-15)</f>
        <v>HP Pavilion x360 14-ek1020TU (7Z1P8PA) Laptop (Core i7 13th Gen/16 GB/512 GB SSD/Windows 11)</v>
      </c>
      <c r="B1340" t="s">
        <v>1942</v>
      </c>
      <c r="C1340" s="1">
        <v>87999</v>
      </c>
      <c r="D1340" s="1">
        <v>7</v>
      </c>
      <c r="E1340" s="2">
        <v>78</v>
      </c>
      <c r="F1340" s="2" t="str" cm="1">
        <f t="array" ref="F1340">_xlfn.IFS(AND(101&gt;E1340, E1340&gt;69), "Top-Tier", AND(70&gt;E1340, E1340&gt;39), "Mid-Tier", 40&gt;E1340, "Low-Tier")</f>
        <v>Top-Tier</v>
      </c>
      <c r="G1340" s="4">
        <v>45047</v>
      </c>
      <c r="H1340" t="s">
        <v>1937</v>
      </c>
      <c r="I1340" t="s">
        <v>33</v>
      </c>
      <c r="J1340" t="s">
        <v>34</v>
      </c>
      <c r="K1340" t="s">
        <v>149</v>
      </c>
      <c r="L1340" t="s">
        <v>24</v>
      </c>
      <c r="M1340" t="s">
        <v>52</v>
      </c>
      <c r="N1340" t="s">
        <v>31</v>
      </c>
      <c r="P1340" s="3">
        <v>77</v>
      </c>
      <c r="Q1340" t="str">
        <f>LEFT(B1340, 2)</f>
        <v>HP</v>
      </c>
      <c r="R1340" t="str">
        <f t="shared" si="84"/>
        <v>Intel Core i7 (12th Gen)</v>
      </c>
      <c r="S1340" t="str">
        <f t="shared" si="85"/>
        <v>16 GB</v>
      </c>
    </row>
    <row r="1341" spans="1:19">
      <c r="A1341" t="str">
        <f>LEFT(B1341, LEN(B1341)-15)</f>
        <v>HP 15-fc0025AU (7L029PA) Laptop (AMD Quad Core Ryzen 3/8 GB/512 GB SSD/Windows 11)</v>
      </c>
      <c r="B1341" t="s">
        <v>1943</v>
      </c>
      <c r="C1341" s="1">
        <v>34500</v>
      </c>
      <c r="D1341" s="1">
        <v>180</v>
      </c>
      <c r="E1341" s="2">
        <v>78</v>
      </c>
      <c r="F1341" s="2" t="str" cm="1">
        <f t="array" ref="F1341">_xlfn.IFS(AND(101&gt;E1341, E1341&gt;69), "Top-Tier", AND(70&gt;E1341, E1341&gt;39), "Mid-Tier", 40&gt;E1341, "Low-Tier")</f>
        <v>Top-Tier</v>
      </c>
      <c r="G1341" s="4">
        <v>44986</v>
      </c>
      <c r="H1341" t="s">
        <v>1937</v>
      </c>
      <c r="I1341" t="s">
        <v>33</v>
      </c>
      <c r="J1341" t="s">
        <v>50</v>
      </c>
      <c r="K1341" t="s">
        <v>51</v>
      </c>
      <c r="L1341" t="s">
        <v>24</v>
      </c>
      <c r="M1341" t="s">
        <v>52</v>
      </c>
      <c r="N1341" t="s">
        <v>31</v>
      </c>
      <c r="P1341" s="3">
        <v>71</v>
      </c>
      <c r="Q1341" t="str">
        <f>LEFT(B1341, 2)</f>
        <v>HP</v>
      </c>
      <c r="R1341" t="str">
        <f t="shared" si="84"/>
        <v>Intel Core i7 (12th Gen)</v>
      </c>
      <c r="S1341" t="str">
        <f t="shared" si="85"/>
        <v xml:space="preserve">8 GB </v>
      </c>
    </row>
    <row r="1342" spans="1:19">
      <c r="A1342" t="str">
        <f>LEFT(B1342, LEN(B1342)-15)</f>
        <v>Acer Aspire 3 A315-510P (NX.KDHSI.001) Laptop (Core i3 12th Gen/8 GB/512 GB SSD/Windows 11)</v>
      </c>
      <c r="B1342" t="s">
        <v>1944</v>
      </c>
      <c r="C1342" s="1">
        <v>30850</v>
      </c>
      <c r="D1342" s="1">
        <v>267</v>
      </c>
      <c r="E1342" s="2">
        <v>78</v>
      </c>
      <c r="F1342" s="2" t="str" cm="1">
        <f t="array" ref="F1342">_xlfn.IFS(AND(101&gt;E1342, E1342&gt;69), "Top-Tier", AND(70&gt;E1342, E1342&gt;39), "Mid-Tier", 40&gt;E1342, "Low-Tier")</f>
        <v>Top-Tier</v>
      </c>
      <c r="G1342" s="4">
        <v>44986</v>
      </c>
      <c r="H1342" t="s">
        <v>1937</v>
      </c>
      <c r="I1342" t="s">
        <v>33</v>
      </c>
      <c r="J1342" t="s">
        <v>162</v>
      </c>
      <c r="K1342" t="s">
        <v>51</v>
      </c>
      <c r="L1342" t="s">
        <v>24</v>
      </c>
      <c r="M1342" t="s">
        <v>122</v>
      </c>
      <c r="N1342" t="s">
        <v>31</v>
      </c>
      <c r="P1342" s="3">
        <v>75</v>
      </c>
      <c r="Q1342" t="str">
        <f>LEFT(B1342, 4)</f>
        <v>Acer</v>
      </c>
      <c r="R1342" t="str">
        <f t="shared" si="84"/>
        <v>Intel Core i7 (12th Gen)</v>
      </c>
      <c r="S1342" t="str">
        <f t="shared" si="85"/>
        <v xml:space="preserve">8 GB </v>
      </c>
    </row>
    <row r="1343" spans="1:19">
      <c r="A1343" t="str">
        <f>LEFT(B1343, LEN(B1343)-15)</f>
        <v>HP Chromebook 15a-na0008TU (72K10PA) Laptop (Intel Celeron Dual Core/4 GB/128 GB eMMC/Google Chrome)</v>
      </c>
      <c r="B1343" t="s">
        <v>1945</v>
      </c>
      <c r="C1343" s="1">
        <v>29990</v>
      </c>
      <c r="D1343" s="1">
        <v>2887</v>
      </c>
      <c r="E1343" s="2">
        <v>78</v>
      </c>
      <c r="F1343" s="2" t="str" cm="1">
        <f t="array" ref="F1343">_xlfn.IFS(AND(101&gt;E1343, E1343&gt;69), "Top-Tier", AND(70&gt;E1343, E1343&gt;39), "Mid-Tier", 40&gt;E1343, "Low-Tier")</f>
        <v>Top-Tier</v>
      </c>
      <c r="G1343" s="4">
        <v>44986</v>
      </c>
      <c r="H1343" t="s">
        <v>1937</v>
      </c>
      <c r="I1343" t="s">
        <v>735</v>
      </c>
      <c r="J1343" t="s">
        <v>1188</v>
      </c>
      <c r="K1343" t="s">
        <v>674</v>
      </c>
      <c r="L1343" t="s">
        <v>24</v>
      </c>
      <c r="M1343" t="s">
        <v>842</v>
      </c>
      <c r="Q1343" t="str">
        <f>LEFT(B1343, 2)</f>
        <v>HP</v>
      </c>
      <c r="R1343" t="str">
        <f t="shared" si="84"/>
        <v>Intel Core i7 (12th Gen)</v>
      </c>
      <c r="S1343" t="str">
        <f t="shared" si="85"/>
        <v xml:space="preserve">4 GB </v>
      </c>
    </row>
    <row r="1344" spans="1:19">
      <c r="A1344" t="str">
        <f>LEFT(B1344, LEN(B1344)-15)</f>
        <v>Infinix Zero Book ZL12 Laptop (Core i7 12th Gen/16 GB/512 GB SSD/Windows 11)</v>
      </c>
      <c r="B1344" t="s">
        <v>1946</v>
      </c>
      <c r="C1344" s="1">
        <v>58990</v>
      </c>
      <c r="D1344" s="1">
        <v>28</v>
      </c>
      <c r="E1344" s="2">
        <v>78</v>
      </c>
      <c r="F1344" s="2" t="str" cm="1">
        <f t="array" ref="F1344">_xlfn.IFS(AND(101&gt;E1344, E1344&gt;69), "Top-Tier", AND(70&gt;E1344, E1344&gt;39), "Mid-Tier", 40&gt;E1344, "Low-Tier")</f>
        <v>Top-Tier</v>
      </c>
      <c r="G1344" s="4">
        <v>44958</v>
      </c>
      <c r="H1344" t="s">
        <v>1937</v>
      </c>
      <c r="I1344" t="s">
        <v>33</v>
      </c>
      <c r="J1344" t="s">
        <v>121</v>
      </c>
      <c r="K1344" t="s">
        <v>51</v>
      </c>
      <c r="L1344" t="s">
        <v>24</v>
      </c>
      <c r="M1344" t="s">
        <v>178</v>
      </c>
      <c r="N1344" t="s">
        <v>31</v>
      </c>
      <c r="O1344" t="s">
        <v>261</v>
      </c>
      <c r="P1344" s="3">
        <v>79</v>
      </c>
      <c r="Q1344" t="str">
        <f>LEFT(B1344, 7)</f>
        <v>Infinix</v>
      </c>
      <c r="R1344" t="str">
        <f t="shared" si="84"/>
        <v>Intel Core i7 (12th Gen)</v>
      </c>
      <c r="S1344" t="str">
        <f t="shared" si="85"/>
        <v>16 GB</v>
      </c>
    </row>
    <row r="1345" spans="1:19">
      <c r="A1345" t="str">
        <f>LEFT(B1345, LEN(B1345)-15)</f>
        <v>Lenovo V15 (82KBA01TIH) Laptop (Core i5 11th Gen/8 GB/512 GB SSD/Windows 11)</v>
      </c>
      <c r="B1345" t="s">
        <v>1947</v>
      </c>
      <c r="C1345" s="1">
        <v>42990</v>
      </c>
      <c r="D1345" s="1">
        <v>86</v>
      </c>
      <c r="E1345" s="2">
        <v>78</v>
      </c>
      <c r="F1345" s="2" t="str" cm="1">
        <f t="array" ref="F1345">_xlfn.IFS(AND(101&gt;E1345, E1345&gt;69), "Top-Tier", AND(70&gt;E1345, E1345&gt;39), "Mid-Tier", 40&gt;E1345, "Low-Tier")</f>
        <v>Top-Tier</v>
      </c>
      <c r="G1345" s="4">
        <v>44927</v>
      </c>
      <c r="H1345" t="s">
        <v>1937</v>
      </c>
      <c r="I1345" t="s">
        <v>33</v>
      </c>
      <c r="J1345" t="s">
        <v>50</v>
      </c>
      <c r="K1345" t="s">
        <v>51</v>
      </c>
      <c r="L1345" t="s">
        <v>24</v>
      </c>
      <c r="M1345" t="s">
        <v>52</v>
      </c>
      <c r="N1345" t="s">
        <v>31</v>
      </c>
      <c r="P1345" s="3">
        <v>72</v>
      </c>
      <c r="Q1345" t="str">
        <f>LEFT(B1345, 6)</f>
        <v>Lenovo</v>
      </c>
      <c r="R1345" t="str">
        <f t="shared" si="84"/>
        <v>Intel Core i7 (12th Gen)</v>
      </c>
      <c r="S1345" t="str">
        <f t="shared" si="85"/>
        <v xml:space="preserve">8 GB </v>
      </c>
    </row>
    <row r="1346" spans="1:19">
      <c r="A1346" t="str">
        <f>LEFT(B1346, LEN(B1346)-15)</f>
        <v>HP Victus 15-fb0777AX (7K0C1PA) Laptop (AMD Hexa Core Ryzen 5/8 GB/512 GB SSD/Windows 11/4 GB)</v>
      </c>
      <c r="B1346" t="s">
        <v>1948</v>
      </c>
      <c r="C1346" s="1">
        <v>54999</v>
      </c>
      <c r="D1346" s="1">
        <v>224</v>
      </c>
      <c r="E1346" s="2">
        <v>78</v>
      </c>
      <c r="F1346" s="2" t="str" cm="1">
        <f t="array" ref="F1346">_xlfn.IFS(AND(101&gt;E1346, E1346&gt;69), "Top-Tier", AND(70&gt;E1346, E1346&gt;39), "Mid-Tier", 40&gt;E1346, "Low-Tier")</f>
        <v>Top-Tier</v>
      </c>
      <c r="G1346" s="4">
        <v>44927</v>
      </c>
      <c r="H1346" t="s">
        <v>1937</v>
      </c>
      <c r="I1346" t="s">
        <v>33</v>
      </c>
      <c r="J1346" t="s">
        <v>50</v>
      </c>
      <c r="K1346" t="s">
        <v>51</v>
      </c>
      <c r="L1346" t="s">
        <v>24</v>
      </c>
      <c r="N1346" t="s">
        <v>31</v>
      </c>
      <c r="P1346" s="3">
        <v>78</v>
      </c>
      <c r="Q1346" t="str">
        <f>LEFT(B1346, 2)</f>
        <v>HP</v>
      </c>
      <c r="R1346" t="str">
        <f t="shared" si="84"/>
        <v>Intel Core i7 (12th Gen)</v>
      </c>
      <c r="S1346" t="str">
        <f t="shared" si="85"/>
        <v xml:space="preserve">8 GB </v>
      </c>
    </row>
    <row r="1347" spans="1:19">
      <c r="A1347" t="str">
        <f>LEFT(B1347, LEN(B1347)-15)</f>
        <v>HP Envy x360 15-ew0021TX (7N6V9PA) Laptop (Core i5 12th Gen/16 GB/512 GB SSD/Windows 11/4 GB)</v>
      </c>
      <c r="B1347" t="s">
        <v>1949</v>
      </c>
      <c r="C1347" s="1">
        <v>74999</v>
      </c>
      <c r="D1347" s="1">
        <v>42</v>
      </c>
      <c r="E1347" s="2">
        <v>78</v>
      </c>
      <c r="F1347" s="2" t="str" cm="1">
        <f t="array" ref="F1347">_xlfn.IFS(AND(101&gt;E1347, E1347&gt;69), "Top-Tier", AND(70&gt;E1347, E1347&gt;39), "Mid-Tier", 40&gt;E1347, "Low-Tier")</f>
        <v>Top-Tier</v>
      </c>
      <c r="G1347" s="4">
        <v>44927</v>
      </c>
      <c r="H1347" t="s">
        <v>1937</v>
      </c>
      <c r="I1347" t="s">
        <v>33</v>
      </c>
      <c r="J1347" t="s">
        <v>34</v>
      </c>
      <c r="K1347" t="s">
        <v>215</v>
      </c>
      <c r="L1347" t="s">
        <v>24</v>
      </c>
      <c r="M1347" t="s">
        <v>138</v>
      </c>
      <c r="N1347" t="s">
        <v>31</v>
      </c>
      <c r="P1347" s="3">
        <v>84</v>
      </c>
      <c r="Q1347" t="str">
        <f>LEFT(B1347, 2)</f>
        <v>HP</v>
      </c>
      <c r="R1347" t="str">
        <f t="shared" si="84"/>
        <v>Intel Core i7 (12th Gen)</v>
      </c>
      <c r="S1347" t="str">
        <f t="shared" si="85"/>
        <v>16 GB</v>
      </c>
    </row>
    <row r="1348" spans="1:19">
      <c r="A1348" t="str">
        <f>LEFT(B1348, LEN(B1348)-15)</f>
        <v>MSI Modern 15 B12M-227IN Laptop (Core i5 12th Gen/16 GB/512 GB SSD/Windows 11)</v>
      </c>
      <c r="B1348" t="s">
        <v>1950</v>
      </c>
      <c r="C1348" s="1">
        <v>72990</v>
      </c>
      <c r="D1348" s="1">
        <v>29</v>
      </c>
      <c r="E1348" s="2">
        <v>78</v>
      </c>
      <c r="F1348" s="2" t="str" cm="1">
        <f t="array" ref="F1348">_xlfn.IFS(AND(101&gt;E1348, E1348&gt;69), "Top-Tier", AND(70&gt;E1348, E1348&gt;39), "Mid-Tier", 40&gt;E1348, "Low-Tier")</f>
        <v>Top-Tier</v>
      </c>
      <c r="G1348" s="4">
        <v>44896</v>
      </c>
      <c r="H1348" t="s">
        <v>1951</v>
      </c>
      <c r="I1348" t="s">
        <v>33</v>
      </c>
      <c r="J1348" t="s">
        <v>34</v>
      </c>
      <c r="K1348" t="s">
        <v>51</v>
      </c>
      <c r="L1348" t="s">
        <v>24</v>
      </c>
      <c r="M1348" t="s">
        <v>253</v>
      </c>
      <c r="N1348" t="s">
        <v>31</v>
      </c>
      <c r="P1348" s="3">
        <v>76</v>
      </c>
      <c r="Q1348" t="str">
        <f>LEFT(B1348, 3)</f>
        <v>MSI</v>
      </c>
      <c r="R1348" t="str">
        <f t="shared" si="84"/>
        <v>Intel Core i7 (12th Gen)</v>
      </c>
      <c r="S1348" t="str">
        <f t="shared" si="85"/>
        <v>16 GB</v>
      </c>
    </row>
    <row r="1349" spans="1:19">
      <c r="A1349" t="str">
        <f>LEFT(B1349, LEN(B1349)-15)</f>
        <v>Lenovo E41-55 (82FJ00BLIH) Laptop (AMD Dual Core Athlon/4 GB/256 GB SSD/Windows 10)</v>
      </c>
      <c r="B1349" t="s">
        <v>1952</v>
      </c>
      <c r="C1349" s="1">
        <v>29950</v>
      </c>
      <c r="D1349" s="1">
        <v>323</v>
      </c>
      <c r="E1349" s="2">
        <v>78</v>
      </c>
      <c r="F1349" s="2" t="str" cm="1">
        <f t="array" ref="F1349">_xlfn.IFS(AND(101&gt;E1349, E1349&gt;69), "Top-Tier", AND(70&gt;E1349, E1349&gt;39), "Mid-Tier", 40&gt;E1349, "Low-Tier")</f>
        <v>Top-Tier</v>
      </c>
      <c r="G1349" s="4">
        <v>44896</v>
      </c>
      <c r="H1349" t="s">
        <v>1953</v>
      </c>
      <c r="I1349" t="s">
        <v>248</v>
      </c>
      <c r="J1349" t="s">
        <v>698</v>
      </c>
      <c r="K1349" t="s">
        <v>224</v>
      </c>
      <c r="L1349" t="s">
        <v>24</v>
      </c>
      <c r="M1349" t="s">
        <v>253</v>
      </c>
      <c r="N1349" t="s">
        <v>31</v>
      </c>
      <c r="Q1349" t="str">
        <f>LEFT(B1349, 6)</f>
        <v>Lenovo</v>
      </c>
      <c r="R1349" t="str">
        <f t="shared" si="84"/>
        <v>Intel Core i7 (12th Gen)</v>
      </c>
      <c r="S1349" t="str">
        <f t="shared" si="85"/>
        <v xml:space="preserve">4 GB </v>
      </c>
    </row>
    <row r="1350" spans="1:19">
      <c r="A1350" t="str">
        <f>LEFT(B1350, LEN(B1350)-15)</f>
        <v>Lenovo V15 ITL (82KBA03JIH) Laptop (Core i3 11th Gen/8 GB/512 GB SSD/Windows 11)</v>
      </c>
      <c r="B1350" t="s">
        <v>1954</v>
      </c>
      <c r="C1350" s="1">
        <v>29490</v>
      </c>
      <c r="D1350" s="1">
        <v>7</v>
      </c>
      <c r="E1350" s="2">
        <v>78</v>
      </c>
      <c r="F1350" s="2" t="str" cm="1">
        <f t="array" ref="F1350">_xlfn.IFS(AND(101&gt;E1350, E1350&gt;69), "Top-Tier", AND(70&gt;E1350, E1350&gt;39), "Mid-Tier", 40&gt;E1350, "Low-Tier")</f>
        <v>Top-Tier</v>
      </c>
      <c r="G1350" s="4">
        <v>44896</v>
      </c>
      <c r="H1350" t="s">
        <v>1955</v>
      </c>
      <c r="I1350" t="s">
        <v>33</v>
      </c>
      <c r="J1350" t="s">
        <v>50</v>
      </c>
      <c r="K1350" t="s">
        <v>159</v>
      </c>
      <c r="L1350" t="s">
        <v>24</v>
      </c>
      <c r="O1350" t="s">
        <v>152</v>
      </c>
      <c r="Q1350" t="str">
        <f>LEFT(B1350, 6)</f>
        <v>Lenovo</v>
      </c>
      <c r="R1350" t="str">
        <f t="shared" si="84"/>
        <v>Intel Core i7 (12th Gen)</v>
      </c>
      <c r="S1350" t="str">
        <f t="shared" si="85"/>
        <v xml:space="preserve">8 GB </v>
      </c>
    </row>
    <row r="1351" spans="1:19">
      <c r="A1351" t="str">
        <f>LEFT(B1351, LEN(B1351)-15)</f>
        <v>HP Pavilion Plus 14-eh0037TU (77S54PA) Laptop (Core i5 12th Gen/16 GB/512 GB SSD/Windows 11)</v>
      </c>
      <c r="B1351" t="s">
        <v>1956</v>
      </c>
      <c r="C1351" s="1">
        <v>83990</v>
      </c>
      <c r="D1351" s="1">
        <v>302</v>
      </c>
      <c r="E1351" s="2">
        <v>78</v>
      </c>
      <c r="F1351" s="2" t="str" cm="1">
        <f t="array" ref="F1351">_xlfn.IFS(AND(101&gt;E1351, E1351&gt;69), "Top-Tier", AND(70&gt;E1351, E1351&gt;39), "Mid-Tier", 40&gt;E1351, "Low-Tier")</f>
        <v>Top-Tier</v>
      </c>
      <c r="G1351" s="4">
        <v>44866</v>
      </c>
      <c r="H1351" t="s">
        <v>1957</v>
      </c>
      <c r="I1351" t="s">
        <v>33</v>
      </c>
      <c r="J1351" t="s">
        <v>34</v>
      </c>
      <c r="K1351" t="s">
        <v>81</v>
      </c>
      <c r="L1351" t="s">
        <v>24</v>
      </c>
      <c r="M1351" t="s">
        <v>203</v>
      </c>
      <c r="N1351" t="s">
        <v>31</v>
      </c>
      <c r="P1351" s="3">
        <v>78</v>
      </c>
      <c r="Q1351" t="str">
        <f>LEFT(B1351, 2)</f>
        <v>HP</v>
      </c>
      <c r="R1351" t="str">
        <f t="shared" si="84"/>
        <v>Intel Core i7 (12th Gen)</v>
      </c>
      <c r="S1351" t="str">
        <f t="shared" si="85"/>
        <v>16 GB</v>
      </c>
    </row>
    <row r="1352" spans="1:19">
      <c r="A1352" t="str">
        <f>LEFT(B1352, LEN(B1352)-15)</f>
        <v>Microsoft Surface Pro 9 (QIL-00031) Laptop (Core i7 12th Gen/16 GB/256 GB SSD/Windows 11)</v>
      </c>
      <c r="B1352" t="s">
        <v>1958</v>
      </c>
      <c r="C1352" s="1">
        <v>132990</v>
      </c>
      <c r="D1352" s="1">
        <v>8</v>
      </c>
      <c r="E1352" s="2">
        <v>78</v>
      </c>
      <c r="F1352" s="2" t="str" cm="1">
        <f t="array" ref="F1352">_xlfn.IFS(AND(101&gt;E1352, E1352&gt;69), "Top-Tier", AND(70&gt;E1352, E1352&gt;39), "Mid-Tier", 40&gt;E1352, "Low-Tier")</f>
        <v>Top-Tier</v>
      </c>
      <c r="G1352" s="4">
        <v>44866</v>
      </c>
      <c r="H1352" t="s">
        <v>1957</v>
      </c>
      <c r="I1352" t="s">
        <v>33</v>
      </c>
      <c r="J1352" t="s">
        <v>199</v>
      </c>
      <c r="K1352" t="s">
        <v>243</v>
      </c>
      <c r="L1352" t="s">
        <v>24</v>
      </c>
      <c r="M1352" t="s">
        <v>1959</v>
      </c>
      <c r="P1352" s="3">
        <v>78</v>
      </c>
      <c r="Q1352" t="str">
        <f>LEFT(B1352, 9)</f>
        <v>Microsoft</v>
      </c>
      <c r="R1352" t="str">
        <f t="shared" si="84"/>
        <v>Intel Core i7 (12th Gen)</v>
      </c>
      <c r="S1352" t="str">
        <f t="shared" si="85"/>
        <v>16 GB</v>
      </c>
    </row>
    <row r="1353" spans="1:19">
      <c r="A1353" t="str">
        <f>LEFT(B1353, LEN(B1353)-15)</f>
        <v>Lenovo V15 (82KB00M0IH) Laptop (Core i3 11th Gen/4 GB/256 GB SSD/Windows 10)</v>
      </c>
      <c r="B1353" t="s">
        <v>1960</v>
      </c>
      <c r="C1353" s="1">
        <v>31990</v>
      </c>
      <c r="D1353" s="1">
        <v>33</v>
      </c>
      <c r="E1353" s="2">
        <v>78</v>
      </c>
      <c r="F1353" s="2" t="str" cm="1">
        <f t="array" ref="F1353">_xlfn.IFS(AND(101&gt;E1353, E1353&gt;69), "Top-Tier", AND(70&gt;E1353, E1353&gt;39), "Mid-Tier", 40&gt;E1353, "Low-Tier")</f>
        <v>Top-Tier</v>
      </c>
      <c r="G1353" s="4">
        <v>44866</v>
      </c>
      <c r="H1353" t="s">
        <v>1957</v>
      </c>
      <c r="I1353" t="s">
        <v>248</v>
      </c>
      <c r="J1353" t="s">
        <v>698</v>
      </c>
      <c r="K1353" t="s">
        <v>249</v>
      </c>
      <c r="L1353" t="s">
        <v>24</v>
      </c>
      <c r="N1353" t="s">
        <v>31</v>
      </c>
      <c r="O1353" t="s">
        <v>261</v>
      </c>
      <c r="Q1353" t="str">
        <f>LEFT(B1353, 6)</f>
        <v>Lenovo</v>
      </c>
      <c r="R1353" t="str">
        <f t="shared" si="84"/>
        <v>Intel Core i7 (12th Gen)</v>
      </c>
      <c r="S1353" t="str">
        <f t="shared" si="85"/>
        <v xml:space="preserve">4 GB </v>
      </c>
    </row>
    <row r="1354" spans="1:19">
      <c r="A1354" t="str">
        <f>LEFT(B1354, LEN(B1354)-15)</f>
        <v>Dell Inspiron 15 3515 (D560523WIN9BE) Laptop (AMD Dual Core Ryzen 3/8 GB/256 GB SSD/Windows 10)</v>
      </c>
      <c r="B1354" t="s">
        <v>1961</v>
      </c>
      <c r="C1354" s="1">
        <v>38917</v>
      </c>
      <c r="D1354" s="1">
        <v>262</v>
      </c>
      <c r="E1354" s="2">
        <v>78</v>
      </c>
      <c r="F1354" s="2" t="str" cm="1">
        <f t="array" ref="F1354">_xlfn.IFS(AND(101&gt;E1354, E1354&gt;69), "Top-Tier", AND(70&gt;E1354, E1354&gt;39), "Mid-Tier", 40&gt;E1354, "Low-Tier")</f>
        <v>Top-Tier</v>
      </c>
      <c r="G1354" s="4">
        <v>44866</v>
      </c>
      <c r="H1354" t="s">
        <v>1957</v>
      </c>
      <c r="I1354" t="s">
        <v>248</v>
      </c>
      <c r="J1354" t="s">
        <v>338</v>
      </c>
      <c r="K1354" t="s">
        <v>249</v>
      </c>
      <c r="L1354" t="s">
        <v>24</v>
      </c>
      <c r="M1354" t="s">
        <v>135</v>
      </c>
      <c r="N1354" t="s">
        <v>31</v>
      </c>
      <c r="Q1354" t="str">
        <f>LEFT(B1354, 4)</f>
        <v>Dell</v>
      </c>
      <c r="R1354" t="str">
        <f t="shared" si="84"/>
        <v>Intel Core i7 (12th Gen)</v>
      </c>
      <c r="S1354" t="str">
        <f t="shared" si="85"/>
        <v xml:space="preserve">8 GB </v>
      </c>
    </row>
    <row r="1355" spans="1:19">
      <c r="A1355" t="str">
        <f>LEFT(B1355, LEN(B1355)-15)</f>
        <v>Lenovo Ideapad 3 15IGL05 (81WQ00B6IN) Laptop (Celeron Dual Core/4 GB/256 GB SSD/Windows 10)</v>
      </c>
      <c r="B1355" t="s">
        <v>1962</v>
      </c>
      <c r="C1355" s="1">
        <v>25990</v>
      </c>
      <c r="D1355" s="1">
        <v>84</v>
      </c>
      <c r="E1355" s="2">
        <v>78</v>
      </c>
      <c r="F1355" s="2" t="str" cm="1">
        <f t="array" ref="F1355">_xlfn.IFS(AND(101&gt;E1355, E1355&gt;69), "Top-Tier", AND(70&gt;E1355, E1355&gt;39), "Mid-Tier", 40&gt;E1355, "Low-Tier")</f>
        <v>Top-Tier</v>
      </c>
      <c r="G1355" s="4">
        <v>44866</v>
      </c>
      <c r="H1355" t="s">
        <v>1963</v>
      </c>
      <c r="I1355" t="s">
        <v>248</v>
      </c>
      <c r="J1355" t="s">
        <v>698</v>
      </c>
      <c r="K1355" t="s">
        <v>705</v>
      </c>
      <c r="L1355" t="s">
        <v>24</v>
      </c>
      <c r="M1355" t="s">
        <v>52</v>
      </c>
      <c r="N1355" t="s">
        <v>31</v>
      </c>
      <c r="Q1355" t="str">
        <f>LEFT(B1355, 6)</f>
        <v>Lenovo</v>
      </c>
      <c r="R1355" t="str">
        <f t="shared" si="84"/>
        <v>Intel Core i7 (12th Gen)</v>
      </c>
      <c r="S1355" t="str">
        <f t="shared" si="85"/>
        <v xml:space="preserve">4 GB </v>
      </c>
    </row>
    <row r="1356" spans="1:19">
      <c r="A1356" t="str">
        <f>LEFT(B1356, LEN(B1356)-15)</f>
        <v>Dell Inspiron 15 3520 (D560920WIN9G) Laptop (Core i3 12th Gen/8 GB/512 GB SSD/Windows 11)</v>
      </c>
      <c r="B1356" t="s">
        <v>1964</v>
      </c>
      <c r="C1356" s="1">
        <v>39990</v>
      </c>
      <c r="D1356" s="1">
        <v>21</v>
      </c>
      <c r="E1356" s="2">
        <v>78</v>
      </c>
      <c r="F1356" s="2" t="str" cm="1">
        <f t="array" ref="F1356">_xlfn.IFS(AND(101&gt;E1356, E1356&gt;69), "Top-Tier", AND(70&gt;E1356, E1356&gt;39), "Mid-Tier", 40&gt;E1356, "Low-Tier")</f>
        <v>Top-Tier</v>
      </c>
      <c r="G1356" s="4">
        <v>44835</v>
      </c>
      <c r="H1356" t="s">
        <v>1965</v>
      </c>
      <c r="I1356" t="s">
        <v>33</v>
      </c>
      <c r="J1356" t="s">
        <v>50</v>
      </c>
      <c r="K1356" t="s">
        <v>51</v>
      </c>
      <c r="L1356" t="s">
        <v>24</v>
      </c>
      <c r="M1356" t="s">
        <v>237</v>
      </c>
      <c r="N1356" t="s">
        <v>31</v>
      </c>
      <c r="P1356" s="3">
        <v>72</v>
      </c>
      <c r="Q1356" t="str">
        <f>LEFT(B1356, 4)</f>
        <v>Dell</v>
      </c>
      <c r="R1356" t="str">
        <f t="shared" ref="R1356:R1416" si="86">LEFT(H1355, 24)</f>
        <v>Intel Core i7 (12th Gen)</v>
      </c>
      <c r="S1356" t="str">
        <f t="shared" si="85"/>
        <v xml:space="preserve">8 GB </v>
      </c>
    </row>
    <row r="1357" spans="1:19">
      <c r="A1357" t="str">
        <f>LEFT(B1357, LEN(B1357)-15)</f>
        <v>Infinix INBook X2 Plus XL25 Laptop (Core i7 11th Gen/16 GB/512 GB SSD/Windows 11)</v>
      </c>
      <c r="B1357" t="s">
        <v>1966</v>
      </c>
      <c r="C1357" s="1">
        <v>46999</v>
      </c>
      <c r="D1357" s="1">
        <v>79</v>
      </c>
      <c r="E1357" s="2">
        <v>78</v>
      </c>
      <c r="F1357" s="2" t="str" cm="1">
        <f t="array" ref="F1357">_xlfn.IFS(AND(101&gt;E1357, E1357&gt;69), "Top-Tier", AND(70&gt;E1357, E1357&gt;39), "Mid-Tier", 40&gt;E1357, "Low-Tier")</f>
        <v>Top-Tier</v>
      </c>
      <c r="G1357" s="4">
        <v>44835</v>
      </c>
      <c r="H1357" t="s">
        <v>1965</v>
      </c>
      <c r="I1357" t="s">
        <v>33</v>
      </c>
      <c r="J1357" t="s">
        <v>214</v>
      </c>
      <c r="K1357" t="s">
        <v>51</v>
      </c>
      <c r="L1357" t="s">
        <v>24</v>
      </c>
      <c r="N1357" t="s">
        <v>31</v>
      </c>
      <c r="O1357" t="s">
        <v>261</v>
      </c>
      <c r="P1357" s="3">
        <v>71</v>
      </c>
      <c r="Q1357" t="str">
        <f>LEFT(B1357, 7)</f>
        <v>Infinix</v>
      </c>
      <c r="R1357" t="str">
        <f t="shared" si="86"/>
        <v>Intel Core i7 (12th Gen)</v>
      </c>
      <c r="S1357" t="str">
        <f t="shared" si="85"/>
        <v>16 GB</v>
      </c>
    </row>
    <row r="1358" spans="1:19">
      <c r="A1358" t="str">
        <f>LEFT(B1358, LEN(B1358)-15)</f>
        <v>Dell Inspiron 14 7420 (D560776WIN9S) Laptop (Core i5 12th Gen/16 GB/512 GB SSD/Windows 11)</v>
      </c>
      <c r="B1358" t="s">
        <v>1967</v>
      </c>
      <c r="C1358" s="1">
        <v>88590</v>
      </c>
      <c r="D1358" s="1">
        <v>53</v>
      </c>
      <c r="E1358" s="2">
        <v>78</v>
      </c>
      <c r="F1358" s="2" t="str" cm="1">
        <f t="array" ref="F1358">_xlfn.IFS(AND(101&gt;E1358, E1358&gt;69), "Top-Tier", AND(70&gt;E1358, E1358&gt;39), "Mid-Tier", 40&gt;E1358, "Low-Tier")</f>
        <v>Top-Tier</v>
      </c>
      <c r="G1358" s="4">
        <v>44835</v>
      </c>
      <c r="H1358" t="s">
        <v>1965</v>
      </c>
      <c r="I1358" t="s">
        <v>33</v>
      </c>
      <c r="J1358" t="s">
        <v>34</v>
      </c>
      <c r="K1358" t="s">
        <v>149</v>
      </c>
      <c r="L1358" t="s">
        <v>24</v>
      </c>
      <c r="M1358" t="s">
        <v>74</v>
      </c>
      <c r="N1358" t="s">
        <v>31</v>
      </c>
      <c r="P1358" s="3">
        <v>75</v>
      </c>
      <c r="Q1358" t="str">
        <f>LEFT(B1358, 4)</f>
        <v>Dell</v>
      </c>
      <c r="R1358" t="str">
        <f t="shared" si="86"/>
        <v>Intel Core i7 (12th Gen)</v>
      </c>
      <c r="S1358" t="str">
        <f t="shared" si="85"/>
        <v>16 GB</v>
      </c>
    </row>
    <row r="1359" spans="1:19">
      <c r="A1359" t="str">
        <f>LEFT(B1359, LEN(B1359)-15)</f>
        <v>Dell Inspiron 15 3520 (D560866WIN9S) Laptop (Core i5 12th Gen/8 GB/512 GB SSD/Windows 11)</v>
      </c>
      <c r="B1359" t="s">
        <v>1968</v>
      </c>
      <c r="C1359" s="1">
        <v>47700</v>
      </c>
      <c r="D1359" s="1">
        <v>288</v>
      </c>
      <c r="E1359" s="2">
        <v>78</v>
      </c>
      <c r="F1359" s="2" t="str" cm="1">
        <f t="array" ref="F1359">_xlfn.IFS(AND(101&gt;E1359, E1359&gt;69), "Top-Tier", AND(70&gt;E1359, E1359&gt;39), "Mid-Tier", 40&gt;E1359, "Low-Tier")</f>
        <v>Top-Tier</v>
      </c>
      <c r="G1359" s="4">
        <v>44835</v>
      </c>
      <c r="H1359" t="s">
        <v>1965</v>
      </c>
      <c r="I1359" t="s">
        <v>33</v>
      </c>
      <c r="J1359" t="s">
        <v>50</v>
      </c>
      <c r="K1359" t="s">
        <v>51</v>
      </c>
      <c r="L1359" t="s">
        <v>24</v>
      </c>
      <c r="M1359" t="s">
        <v>237</v>
      </c>
      <c r="N1359" t="s">
        <v>31</v>
      </c>
      <c r="P1359" s="3">
        <v>73</v>
      </c>
      <c r="Q1359" t="str">
        <f>LEFT(B1359, 4)</f>
        <v>Dell</v>
      </c>
      <c r="R1359" t="str">
        <f t="shared" si="86"/>
        <v>Intel Core i7 (12th Gen)</v>
      </c>
      <c r="S1359" t="str">
        <f t="shared" si="85"/>
        <v xml:space="preserve">8 GB </v>
      </c>
    </row>
    <row r="1360" spans="1:19">
      <c r="A1360" t="str">
        <f>LEFT(B1360, LEN(B1360)-15)</f>
        <v>Lenovo V15 IGL (82C3A00DIH) Laptop (Intel Celeron Dual Core/4 GB/256 GB SSD/Windows 11)</v>
      </c>
      <c r="B1360" t="s">
        <v>1969</v>
      </c>
      <c r="C1360" s="1">
        <v>23900</v>
      </c>
      <c r="D1360" s="1">
        <v>654</v>
      </c>
      <c r="E1360" s="2">
        <v>78</v>
      </c>
      <c r="F1360" s="2" t="str" cm="1">
        <f t="array" ref="F1360">_xlfn.IFS(AND(101&gt;E1360, E1360&gt;69), "Top-Tier", AND(70&gt;E1360, E1360&gt;39), "Mid-Tier", 40&gt;E1360, "Low-Tier")</f>
        <v>Top-Tier</v>
      </c>
      <c r="G1360" s="4">
        <v>44805</v>
      </c>
      <c r="H1360" t="s">
        <v>1965</v>
      </c>
      <c r="I1360" t="s">
        <v>33</v>
      </c>
      <c r="J1360" t="s">
        <v>698</v>
      </c>
      <c r="K1360" t="s">
        <v>159</v>
      </c>
      <c r="L1360" t="s">
        <v>24</v>
      </c>
      <c r="Q1360" t="str">
        <f>LEFT(B1360, 6)</f>
        <v>Lenovo</v>
      </c>
      <c r="R1360" t="str">
        <f t="shared" si="86"/>
        <v>Intel Core i7 (12th Gen)</v>
      </c>
      <c r="S1360" t="str">
        <f t="shared" si="85"/>
        <v xml:space="preserve">4 GB </v>
      </c>
    </row>
    <row r="1361" spans="1:19">
      <c r="A1361" t="str">
        <f>LEFT(B1361, LEN(B1361)-15)</f>
        <v>Lenovo Thinkpad E14 Gen 4 (21E3S05B00) Laptop (Core i7 12th Gen/16 GB/512 GB SSD/Windows 11)</v>
      </c>
      <c r="B1361" t="s">
        <v>1970</v>
      </c>
      <c r="C1361" s="1">
        <v>86500</v>
      </c>
      <c r="D1361" s="1">
        <v>24</v>
      </c>
      <c r="E1361" s="2">
        <v>78</v>
      </c>
      <c r="F1361" s="2" t="str" cm="1">
        <f t="array" ref="F1361">_xlfn.IFS(AND(101&gt;E1361, E1361&gt;69), "Top-Tier", AND(70&gt;E1361, E1361&gt;39), "Mid-Tier", 40&gt;E1361, "Low-Tier")</f>
        <v>Top-Tier</v>
      </c>
      <c r="G1361" s="4">
        <v>44805</v>
      </c>
      <c r="H1361" t="s">
        <v>1965</v>
      </c>
      <c r="I1361" t="s">
        <v>33</v>
      </c>
      <c r="J1361" t="s">
        <v>34</v>
      </c>
      <c r="K1361" t="s">
        <v>149</v>
      </c>
      <c r="L1361" t="s">
        <v>24</v>
      </c>
      <c r="M1361" t="s">
        <v>135</v>
      </c>
      <c r="N1361" t="s">
        <v>31</v>
      </c>
      <c r="P1361" s="3">
        <v>76</v>
      </c>
      <c r="Q1361" t="str">
        <f>LEFT(B1361, 6)</f>
        <v>Lenovo</v>
      </c>
      <c r="R1361" t="str">
        <f t="shared" si="86"/>
        <v>Intel Core i7 (12th Gen)</v>
      </c>
      <c r="S1361" t="str">
        <f t="shared" si="85"/>
        <v>16 GB</v>
      </c>
    </row>
    <row r="1362" spans="1:19">
      <c r="A1362" t="str">
        <f>LEFT(B1362, LEN(B1362)-15)</f>
        <v>HP Chromebook 15a-na0012TU (743A1PA) Laptop (Intel Celeron Dual Core/4 GB/128 GB eMMC/Google Chrome)</v>
      </c>
      <c r="B1362" t="s">
        <v>1971</v>
      </c>
      <c r="C1362" s="1">
        <v>30016</v>
      </c>
      <c r="D1362" s="1">
        <v>2878</v>
      </c>
      <c r="E1362" s="2">
        <v>78</v>
      </c>
      <c r="F1362" s="2" t="str" cm="1">
        <f t="array" ref="F1362">_xlfn.IFS(AND(101&gt;E1362, E1362&gt;69), "Top-Tier", AND(70&gt;E1362, E1362&gt;39), "Mid-Tier", 40&gt;E1362, "Low-Tier")</f>
        <v>Top-Tier</v>
      </c>
      <c r="G1362" s="4">
        <v>44805</v>
      </c>
      <c r="H1362" t="s">
        <v>1965</v>
      </c>
      <c r="I1362" t="s">
        <v>735</v>
      </c>
      <c r="J1362" t="s">
        <v>1188</v>
      </c>
      <c r="K1362" t="s">
        <v>674</v>
      </c>
      <c r="L1362" t="s">
        <v>24</v>
      </c>
      <c r="M1362" t="s">
        <v>842</v>
      </c>
      <c r="Q1362" t="str">
        <f>LEFT(B1362, 2)</f>
        <v>HP</v>
      </c>
      <c r="R1362" t="str">
        <f t="shared" si="86"/>
        <v>Intel Core i7 (12th Gen)</v>
      </c>
      <c r="S1362" t="str">
        <f t="shared" si="85"/>
        <v xml:space="preserve">4 GB </v>
      </c>
    </row>
    <row r="1363" spans="1:19">
      <c r="A1363" t="str">
        <f>LEFT(B1363, LEN(B1363)-15)</f>
        <v>Lenovo Ideapad Slim 5 (82SF008YIN) Laptop (Core i5 12th Gen/16 GB/512 GB SSD/Windows 11)</v>
      </c>
      <c r="B1363" t="s">
        <v>1972</v>
      </c>
      <c r="C1363" s="1">
        <v>54250</v>
      </c>
      <c r="D1363" s="1">
        <v>183</v>
      </c>
      <c r="E1363" s="2">
        <v>78</v>
      </c>
      <c r="F1363" s="2" t="str" cm="1">
        <f t="array" ref="F1363">_xlfn.IFS(AND(101&gt;E1363, E1363&gt;69), "Top-Tier", AND(70&gt;E1363, E1363&gt;39), "Mid-Tier", 40&gt;E1363, "Low-Tier")</f>
        <v>Top-Tier</v>
      </c>
      <c r="G1363" s="4">
        <v>44743</v>
      </c>
      <c r="H1363" t="s">
        <v>1973</v>
      </c>
      <c r="I1363" t="s">
        <v>33</v>
      </c>
      <c r="J1363" t="s">
        <v>34</v>
      </c>
      <c r="K1363" t="s">
        <v>159</v>
      </c>
      <c r="L1363" t="s">
        <v>24</v>
      </c>
      <c r="N1363" t="s">
        <v>31</v>
      </c>
      <c r="P1363" s="3">
        <v>75</v>
      </c>
      <c r="Q1363" t="str">
        <f>LEFT(B1363, 6)</f>
        <v>Lenovo</v>
      </c>
      <c r="R1363" t="str">
        <f t="shared" si="86"/>
        <v>Intel Core i7 (12th Gen)</v>
      </c>
      <c r="S1363" t="str">
        <f t="shared" si="85"/>
        <v>16 GB</v>
      </c>
    </row>
    <row r="1364" spans="1:19">
      <c r="A1364" t="str">
        <f>LEFT(B1364, LEN(B1364)-15)</f>
        <v>Lenovo Yoga 7i Gen 7 Intel Evo (82QE0060IN) Laptop (Core i7 12th Gen/16 GB/512 GB SSD/Windows 11)</v>
      </c>
      <c r="B1364" t="s">
        <v>1974</v>
      </c>
      <c r="C1364" s="1">
        <v>119988</v>
      </c>
      <c r="D1364" s="1">
        <v>21</v>
      </c>
      <c r="E1364" s="2">
        <v>78</v>
      </c>
      <c r="F1364" s="2" t="str" cm="1">
        <f t="array" ref="F1364">_xlfn.IFS(AND(101&gt;E1364, E1364&gt;69), "Top-Tier", AND(70&gt;E1364, E1364&gt;39), "Mid-Tier", 40&gt;E1364, "Low-Tier")</f>
        <v>Top-Tier</v>
      </c>
      <c r="G1364" s="4">
        <v>44743</v>
      </c>
      <c r="H1364" t="s">
        <v>1973</v>
      </c>
      <c r="I1364" t="s">
        <v>33</v>
      </c>
      <c r="J1364" t="s">
        <v>121</v>
      </c>
      <c r="K1364" t="s">
        <v>81</v>
      </c>
      <c r="L1364" t="s">
        <v>24</v>
      </c>
      <c r="M1364" t="s">
        <v>203</v>
      </c>
      <c r="N1364" t="s">
        <v>31</v>
      </c>
      <c r="P1364" s="3">
        <v>79</v>
      </c>
      <c r="Q1364" t="str">
        <f>LEFT(B1364, 6)</f>
        <v>Lenovo</v>
      </c>
      <c r="R1364" t="str">
        <f t="shared" si="86"/>
        <v>Intel Core i7 (12th Gen)</v>
      </c>
      <c r="S1364" t="str">
        <f t="shared" si="85"/>
        <v>16 GB</v>
      </c>
    </row>
    <row r="1365" spans="1:19">
      <c r="A1365" t="str">
        <f>LEFT(B1365, LEN(B1365)-15)</f>
        <v>HP 247 G8 (6B5R3PA) Laptop (AMD Quad Core Ryzen 3/8 GB/512 GB SSD/DOS)</v>
      </c>
      <c r="B1365" t="s">
        <v>1975</v>
      </c>
      <c r="C1365" s="1">
        <v>30990</v>
      </c>
      <c r="D1365" s="1">
        <v>622</v>
      </c>
      <c r="E1365" s="2">
        <v>78</v>
      </c>
      <c r="F1365" s="2" t="str" cm="1">
        <f t="array" ref="F1365">_xlfn.IFS(AND(101&gt;E1365, E1365&gt;69), "Top-Tier", AND(70&gt;E1365, E1365&gt;39), "Mid-Tier", 40&gt;E1365, "Low-Tier")</f>
        <v>Top-Tier</v>
      </c>
      <c r="G1365" s="4">
        <v>44743</v>
      </c>
      <c r="H1365" t="s">
        <v>1973</v>
      </c>
      <c r="I1365" t="s">
        <v>124</v>
      </c>
      <c r="J1365" t="s">
        <v>50</v>
      </c>
      <c r="K1365" t="s">
        <v>224</v>
      </c>
      <c r="L1365" t="s">
        <v>24</v>
      </c>
      <c r="M1365" t="s">
        <v>52</v>
      </c>
      <c r="N1365" t="s">
        <v>31</v>
      </c>
      <c r="Q1365" t="str">
        <f>LEFT(B1365, 2)</f>
        <v>HP</v>
      </c>
      <c r="R1365" t="str">
        <f t="shared" si="86"/>
        <v>Intel Core i7 (12th Gen)</v>
      </c>
      <c r="S1365" t="str">
        <f t="shared" si="85"/>
        <v xml:space="preserve">8 GB </v>
      </c>
    </row>
    <row r="1366" spans="1:19">
      <c r="A1366" t="str">
        <f>LEFT(B1366, LEN(B1366)-15)</f>
        <v>Dell G15-5525 (D560819WIN9B) Laptop (AMD Octa Core Ryzen 7/16 GB/512 GB SSD/Windows 11/4 GB)</v>
      </c>
      <c r="B1366" t="s">
        <v>1976</v>
      </c>
      <c r="C1366" s="1">
        <v>73800</v>
      </c>
      <c r="D1366" s="1">
        <v>26</v>
      </c>
      <c r="E1366" s="2">
        <v>78</v>
      </c>
      <c r="F1366" s="2" t="str" cm="1">
        <f t="array" ref="F1366">_xlfn.IFS(AND(101&gt;E1366, E1366&gt;69), "Top-Tier", AND(70&gt;E1366, E1366&gt;39), "Mid-Tier", 40&gt;E1366, "Low-Tier")</f>
        <v>Top-Tier</v>
      </c>
      <c r="G1366" s="4">
        <v>44743</v>
      </c>
      <c r="H1366" t="s">
        <v>1973</v>
      </c>
      <c r="I1366" t="s">
        <v>33</v>
      </c>
      <c r="J1366" t="s">
        <v>54</v>
      </c>
      <c r="K1366" t="s">
        <v>51</v>
      </c>
      <c r="L1366" t="s">
        <v>24</v>
      </c>
      <c r="N1366" t="s">
        <v>31</v>
      </c>
      <c r="P1366" s="3">
        <v>80</v>
      </c>
      <c r="Q1366" t="str">
        <f>LEFT(B1366, 4)</f>
        <v>Dell</v>
      </c>
      <c r="R1366" t="str">
        <f t="shared" si="86"/>
        <v>Intel Core i7 (12th Gen)</v>
      </c>
      <c r="S1366" t="str">
        <f t="shared" si="85"/>
        <v>16 GB</v>
      </c>
    </row>
    <row r="1367" spans="1:19">
      <c r="A1367" t="str">
        <f>LEFT(B1367, LEN(B1367)-15)</f>
        <v>HP Victus 15-fa0354TX (6N031PA) Laptop (Core i7 12th Gen/16 GB/512 GB SSD/Windows 11/4 GB)</v>
      </c>
      <c r="B1367" t="s">
        <v>1977</v>
      </c>
      <c r="C1367" s="1">
        <v>74890</v>
      </c>
      <c r="D1367" s="1">
        <v>27</v>
      </c>
      <c r="E1367" s="2">
        <v>78</v>
      </c>
      <c r="F1367" s="2" t="str" cm="1">
        <f t="array" ref="F1367">_xlfn.IFS(AND(101&gt;E1367, E1367&gt;69), "Top-Tier", AND(70&gt;E1367, E1367&gt;39), "Mid-Tier", 40&gt;E1367, "Low-Tier")</f>
        <v>Top-Tier</v>
      </c>
      <c r="G1367" s="4">
        <v>44743</v>
      </c>
      <c r="H1367" t="s">
        <v>1973</v>
      </c>
      <c r="I1367" t="s">
        <v>33</v>
      </c>
      <c r="J1367" t="s">
        <v>34</v>
      </c>
      <c r="K1367" t="s">
        <v>51</v>
      </c>
      <c r="L1367" t="s">
        <v>24</v>
      </c>
      <c r="N1367" t="s">
        <v>31</v>
      </c>
      <c r="P1367" s="3">
        <v>82</v>
      </c>
      <c r="Q1367" t="str">
        <f>LEFT(B1367, 2)</f>
        <v>HP</v>
      </c>
      <c r="R1367" t="str">
        <f t="shared" si="86"/>
        <v>Intel Core i7 (12th Gen)</v>
      </c>
      <c r="S1367" t="str">
        <f t="shared" si="85"/>
        <v>16 GB</v>
      </c>
    </row>
    <row r="1368" spans="1:19">
      <c r="A1368" t="str">
        <f>LEFT(B1368, LEN(B1368)-15)</f>
        <v>Dell Inspiron 15 3511 (D560816WIN9S) Laptop (Core i5 11th Gen/16 GB/512 GB SSD/Windows 11)</v>
      </c>
      <c r="B1368" t="s">
        <v>1978</v>
      </c>
      <c r="C1368" s="1">
        <v>48500</v>
      </c>
      <c r="D1368" s="1">
        <v>85</v>
      </c>
      <c r="E1368" s="2">
        <v>78</v>
      </c>
      <c r="F1368" s="2" t="str" cm="1">
        <f t="array" ref="F1368">_xlfn.IFS(AND(101&gt;E1368, E1368&gt;69), "Top-Tier", AND(70&gt;E1368, E1368&gt;39), "Mid-Tier", 40&gt;E1368, "Low-Tier")</f>
        <v>Top-Tier</v>
      </c>
      <c r="G1368" s="4">
        <v>44743</v>
      </c>
      <c r="H1368" t="s">
        <v>1973</v>
      </c>
      <c r="I1368" t="s">
        <v>33</v>
      </c>
      <c r="J1368" t="s">
        <v>34</v>
      </c>
      <c r="K1368" t="s">
        <v>51</v>
      </c>
      <c r="L1368" t="s">
        <v>24</v>
      </c>
      <c r="M1368" t="s">
        <v>135</v>
      </c>
      <c r="O1368" t="s">
        <v>152</v>
      </c>
      <c r="P1368" s="3">
        <v>71</v>
      </c>
      <c r="Q1368" t="str">
        <f>LEFT(B1368, 4)</f>
        <v>Dell</v>
      </c>
      <c r="R1368" t="str">
        <f t="shared" si="86"/>
        <v>Intel Core i7 (12th Gen)</v>
      </c>
      <c r="S1368" t="str">
        <f t="shared" si="85"/>
        <v>16 GB</v>
      </c>
    </row>
    <row r="1369" spans="1:19">
      <c r="A1369" t="str">
        <f>LEFT(B1369, LEN(B1369)-15)</f>
        <v>Acer Aspire 3 A311-45 (UN.354SI.004) Laptop (Intel Celeron Dual Core/8 GB/256 GB SSD/Windows 11)</v>
      </c>
      <c r="B1369" t="s">
        <v>1979</v>
      </c>
      <c r="C1369" s="1">
        <v>17990</v>
      </c>
      <c r="D1369" s="1">
        <v>1528</v>
      </c>
      <c r="E1369" s="2">
        <v>76</v>
      </c>
      <c r="F1369" s="2" t="str" cm="1">
        <f t="array" ref="F1369">_xlfn.IFS(AND(101&gt;E1369, E1369&gt;69), "Top-Tier", AND(70&gt;E1369, E1369&gt;39), "Mid-Tier", 40&gt;E1369, "Low-Tier")</f>
        <v>Top-Tier</v>
      </c>
      <c r="G1369" s="4">
        <v>45658</v>
      </c>
      <c r="H1369" t="s">
        <v>1973</v>
      </c>
      <c r="I1369" t="s">
        <v>33</v>
      </c>
      <c r="J1369" t="s">
        <v>338</v>
      </c>
      <c r="K1369" t="s">
        <v>1980</v>
      </c>
      <c r="L1369" t="s">
        <v>24</v>
      </c>
      <c r="M1369" t="s">
        <v>69</v>
      </c>
      <c r="N1369" t="s">
        <v>31</v>
      </c>
      <c r="Q1369" t="str">
        <f>LEFT(B1369, 4)</f>
        <v>Acer</v>
      </c>
      <c r="R1369" t="str">
        <f t="shared" si="86"/>
        <v>Intel Core i7 (12th Gen)</v>
      </c>
      <c r="S1369" t="str">
        <f t="shared" si="85"/>
        <v xml:space="preserve">8 GB </v>
      </c>
    </row>
    <row r="1370" spans="1:19">
      <c r="A1370" t="str">
        <f>LEFT(B1370, LEN(B1370)-15)</f>
        <v>Acer Aspire 3 A311-45 (UN.354SI.002) Laptop (Intel Celeron Dual Core/8 GB/512 GB SSD/Windows 11)</v>
      </c>
      <c r="B1370" t="s">
        <v>1981</v>
      </c>
      <c r="C1370" s="1">
        <v>19990</v>
      </c>
      <c r="D1370" s="1">
        <v>1528</v>
      </c>
      <c r="E1370" s="2">
        <v>76</v>
      </c>
      <c r="F1370" s="2" t="str" cm="1">
        <f t="array" ref="F1370">_xlfn.IFS(AND(101&gt;E1370, E1370&gt;69), "Top-Tier", AND(70&gt;E1370, E1370&gt;39), "Mid-Tier", 40&gt;E1370, "Low-Tier")</f>
        <v>Top-Tier</v>
      </c>
      <c r="G1370" s="4">
        <v>45658</v>
      </c>
      <c r="H1370" t="s">
        <v>1982</v>
      </c>
      <c r="I1370" t="s">
        <v>33</v>
      </c>
      <c r="J1370" t="s">
        <v>50</v>
      </c>
      <c r="K1370" t="s">
        <v>1505</v>
      </c>
      <c r="L1370" t="s">
        <v>24</v>
      </c>
      <c r="M1370" t="s">
        <v>69</v>
      </c>
      <c r="N1370" t="s">
        <v>31</v>
      </c>
      <c r="Q1370" t="str">
        <f>LEFT(B1370, 4)</f>
        <v>Acer</v>
      </c>
      <c r="R1370" t="str">
        <f t="shared" si="86"/>
        <v>Intel Core i7 (12th Gen)</v>
      </c>
      <c r="S1370" t="str">
        <f t="shared" si="85"/>
        <v xml:space="preserve">8 GB </v>
      </c>
    </row>
    <row r="1371" spans="1:19">
      <c r="A1371" t="str">
        <f>LEFT(B1371, LEN(B1371)-15)</f>
        <v>Acer Aspire 3 A311-45 (UN.354SI.006) Laptop (Celeron Dual Core/8 GB/128 GB SSD/Windows 11)</v>
      </c>
      <c r="B1371" t="s">
        <v>1983</v>
      </c>
      <c r="C1371" s="1">
        <v>15990</v>
      </c>
      <c r="D1371" s="1">
        <v>1528</v>
      </c>
      <c r="E1371" s="2">
        <v>76</v>
      </c>
      <c r="F1371" s="2" t="str" cm="1">
        <f t="array" ref="F1371">_xlfn.IFS(AND(101&gt;E1371, E1371&gt;69), "Top-Tier", AND(70&gt;E1371, E1371&gt;39), "Mid-Tier", 40&gt;E1371, "Low-Tier")</f>
        <v>Top-Tier</v>
      </c>
      <c r="G1371" s="4">
        <v>45658</v>
      </c>
      <c r="H1371" t="s">
        <v>1982</v>
      </c>
      <c r="I1371" t="s">
        <v>33</v>
      </c>
      <c r="J1371" t="s">
        <v>1984</v>
      </c>
      <c r="K1371" t="s">
        <v>1980</v>
      </c>
      <c r="L1371" t="s">
        <v>24</v>
      </c>
      <c r="M1371" t="s">
        <v>69</v>
      </c>
      <c r="N1371" t="s">
        <v>31</v>
      </c>
      <c r="Q1371" t="str">
        <f>LEFT(B1371, 4)</f>
        <v>Acer</v>
      </c>
      <c r="R1371" t="str">
        <f t="shared" si="86"/>
        <v>Intel Core i7 (12th Gen)</v>
      </c>
      <c r="S1371" t="str">
        <f t="shared" si="85"/>
        <v xml:space="preserve">8 GB </v>
      </c>
    </row>
    <row r="1372" spans="1:19">
      <c r="A1372" t="str">
        <f>LEFT(B1372, LEN(B1372)-15)</f>
        <v>HP Victus 15-FA1198TX (9Q039PA) Laptop (Core i5 13th Gen/16 GB/512 GB SSD/Windows 11/6 GB)</v>
      </c>
      <c r="B1372" t="s">
        <v>1985</v>
      </c>
      <c r="C1372" s="1">
        <v>72990</v>
      </c>
      <c r="D1372" s="1">
        <v>41</v>
      </c>
      <c r="E1372" s="2">
        <v>76</v>
      </c>
      <c r="F1372" s="2" t="str" cm="1">
        <f t="array" ref="F1372">_xlfn.IFS(AND(101&gt;E1372, E1372&gt;69), "Top-Tier", AND(70&gt;E1372, E1372&gt;39), "Mid-Tier", 40&gt;E1372, "Low-Tier")</f>
        <v>Top-Tier</v>
      </c>
      <c r="G1372" s="4">
        <v>45566</v>
      </c>
      <c r="H1372" t="s">
        <v>1982</v>
      </c>
      <c r="I1372" t="s">
        <v>33</v>
      </c>
      <c r="J1372" t="s">
        <v>1986</v>
      </c>
      <c r="K1372" t="s">
        <v>51</v>
      </c>
      <c r="L1372" t="s">
        <v>24</v>
      </c>
      <c r="N1372" t="s">
        <v>31</v>
      </c>
      <c r="P1372" s="3">
        <v>82</v>
      </c>
      <c r="Q1372" t="str">
        <f>LEFT(B1372, 2)</f>
        <v>HP</v>
      </c>
      <c r="R1372" t="str">
        <f t="shared" si="86"/>
        <v>Intel Core i7 (12th Gen)</v>
      </c>
      <c r="S1372" t="str">
        <f t="shared" si="85"/>
        <v>16 GB</v>
      </c>
    </row>
    <row r="1373" spans="1:19">
      <c r="A1373" t="str">
        <f>LEFT(B1373, LEN(B1373)-15)</f>
        <v>HP 15-fd0316TU (A4KF0PA) Laptop (Core i5 13th Gen/16 GB/512 GB SSD/Windows 11)</v>
      </c>
      <c r="B1373" t="s">
        <v>1987</v>
      </c>
      <c r="C1373" s="1">
        <v>55990</v>
      </c>
      <c r="D1373" s="1">
        <v>179</v>
      </c>
      <c r="E1373" s="2">
        <v>76</v>
      </c>
      <c r="F1373" s="2" t="str" cm="1">
        <f t="array" ref="F1373">_xlfn.IFS(AND(101&gt;E1373, E1373&gt;69), "Top-Tier", AND(70&gt;E1373, E1373&gt;39), "Mid-Tier", 40&gt;E1373, "Low-Tier")</f>
        <v>Top-Tier</v>
      </c>
      <c r="G1373" s="4">
        <v>45597</v>
      </c>
      <c r="H1373" t="s">
        <v>1982</v>
      </c>
      <c r="I1373" t="s">
        <v>33</v>
      </c>
      <c r="J1373" t="s">
        <v>34</v>
      </c>
      <c r="K1373" t="s">
        <v>51</v>
      </c>
      <c r="L1373" t="s">
        <v>24</v>
      </c>
      <c r="M1373" t="s">
        <v>135</v>
      </c>
      <c r="N1373" t="s">
        <v>31</v>
      </c>
      <c r="P1373" s="3">
        <v>80</v>
      </c>
      <c r="Q1373" t="str">
        <f>LEFT(B1373, 2)</f>
        <v>HP</v>
      </c>
      <c r="R1373" t="str">
        <f t="shared" si="86"/>
        <v>Intel Core i7 (12th Gen)</v>
      </c>
      <c r="S1373" t="str">
        <f t="shared" si="85"/>
        <v>16 GB</v>
      </c>
    </row>
    <row r="1374" spans="1:19">
      <c r="A1374" t="str">
        <f>LEFT(B1374, LEN(B1374)-15)</f>
        <v>Acer Chromebook Plus CB514-4H (NX.KUTSI.002) Laptop (Core i3 12th Gen/8 GB/256 GB SSD/Google Chrome)</v>
      </c>
      <c r="B1374" t="s">
        <v>1988</v>
      </c>
      <c r="C1374" s="1">
        <v>18990</v>
      </c>
      <c r="D1374" s="1">
        <v>863</v>
      </c>
      <c r="E1374" s="2">
        <v>76</v>
      </c>
      <c r="F1374" s="2" t="str" cm="1">
        <f t="array" ref="F1374">_xlfn.IFS(AND(101&gt;E1374, E1374&gt;69), "Top-Tier", AND(70&gt;E1374, E1374&gt;39), "Mid-Tier", 40&gt;E1374, "Low-Tier")</f>
        <v>Top-Tier</v>
      </c>
      <c r="G1374" s="4">
        <v>45474</v>
      </c>
      <c r="H1374" t="s">
        <v>1982</v>
      </c>
      <c r="I1374" t="s">
        <v>735</v>
      </c>
      <c r="J1374" t="s">
        <v>239</v>
      </c>
      <c r="K1374" t="s">
        <v>1989</v>
      </c>
      <c r="L1374" t="s">
        <v>24</v>
      </c>
      <c r="M1374" t="s">
        <v>222</v>
      </c>
      <c r="P1374" s="3">
        <v>78</v>
      </c>
      <c r="Q1374" t="str">
        <f>LEFT(B1374, 4)</f>
        <v>Acer</v>
      </c>
      <c r="R1374" t="str">
        <f t="shared" si="86"/>
        <v>Intel Core i7 (12th Gen)</v>
      </c>
      <c r="S1374" t="str">
        <f t="shared" si="85"/>
        <v xml:space="preserve">8 GB </v>
      </c>
    </row>
    <row r="1375" spans="1:19">
      <c r="A1375" t="str">
        <f>LEFT(B1375, LEN(B1375)-15)</f>
        <v>Samsung Galaxy Book 4 Pro NP940XGK-LG3IN Laptop (Core Ultra 7/32 GB/1 TB SSD/Windows 11)</v>
      </c>
      <c r="B1375" t="s">
        <v>1990</v>
      </c>
      <c r="C1375" s="1">
        <v>171990</v>
      </c>
      <c r="D1375" s="1">
        <v>21</v>
      </c>
      <c r="E1375" s="2">
        <v>76</v>
      </c>
      <c r="F1375" s="2" t="str" cm="1">
        <f t="array" ref="F1375">_xlfn.IFS(AND(101&gt;E1375, E1375&gt;69), "Top-Tier", AND(70&gt;E1375, E1375&gt;39), "Mid-Tier", 40&gt;E1375, "Low-Tier")</f>
        <v>Top-Tier</v>
      </c>
      <c r="G1375" s="4">
        <v>45474</v>
      </c>
      <c r="H1375" t="s">
        <v>1982</v>
      </c>
      <c r="I1375" t="s">
        <v>33</v>
      </c>
      <c r="J1375" t="s">
        <v>58</v>
      </c>
      <c r="K1375" t="s">
        <v>450</v>
      </c>
      <c r="L1375" t="s">
        <v>24</v>
      </c>
      <c r="M1375" t="s">
        <v>451</v>
      </c>
      <c r="N1375" t="s">
        <v>31</v>
      </c>
      <c r="P1375" s="3">
        <v>87</v>
      </c>
      <c r="Q1375" t="str">
        <f>LEFT(B1375, 7)</f>
        <v>Samsung</v>
      </c>
      <c r="R1375" t="str">
        <f t="shared" si="86"/>
        <v>Intel Core i7 (12th Gen)</v>
      </c>
      <c r="S1375" t="str">
        <f t="shared" si="85"/>
        <v>32 GB</v>
      </c>
    </row>
    <row r="1376" spans="1:19">
      <c r="A1376" t="str">
        <f>LEFT(B1376, LEN(B1376)-15)</f>
        <v>Acer Aspire Lite AL15-52 (UN.431SI.361) Laptop (Core i5 12th Gen/16 GB/1 TB SSD/Windows 11)</v>
      </c>
      <c r="B1376" t="s">
        <v>1991</v>
      </c>
      <c r="C1376" s="1">
        <v>49990</v>
      </c>
      <c r="D1376" s="1">
        <v>236</v>
      </c>
      <c r="E1376" s="2">
        <v>76</v>
      </c>
      <c r="F1376" s="2" t="str" cm="1">
        <f t="array" ref="F1376">_xlfn.IFS(AND(101&gt;E1376, E1376&gt;69), "Top-Tier", AND(70&gt;E1376, E1376&gt;39), "Mid-Tier", 40&gt;E1376, "Low-Tier")</f>
        <v>Top-Tier</v>
      </c>
      <c r="G1376" s="4">
        <v>45597</v>
      </c>
      <c r="H1376" t="s">
        <v>1982</v>
      </c>
      <c r="I1376" t="s">
        <v>33</v>
      </c>
      <c r="J1376" t="s">
        <v>184</v>
      </c>
      <c r="K1376" t="s">
        <v>741</v>
      </c>
      <c r="L1376" t="s">
        <v>24</v>
      </c>
      <c r="M1376" t="s">
        <v>52</v>
      </c>
      <c r="N1376" t="s">
        <v>31</v>
      </c>
      <c r="P1376" s="3">
        <v>75</v>
      </c>
      <c r="Q1376" t="str">
        <f>LEFT(B1376, 4)</f>
        <v>Acer</v>
      </c>
      <c r="R1376" t="str">
        <f t="shared" si="86"/>
        <v>Intel Core i7 (12th Gen)</v>
      </c>
      <c r="S1376" t="str">
        <f t="shared" si="85"/>
        <v>16 GB</v>
      </c>
    </row>
    <row r="1377" spans="1:19">
      <c r="A1377" t="str">
        <f>LEFT(B1377, LEN(B1377)-15)</f>
        <v>Lenovo Ideapad Slim 3i (81WE00S2IN) Laptop (Core i3 10th Gen/4 GB/1 TB/DOS)</v>
      </c>
      <c r="B1377" t="s">
        <v>1992</v>
      </c>
      <c r="C1377" s="1">
        <v>29990</v>
      </c>
      <c r="D1377" s="1">
        <v>558</v>
      </c>
      <c r="E1377" s="2">
        <v>76</v>
      </c>
      <c r="F1377" s="2" t="str" cm="1">
        <f t="array" ref="F1377">_xlfn.IFS(AND(101&gt;E1377, E1377&gt;69), "Top-Tier", AND(70&gt;E1377, E1377&gt;39), "Mid-Tier", 40&gt;E1377, "Low-Tier")</f>
        <v>Top-Tier</v>
      </c>
      <c r="G1377" s="4">
        <v>44075</v>
      </c>
      <c r="H1377" t="s">
        <v>1982</v>
      </c>
      <c r="I1377" t="s">
        <v>124</v>
      </c>
      <c r="J1377" t="s">
        <v>542</v>
      </c>
      <c r="K1377" t="s">
        <v>705</v>
      </c>
      <c r="L1377" t="s">
        <v>24</v>
      </c>
      <c r="M1377" t="s">
        <v>52</v>
      </c>
      <c r="N1377" t="s">
        <v>31</v>
      </c>
      <c r="Q1377" t="str">
        <f>LEFT(B1377, 6)</f>
        <v>Lenovo</v>
      </c>
      <c r="R1377" t="str">
        <f t="shared" si="86"/>
        <v>Intel Core i7 (12th Gen)</v>
      </c>
      <c r="S1377" t="str">
        <f t="shared" si="85"/>
        <v xml:space="preserve">4 GB </v>
      </c>
    </row>
    <row r="1378" spans="1:19">
      <c r="A1378" t="str">
        <f>LEFT(B1378, LEN(B1378)-15)</f>
        <v>HP 15-fd0465TU (B61ZFPA) Laptop (Core i3/8 GB/512 GB SSD/Windows 11)</v>
      </c>
      <c r="B1378" t="s">
        <v>1993</v>
      </c>
      <c r="C1378" s="1">
        <v>39990</v>
      </c>
      <c r="D1378" s="1">
        <v>118</v>
      </c>
      <c r="E1378" s="2">
        <v>76</v>
      </c>
      <c r="F1378" s="2" t="str" cm="1">
        <f t="array" ref="F1378">_xlfn.IFS(AND(101&gt;E1378, E1378&gt;69), "Top-Tier", AND(70&gt;E1378, E1378&gt;39), "Mid-Tier", 40&gt;E1378, "Low-Tier")</f>
        <v>Top-Tier</v>
      </c>
      <c r="G1378" s="4">
        <v>45658</v>
      </c>
      <c r="H1378" t="s">
        <v>1982</v>
      </c>
      <c r="I1378" t="s">
        <v>33</v>
      </c>
      <c r="J1378" t="s">
        <v>50</v>
      </c>
      <c r="K1378" t="s">
        <v>51</v>
      </c>
      <c r="L1378" t="s">
        <v>24</v>
      </c>
      <c r="M1378" t="s">
        <v>99</v>
      </c>
      <c r="N1378" t="s">
        <v>31</v>
      </c>
      <c r="P1378" s="3">
        <v>78</v>
      </c>
      <c r="Q1378" t="str">
        <f>LEFT(B1378, 2)</f>
        <v>HP</v>
      </c>
      <c r="R1378" t="str">
        <f t="shared" si="86"/>
        <v>Intel Core i7 (12th Gen)</v>
      </c>
      <c r="S1378" t="str">
        <f t="shared" si="85"/>
        <v xml:space="preserve">8 GB </v>
      </c>
    </row>
    <row r="1379" spans="1:19">
      <c r="A1379" t="str">
        <f>LEFT(B1379, LEN(B1379)-15)</f>
        <v>Samsung Galaxy Book 4 Pro NP940XGK-KG3IN Laptop (Core Ultra 7/32 GB/1 TB SSD/Windows 11)</v>
      </c>
      <c r="B1379" t="s">
        <v>1994</v>
      </c>
      <c r="C1379" s="1">
        <v>171990</v>
      </c>
      <c r="D1379" s="1">
        <v>21</v>
      </c>
      <c r="E1379" s="2">
        <v>76</v>
      </c>
      <c r="F1379" s="2" t="str" cm="1">
        <f t="array" ref="F1379">_xlfn.IFS(AND(101&gt;E1379, E1379&gt;69), "Top-Tier", AND(70&gt;E1379, E1379&gt;39), "Mid-Tier", 40&gt;E1379, "Low-Tier")</f>
        <v>Top-Tier</v>
      </c>
      <c r="G1379" s="4">
        <v>45323</v>
      </c>
      <c r="H1379" t="s">
        <v>1982</v>
      </c>
      <c r="I1379" t="s">
        <v>33</v>
      </c>
      <c r="J1379" t="s">
        <v>58</v>
      </c>
      <c r="K1379" t="s">
        <v>450</v>
      </c>
      <c r="L1379" t="s">
        <v>24</v>
      </c>
      <c r="M1379" t="s">
        <v>451</v>
      </c>
      <c r="N1379" t="s">
        <v>31</v>
      </c>
      <c r="P1379" s="3">
        <v>87</v>
      </c>
      <c r="Q1379" t="str">
        <f>LEFT(B1379, 7)</f>
        <v>Samsung</v>
      </c>
      <c r="R1379" t="str">
        <f t="shared" si="86"/>
        <v>Intel Core i7 (12th Gen)</v>
      </c>
      <c r="S1379" t="str">
        <f t="shared" si="85"/>
        <v>32 GB</v>
      </c>
    </row>
    <row r="1380" spans="1:19">
      <c r="A1380" t="str">
        <f>LEFT(B1380, LEN(B1380)-15)</f>
        <v>HP Pavilion 15-eh3036AU Laptop (AMD Hexa Core Ryzen 5/8 GB/512 GB SSD/Windows 11)</v>
      </c>
      <c r="B1380" t="s">
        <v>1995</v>
      </c>
      <c r="C1380" s="1">
        <v>55761</v>
      </c>
      <c r="D1380" s="1">
        <v>87</v>
      </c>
      <c r="E1380" s="2">
        <v>76</v>
      </c>
      <c r="F1380" s="2" t="str" cm="1">
        <f t="array" ref="F1380">_xlfn.IFS(AND(101&gt;E1380, E1380&gt;69), "Top-Tier", AND(70&gt;E1380, E1380&gt;39), "Mid-Tier", 40&gt;E1380, "Low-Tier")</f>
        <v>Top-Tier</v>
      </c>
      <c r="G1380" s="4">
        <v>45597</v>
      </c>
      <c r="H1380" t="s">
        <v>1982</v>
      </c>
      <c r="I1380" t="s">
        <v>33</v>
      </c>
      <c r="J1380" t="s">
        <v>50</v>
      </c>
      <c r="K1380" t="s">
        <v>249</v>
      </c>
      <c r="L1380" t="s">
        <v>24</v>
      </c>
      <c r="M1380" t="s">
        <v>74</v>
      </c>
      <c r="N1380" t="s">
        <v>31</v>
      </c>
      <c r="P1380" s="3">
        <v>74</v>
      </c>
      <c r="Q1380" t="str">
        <f>LEFT(B1380, 2)</f>
        <v>HP</v>
      </c>
      <c r="R1380" t="str">
        <f t="shared" si="86"/>
        <v>Intel Core i7 (12th Gen)</v>
      </c>
      <c r="S1380" t="str">
        <f t="shared" si="85"/>
        <v xml:space="preserve">8 GB </v>
      </c>
    </row>
    <row r="1381" spans="1:19">
      <c r="A1381" t="str">
        <f>LEFT(B1381, LEN(B1381)-15)</f>
        <v>HP Pavilion x360 14-ek1149TU (B6PA2PA) Laptop (Core i5 13th Gen/16 GB/1 TB SSD/Windows 11)</v>
      </c>
      <c r="B1381" t="s">
        <v>1996</v>
      </c>
      <c r="C1381" s="1">
        <v>78990</v>
      </c>
      <c r="D1381" s="1">
        <v>100</v>
      </c>
      <c r="E1381" s="2">
        <v>76</v>
      </c>
      <c r="F1381" s="2" t="str" cm="1">
        <f t="array" ref="F1381">_xlfn.IFS(AND(101&gt;E1381, E1381&gt;69), "Top-Tier", AND(70&gt;E1381, E1381&gt;39), "Mid-Tier", 40&gt;E1381, "Low-Tier")</f>
        <v>Top-Tier</v>
      </c>
      <c r="G1381" s="4">
        <v>45689</v>
      </c>
      <c r="H1381" t="s">
        <v>1997</v>
      </c>
      <c r="I1381" t="s">
        <v>33</v>
      </c>
      <c r="J1381" t="s">
        <v>184</v>
      </c>
      <c r="K1381" t="s">
        <v>149</v>
      </c>
      <c r="L1381" t="s">
        <v>24</v>
      </c>
      <c r="M1381" t="s">
        <v>122</v>
      </c>
      <c r="N1381" t="s">
        <v>31</v>
      </c>
      <c r="P1381" s="3">
        <v>81</v>
      </c>
      <c r="Q1381" t="str">
        <f>LEFT(B1381, 2)</f>
        <v>HP</v>
      </c>
      <c r="R1381" t="str">
        <f t="shared" si="86"/>
        <v>Intel Core i7 (12th Gen)</v>
      </c>
      <c r="S1381" t="str">
        <f t="shared" si="85"/>
        <v>16 GB</v>
      </c>
    </row>
    <row r="1382" spans="1:19">
      <c r="A1382" t="str">
        <f>LEFT(B1382, LEN(B1382)-15)</f>
        <v>Lenovo IdeaPad Slim 1i 15IGL7 Gen 7 (82V700L2IN) Laptop (Celeron Dual Core/8 GB/512 GB SSD/Windows 11)</v>
      </c>
      <c r="B1382" t="s">
        <v>1998</v>
      </c>
      <c r="C1382" s="1">
        <v>24190</v>
      </c>
      <c r="D1382" s="1">
        <v>20</v>
      </c>
      <c r="E1382" s="2">
        <v>76</v>
      </c>
      <c r="F1382" s="2" t="str" cm="1">
        <f t="array" ref="F1382">_xlfn.IFS(AND(101&gt;E1382, E1382&gt;69), "Top-Tier", AND(70&gt;E1382, E1382&gt;39), "Mid-Tier", 40&gt;E1382, "Low-Tier")</f>
        <v>Top-Tier</v>
      </c>
      <c r="G1382" s="4">
        <v>45658</v>
      </c>
      <c r="H1382" t="s">
        <v>1997</v>
      </c>
      <c r="I1382" t="s">
        <v>33</v>
      </c>
      <c r="J1382" t="s">
        <v>50</v>
      </c>
      <c r="K1382" t="s">
        <v>1999</v>
      </c>
      <c r="L1382" t="s">
        <v>24</v>
      </c>
      <c r="M1382" t="s">
        <v>95</v>
      </c>
      <c r="N1382" t="s">
        <v>31</v>
      </c>
      <c r="Q1382" t="str">
        <f>LEFT(B1382, 6)</f>
        <v>Lenovo</v>
      </c>
      <c r="R1382" t="str">
        <f t="shared" si="86"/>
        <v>Intel Core i7 (12th Gen)</v>
      </c>
      <c r="S1382" t="str">
        <f t="shared" si="85"/>
        <v xml:space="preserve">8 GB </v>
      </c>
    </row>
    <row r="1383" spans="1:19">
      <c r="A1383" t="str">
        <f>LEFT(B1383, LEN(B1383)-15)</f>
        <v>Asus VivoBook S15 OLED S5504VA-MA941WS Laptop (Core i9 13th Gen/16 GB/512 GB SSD/Windows 11)</v>
      </c>
      <c r="B1383" t="s">
        <v>2000</v>
      </c>
      <c r="C1383" s="1">
        <v>94990</v>
      </c>
      <c r="D1383" s="1">
        <v>46</v>
      </c>
      <c r="E1383" s="2">
        <v>76</v>
      </c>
      <c r="F1383" s="2" t="str" cm="1">
        <f t="array" ref="F1383">_xlfn.IFS(AND(101&gt;E1383, E1383&gt;69), "Top-Tier", AND(70&gt;E1383, E1383&gt;39), "Mid-Tier", 40&gt;E1383, "Low-Tier")</f>
        <v>Top-Tier</v>
      </c>
      <c r="G1383" s="4">
        <v>45505</v>
      </c>
      <c r="H1383" t="s">
        <v>1997</v>
      </c>
      <c r="I1383" t="s">
        <v>33</v>
      </c>
      <c r="J1383" t="s">
        <v>121</v>
      </c>
      <c r="K1383" t="s">
        <v>43</v>
      </c>
      <c r="L1383" t="s">
        <v>24</v>
      </c>
      <c r="M1383" t="s">
        <v>95</v>
      </c>
      <c r="N1383" t="s">
        <v>31</v>
      </c>
      <c r="P1383" s="3">
        <v>84</v>
      </c>
      <c r="Q1383" t="str">
        <f>LEFT(B1383, 4)</f>
        <v>Asus</v>
      </c>
      <c r="R1383" t="str">
        <f t="shared" si="86"/>
        <v>Intel Core i7 (12th Gen)</v>
      </c>
      <c r="S1383" t="str">
        <f t="shared" si="85"/>
        <v>16 GB</v>
      </c>
    </row>
    <row r="1384" spans="1:19">
      <c r="A1384" t="str">
        <f>LEFT(B1384, LEN(B1384)-15)</f>
        <v>Dell Inspiron 14 Plus 7440 (OIN74402204A1RINU1) Laptop (Core Ultra 7/16 GB/1 TB SSD/Windows 11)</v>
      </c>
      <c r="B1384" t="s">
        <v>2001</v>
      </c>
      <c r="C1384" s="1">
        <v>98290</v>
      </c>
      <c r="D1384" s="1">
        <v>28</v>
      </c>
      <c r="E1384" s="2">
        <v>76</v>
      </c>
      <c r="F1384" s="2" t="str" cm="1">
        <f t="array" ref="F1384">_xlfn.IFS(AND(101&gt;E1384, E1384&gt;69), "Top-Tier", AND(70&gt;E1384, E1384&gt;39), "Mid-Tier", 40&gt;E1384, "Low-Tier")</f>
        <v>Top-Tier</v>
      </c>
      <c r="G1384" s="4">
        <v>45566</v>
      </c>
      <c r="H1384" t="s">
        <v>1997</v>
      </c>
      <c r="I1384" t="s">
        <v>33</v>
      </c>
      <c r="J1384" t="s">
        <v>42</v>
      </c>
      <c r="K1384" t="s">
        <v>104</v>
      </c>
      <c r="L1384" t="s">
        <v>24</v>
      </c>
      <c r="M1384" t="s">
        <v>122</v>
      </c>
      <c r="N1384" t="s">
        <v>31</v>
      </c>
      <c r="P1384" s="3">
        <v>85</v>
      </c>
      <c r="Q1384" t="str">
        <f>LEFT(B1384, 4)</f>
        <v>Dell</v>
      </c>
      <c r="R1384" t="str">
        <f t="shared" si="86"/>
        <v>Intel Core i7 (12th Gen)</v>
      </c>
      <c r="S1384" t="str">
        <f t="shared" si="85"/>
        <v>16 GB</v>
      </c>
    </row>
    <row r="1385" spans="1:19">
      <c r="A1385" t="str">
        <f>LEFT(B1385, LEN(B1385)-15)</f>
        <v>Dell Inspiron 14 5409 (D560374WIN9PE) Laptop (Core i7 11th Gen/8 GB/512 GB SSD/Windows 10/2 GB)</v>
      </c>
      <c r="B1385" t="s">
        <v>2002</v>
      </c>
      <c r="C1385" s="1">
        <v>77850</v>
      </c>
      <c r="D1385" s="1">
        <v>32</v>
      </c>
      <c r="E1385" s="2">
        <v>76</v>
      </c>
      <c r="F1385" s="2" t="str" cm="1">
        <f t="array" ref="F1385">_xlfn.IFS(AND(101&gt;E1385, E1385&gt;69), "Top-Tier", AND(70&gt;E1385, E1385&gt;39), "Mid-Tier", 40&gt;E1385, "Low-Tier")</f>
        <v>Top-Tier</v>
      </c>
      <c r="G1385" s="4">
        <v>44197</v>
      </c>
      <c r="H1385" t="s">
        <v>1997</v>
      </c>
      <c r="I1385" t="s">
        <v>248</v>
      </c>
      <c r="J1385" t="s">
        <v>50</v>
      </c>
      <c r="K1385" t="s">
        <v>439</v>
      </c>
      <c r="L1385" t="s">
        <v>24</v>
      </c>
      <c r="M1385" t="s">
        <v>74</v>
      </c>
      <c r="N1385" t="s">
        <v>31</v>
      </c>
      <c r="P1385" s="3">
        <v>74</v>
      </c>
      <c r="Q1385" t="str">
        <f>LEFT(B1385, 4)</f>
        <v>Dell</v>
      </c>
      <c r="R1385" t="str">
        <f t="shared" si="86"/>
        <v>Intel Core i7 (12th Gen)</v>
      </c>
      <c r="S1385" t="str">
        <f t="shared" si="85"/>
        <v xml:space="preserve">8 GB </v>
      </c>
    </row>
    <row r="1386" spans="1:19">
      <c r="A1386" t="str">
        <f>LEFT(B1386, LEN(B1386)-15)</f>
        <v>Asus Vivobook 14 Flip OLED TP3407SA-QL024WS Laptop (Core Ultra 5/16 GB/512 GB SSD/Windows 11)</v>
      </c>
      <c r="B1386" t="s">
        <v>2003</v>
      </c>
      <c r="C1386" s="1">
        <v>91990</v>
      </c>
      <c r="D1386" s="1">
        <v>6</v>
      </c>
      <c r="E1386" s="2">
        <v>76</v>
      </c>
      <c r="F1386" s="2" t="str" cm="1">
        <f t="array" ref="F1386">_xlfn.IFS(AND(101&gt;E1386, E1386&gt;69), "Top-Tier", AND(70&gt;E1386, E1386&gt;39), "Mid-Tier", 40&gt;E1386, "Low-Tier")</f>
        <v>Top-Tier</v>
      </c>
      <c r="G1386" s="4">
        <v>45689</v>
      </c>
      <c r="H1386" t="s">
        <v>1997</v>
      </c>
      <c r="I1386" t="s">
        <v>33</v>
      </c>
      <c r="J1386" t="s">
        <v>63</v>
      </c>
      <c r="K1386" t="s">
        <v>59</v>
      </c>
      <c r="L1386" t="s">
        <v>24</v>
      </c>
      <c r="M1386" t="s">
        <v>2004</v>
      </c>
      <c r="N1386" t="s">
        <v>31</v>
      </c>
      <c r="Q1386" t="str">
        <f>LEFT(B1386, 4)</f>
        <v>Asus</v>
      </c>
      <c r="R1386" t="str">
        <f t="shared" si="86"/>
        <v>Intel Core i7 (12th Gen)</v>
      </c>
      <c r="S1386" t="str">
        <f t="shared" si="85"/>
        <v>16 GB</v>
      </c>
    </row>
    <row r="1387" spans="1:19">
      <c r="A1387" t="str">
        <f>LEFT(B1387, LEN(B1387)-15)</f>
        <v>Asus VivoBook 15 X1504VA-NJ322WS Laptop (Core i3 13th Gen/8 GB/512 GB SSD/Windows 11)</v>
      </c>
      <c r="B1387" t="s">
        <v>2005</v>
      </c>
      <c r="C1387" s="1">
        <v>35990</v>
      </c>
      <c r="D1387" s="1">
        <v>356</v>
      </c>
      <c r="E1387" s="2">
        <v>76</v>
      </c>
      <c r="F1387" s="2" t="str" cm="1">
        <f t="array" ref="F1387">_xlfn.IFS(AND(101&gt;E1387, E1387&gt;69), "Top-Tier", AND(70&gt;E1387, E1387&gt;39), "Mid-Tier", 40&gt;E1387, "Low-Tier")</f>
        <v>Top-Tier</v>
      </c>
      <c r="G1387" s="4">
        <v>45017</v>
      </c>
      <c r="H1387" t="s">
        <v>1997</v>
      </c>
      <c r="I1387" t="s">
        <v>33</v>
      </c>
      <c r="J1387" t="s">
        <v>50</v>
      </c>
      <c r="K1387" t="s">
        <v>159</v>
      </c>
      <c r="L1387" t="s">
        <v>24</v>
      </c>
      <c r="M1387" t="s">
        <v>95</v>
      </c>
      <c r="N1387" t="s">
        <v>31</v>
      </c>
      <c r="P1387" s="3">
        <v>77</v>
      </c>
      <c r="Q1387" t="str">
        <f>LEFT(B1387, 4)</f>
        <v>Asus</v>
      </c>
      <c r="R1387" t="str">
        <f t="shared" si="86"/>
        <v>Intel Core i7 (12th Gen)</v>
      </c>
      <c r="S1387" t="str">
        <f t="shared" si="85"/>
        <v xml:space="preserve">8 GB </v>
      </c>
    </row>
    <row r="1388" spans="1:19">
      <c r="A1388" t="str">
        <f>LEFT(B1388, LEN(B1388)-15)</f>
        <v>Dell Inspiron 15 3520 (IN3520KMJ5V001ORS1) Laptop (Core i5 12th Gen/16 GB/512 GB SSD/Windows 11)</v>
      </c>
      <c r="B1388" t="s">
        <v>2006</v>
      </c>
      <c r="C1388" s="1">
        <v>50990</v>
      </c>
      <c r="D1388" s="1">
        <v>66</v>
      </c>
      <c r="E1388" s="2">
        <v>76</v>
      </c>
      <c r="F1388" s="2" t="str" cm="1">
        <f t="array" ref="F1388">_xlfn.IFS(AND(101&gt;E1388, E1388&gt;69), "Top-Tier", AND(70&gt;E1388, E1388&gt;39), "Mid-Tier", 40&gt;E1388, "Low-Tier")</f>
        <v>Top-Tier</v>
      </c>
      <c r="G1388" s="4">
        <v>45627</v>
      </c>
      <c r="H1388" t="s">
        <v>1997</v>
      </c>
      <c r="I1388" t="s">
        <v>33</v>
      </c>
      <c r="J1388" t="s">
        <v>34</v>
      </c>
      <c r="K1388" t="s">
        <v>51</v>
      </c>
      <c r="L1388" t="s">
        <v>24</v>
      </c>
      <c r="M1388" t="s">
        <v>237</v>
      </c>
      <c r="N1388" t="s">
        <v>31</v>
      </c>
      <c r="P1388" s="3">
        <v>74</v>
      </c>
      <c r="Q1388" t="str">
        <f>LEFT(B1388, 4)</f>
        <v>Dell</v>
      </c>
      <c r="R1388" t="str">
        <f t="shared" si="86"/>
        <v>Intel Core i7 (12th Gen)</v>
      </c>
      <c r="S1388" t="str">
        <f t="shared" si="85"/>
        <v>16 GB</v>
      </c>
    </row>
    <row r="1389" spans="1:19">
      <c r="A1389" t="str">
        <f>LEFT(B1389, LEN(B1389)-15)</f>
        <v>Avita NS12T5IN001P Laptop (Celeron Dual Core/4 GB/64 GB SSD/Windows 10)</v>
      </c>
      <c r="B1389" t="s">
        <v>2007</v>
      </c>
      <c r="C1389" s="1">
        <v>15871</v>
      </c>
      <c r="D1389" s="1">
        <v>3302</v>
      </c>
      <c r="E1389" s="2">
        <v>76</v>
      </c>
      <c r="F1389" s="2" t="str" cm="1">
        <f t="array" ref="F1389">_xlfn.IFS(AND(101&gt;E1389, E1389&gt;69), "Top-Tier", AND(70&gt;E1389, E1389&gt;39), "Mid-Tier", 40&gt;E1389, "Low-Tier")</f>
        <v>Top-Tier</v>
      </c>
      <c r="G1389" s="4">
        <v>43586</v>
      </c>
      <c r="H1389" t="s">
        <v>1997</v>
      </c>
      <c r="I1389" t="s">
        <v>248</v>
      </c>
      <c r="J1389" t="s">
        <v>2008</v>
      </c>
      <c r="K1389" t="s">
        <v>2009</v>
      </c>
      <c r="L1389" t="s">
        <v>24</v>
      </c>
      <c r="M1389" t="s">
        <v>968</v>
      </c>
      <c r="N1389" t="s">
        <v>31</v>
      </c>
      <c r="O1389" t="s">
        <v>261</v>
      </c>
      <c r="Q1389" t="str">
        <f>LEFT(B1389, 5)</f>
        <v>Avita</v>
      </c>
      <c r="R1389" t="str">
        <f t="shared" si="86"/>
        <v>Intel Core i7 (12th Gen)</v>
      </c>
      <c r="S1389" t="str">
        <f t="shared" si="85"/>
        <v xml:space="preserve">4 GB </v>
      </c>
    </row>
    <row r="1390" spans="1:19">
      <c r="A1390" t="str">
        <f>LEFT(B1390, LEN(B1390)-15)</f>
        <v>Acer Swift 3 SF315-51-50B5 (NX.GSKSI.003) Laptop (Core i5 8th Gen/8 GB/1 TB/Linux)</v>
      </c>
      <c r="B1390" t="s">
        <v>2010</v>
      </c>
      <c r="C1390" s="1">
        <v>50990</v>
      </c>
      <c r="D1390" s="1">
        <v>71</v>
      </c>
      <c r="E1390" s="2">
        <v>76</v>
      </c>
      <c r="F1390" s="2" t="str" cm="1">
        <f t="array" ref="F1390">_xlfn.IFS(AND(101&gt;E1390, E1390&gt;69), "Top-Tier", AND(70&gt;E1390, E1390&gt;39), "Mid-Tier", 40&gt;E1390, "Low-Tier")</f>
        <v>Top-Tier</v>
      </c>
      <c r="H1390" t="s">
        <v>1997</v>
      </c>
      <c r="I1390" t="s">
        <v>718</v>
      </c>
      <c r="J1390" t="s">
        <v>332</v>
      </c>
      <c r="K1390" t="s">
        <v>249</v>
      </c>
      <c r="L1390" t="s">
        <v>24</v>
      </c>
      <c r="M1390" t="s">
        <v>122</v>
      </c>
      <c r="N1390" t="s">
        <v>31</v>
      </c>
      <c r="O1390" t="s">
        <v>152</v>
      </c>
      <c r="Q1390" t="str">
        <f>LEFT(B1390, 4)</f>
        <v>Acer</v>
      </c>
      <c r="R1390" t="str">
        <f t="shared" si="86"/>
        <v>Intel Core i7 (12th Gen)</v>
      </c>
      <c r="S1390" t="str">
        <f t="shared" si="85"/>
        <v xml:space="preserve">8 GB </v>
      </c>
    </row>
    <row r="1391" spans="1:19">
      <c r="A1391" t="str">
        <f>LEFT(B1391, LEN(B1391)-15)</f>
        <v>Lenovo ThinkPad E14 Gen 5 (21JRS0H200) Laptop (AMD Hexa Core Ryzen 5/16 GB/1 TB SSD/Windows 11)</v>
      </c>
      <c r="B1391" t="s">
        <v>2011</v>
      </c>
      <c r="C1391" s="1">
        <v>54000</v>
      </c>
      <c r="D1391" s="1">
        <v>5</v>
      </c>
      <c r="E1391" s="2">
        <v>76</v>
      </c>
      <c r="F1391" s="2" t="str" cm="1">
        <f t="array" ref="F1391">_xlfn.IFS(AND(101&gt;E1391, E1391&gt;69), "Top-Tier", AND(70&gt;E1391, E1391&gt;39), "Mid-Tier", 40&gt;E1391, "Low-Tier")</f>
        <v>Top-Tier</v>
      </c>
      <c r="G1391" s="4">
        <v>45505</v>
      </c>
      <c r="H1391" t="s">
        <v>1997</v>
      </c>
      <c r="I1391" t="s">
        <v>33</v>
      </c>
      <c r="J1391" t="s">
        <v>184</v>
      </c>
      <c r="K1391" t="s">
        <v>94</v>
      </c>
      <c r="L1391" t="s">
        <v>24</v>
      </c>
      <c r="N1391" t="s">
        <v>31</v>
      </c>
      <c r="P1391" s="3">
        <v>74</v>
      </c>
      <c r="Q1391" t="str">
        <f>LEFT(B1391, 6)</f>
        <v>Lenovo</v>
      </c>
      <c r="R1391" t="str">
        <f t="shared" si="86"/>
        <v>Intel Core i7 (12th Gen)</v>
      </c>
      <c r="S1391" t="str">
        <f t="shared" si="85"/>
        <v>16 GB</v>
      </c>
    </row>
    <row r="1392" spans="1:19">
      <c r="A1392" t="str">
        <f>LEFT(B1392, LEN(B1392)-15)</f>
        <v>HP Pavilion TouchSmart 14 x360 14-cd0080tu (4LS22PA) Laptop (Core i5 8th Gen/8 GB/1 TB 8 GB SSD/Windows 10)</v>
      </c>
      <c r="B1392" t="s">
        <v>2012</v>
      </c>
      <c r="C1392" s="1">
        <v>65990</v>
      </c>
      <c r="D1392" s="1">
        <v>327</v>
      </c>
      <c r="E1392" s="2">
        <v>76</v>
      </c>
      <c r="F1392" s="2" t="str" cm="1">
        <f t="array" ref="F1392">_xlfn.IFS(AND(101&gt;E1392, E1392&gt;69), "Top-Tier", AND(70&gt;E1392, E1392&gt;39), "Mid-Tier", 40&gt;E1392, "Low-Tier")</f>
        <v>Top-Tier</v>
      </c>
      <c r="H1392" t="s">
        <v>1997</v>
      </c>
      <c r="I1392" t="s">
        <v>248</v>
      </c>
      <c r="J1392" t="s">
        <v>332</v>
      </c>
      <c r="K1392" t="s">
        <v>439</v>
      </c>
      <c r="L1392" t="s">
        <v>24</v>
      </c>
      <c r="M1392" t="s">
        <v>864</v>
      </c>
      <c r="N1392" t="s">
        <v>31</v>
      </c>
      <c r="Q1392" t="str">
        <f>LEFT(B1392, 2)</f>
        <v>HP</v>
      </c>
      <c r="R1392" t="str">
        <f t="shared" si="86"/>
        <v>Intel Core i7 (12th Gen)</v>
      </c>
      <c r="S1392" t="str">
        <f t="shared" si="85"/>
        <v xml:space="preserve">8 GB </v>
      </c>
    </row>
    <row r="1393" spans="1:19">
      <c r="A1393" t="str">
        <f>LEFT(B1393, LEN(B1393)-15)</f>
        <v>HP 14-GR1022TU (A4VJ0PA) Laptop (Core Ultra 5/16 GB/512 GB SSD/Windows 11)</v>
      </c>
      <c r="B1393" t="s">
        <v>2013</v>
      </c>
      <c r="C1393" s="1">
        <v>67990</v>
      </c>
      <c r="D1393" s="1">
        <v>36</v>
      </c>
      <c r="E1393" s="2">
        <v>76</v>
      </c>
      <c r="F1393" s="2" t="str" cm="1">
        <f t="array" ref="F1393">_xlfn.IFS(AND(101&gt;E1393, E1393&gt;69), "Top-Tier", AND(70&gt;E1393, E1393&gt;39), "Mid-Tier", 40&gt;E1393, "Low-Tier")</f>
        <v>Top-Tier</v>
      </c>
      <c r="G1393" s="4">
        <v>45474</v>
      </c>
      <c r="H1393" t="s">
        <v>1997</v>
      </c>
      <c r="I1393" t="s">
        <v>33</v>
      </c>
      <c r="J1393" t="s">
        <v>54</v>
      </c>
      <c r="K1393" t="s">
        <v>149</v>
      </c>
      <c r="L1393" t="s">
        <v>24</v>
      </c>
      <c r="N1393" t="s">
        <v>31</v>
      </c>
      <c r="P1393" s="3">
        <v>83</v>
      </c>
      <c r="Q1393" t="str">
        <f>LEFT(B1393, 2)</f>
        <v>HP</v>
      </c>
      <c r="R1393" t="str">
        <f t="shared" si="86"/>
        <v>Intel Core i7 (12th Gen)</v>
      </c>
      <c r="S1393" t="str">
        <f t="shared" si="85"/>
        <v>16 GB</v>
      </c>
    </row>
    <row r="1394" spans="1:19">
      <c r="A1394" t="str">
        <f>LEFT(B1394, LEN(B1394)-15)</f>
        <v>Lenovo IdeaPad Gaming 3 15ARH7 (82SB00QSIN) Laptop (AMD Octa Core Ryzen 7/16 GB/512 GB SSD/Windows 11/6 GB)</v>
      </c>
      <c r="B1394" t="s">
        <v>2014</v>
      </c>
      <c r="C1394" s="1">
        <v>76000</v>
      </c>
      <c r="D1394" s="1">
        <v>58</v>
      </c>
      <c r="E1394" s="2">
        <v>76</v>
      </c>
      <c r="F1394" s="2" t="str" cm="1">
        <f t="array" ref="F1394">_xlfn.IFS(AND(101&gt;E1394, E1394&gt;69), "Top-Tier", AND(70&gt;E1394, E1394&gt;39), "Mid-Tier", 40&gt;E1394, "Low-Tier")</f>
        <v>Top-Tier</v>
      </c>
      <c r="G1394" s="4">
        <v>45474</v>
      </c>
      <c r="H1394" t="s">
        <v>1997</v>
      </c>
      <c r="I1394" t="s">
        <v>33</v>
      </c>
      <c r="J1394" t="s">
        <v>54</v>
      </c>
      <c r="K1394" t="s">
        <v>51</v>
      </c>
      <c r="L1394" t="s">
        <v>24</v>
      </c>
      <c r="M1394" t="s">
        <v>738</v>
      </c>
      <c r="N1394" t="s">
        <v>31</v>
      </c>
      <c r="P1394" s="3">
        <v>87</v>
      </c>
      <c r="Q1394" t="str">
        <f>LEFT(B1394, 6)</f>
        <v>Lenovo</v>
      </c>
      <c r="R1394" t="str">
        <f t="shared" si="86"/>
        <v>Intel Core i7 (12th Gen)</v>
      </c>
      <c r="S1394" t="str">
        <f t="shared" si="85"/>
        <v>16 GB</v>
      </c>
    </row>
    <row r="1395" spans="1:19">
      <c r="A1395" t="str">
        <f>LEFT(B1395, LEN(B1395)-15)</f>
        <v>Lenovo IdeaPad 14IGL7 (82V6009HIN) Laptop (Intel Celeron Dual Core/8 GB/512 GB SSD/Windows 11)</v>
      </c>
      <c r="B1395" t="s">
        <v>2015</v>
      </c>
      <c r="C1395" s="1">
        <v>24620</v>
      </c>
      <c r="D1395" s="1">
        <v>614</v>
      </c>
      <c r="E1395" s="2">
        <v>76</v>
      </c>
      <c r="F1395" s="2" t="str" cm="1">
        <f t="array" ref="F1395">_xlfn.IFS(AND(101&gt;E1395, E1395&gt;69), "Top-Tier", AND(70&gt;E1395, E1395&gt;39), "Mid-Tier", 40&gt;E1395, "Low-Tier")</f>
        <v>Top-Tier</v>
      </c>
      <c r="G1395" s="4">
        <v>45444</v>
      </c>
      <c r="H1395" t="s">
        <v>1997</v>
      </c>
      <c r="I1395" t="s">
        <v>33</v>
      </c>
      <c r="J1395" t="s">
        <v>50</v>
      </c>
      <c r="K1395" t="s">
        <v>1246</v>
      </c>
      <c r="L1395" t="s">
        <v>24</v>
      </c>
      <c r="M1395" t="s">
        <v>95</v>
      </c>
      <c r="N1395" t="s">
        <v>31</v>
      </c>
      <c r="Q1395" t="str">
        <f>LEFT(B1395, 6)</f>
        <v>Lenovo</v>
      </c>
      <c r="R1395" t="str">
        <f t="shared" si="86"/>
        <v>Intel Core i7 (12th Gen)</v>
      </c>
      <c r="S1395" t="str">
        <f t="shared" si="85"/>
        <v xml:space="preserve">8 GB </v>
      </c>
    </row>
    <row r="1396" spans="1:19">
      <c r="A1396" t="str">
        <f>LEFT(B1396, LEN(B1396)-15)</f>
        <v>Asus Chromebook CX1400CKA-NK0453 Laptop (Intel Celeron Dual Core/4 GB/64 GB eMMC/Google Chrome)</v>
      </c>
      <c r="B1396" t="s">
        <v>2016</v>
      </c>
      <c r="C1396" s="1">
        <v>16490</v>
      </c>
      <c r="D1396" s="1">
        <v>2589</v>
      </c>
      <c r="E1396" s="2">
        <v>76</v>
      </c>
      <c r="F1396" s="2" t="str" cm="1">
        <f t="array" ref="F1396">_xlfn.IFS(AND(101&gt;E1396, E1396&gt;69), "Top-Tier", AND(70&gt;E1396, E1396&gt;39), "Mid-Tier", 40&gt;E1396, "Low-Tier")</f>
        <v>Top-Tier</v>
      </c>
      <c r="G1396" s="4">
        <v>45444</v>
      </c>
      <c r="H1396" t="s">
        <v>1997</v>
      </c>
      <c r="I1396" t="s">
        <v>735</v>
      </c>
      <c r="J1396" t="s">
        <v>1188</v>
      </c>
      <c r="K1396" t="s">
        <v>427</v>
      </c>
      <c r="L1396" t="s">
        <v>24</v>
      </c>
      <c r="M1396" t="s">
        <v>138</v>
      </c>
      <c r="Q1396" t="str">
        <f>LEFT(B1396, 4)</f>
        <v>Asus</v>
      </c>
      <c r="R1396" t="str">
        <f t="shared" si="86"/>
        <v>Intel Core i7 (12th Gen)</v>
      </c>
      <c r="S1396" t="str">
        <f t="shared" ref="S1396:S1456" si="87">LEFT(J1396, 5)</f>
        <v xml:space="preserve">4 GB </v>
      </c>
    </row>
    <row r="1397" spans="1:19">
      <c r="A1397" t="str">
        <f>LEFT(B1397, LEN(B1397)-15)</f>
        <v>Asus Chromebook CX1500CKA-NJ0395 Laptop (Intel Celeron Dual Core/8 GB/128 GB eMMC/Google Chrome)</v>
      </c>
      <c r="B1397" t="s">
        <v>2017</v>
      </c>
      <c r="C1397" s="1">
        <v>32990</v>
      </c>
      <c r="D1397" s="1">
        <v>2239</v>
      </c>
      <c r="E1397" s="2">
        <v>76</v>
      </c>
      <c r="F1397" s="2" t="str" cm="1">
        <f t="array" ref="F1397">_xlfn.IFS(AND(101&gt;E1397, E1397&gt;69), "Top-Tier", AND(70&gt;E1397, E1397&gt;39), "Mid-Tier", 40&gt;E1397, "Low-Tier")</f>
        <v>Top-Tier</v>
      </c>
      <c r="G1397" s="4">
        <v>45444</v>
      </c>
      <c r="H1397" t="s">
        <v>1997</v>
      </c>
      <c r="I1397" t="s">
        <v>735</v>
      </c>
      <c r="J1397" t="s">
        <v>736</v>
      </c>
      <c r="K1397" t="s">
        <v>159</v>
      </c>
      <c r="L1397" t="s">
        <v>24</v>
      </c>
      <c r="M1397" t="s">
        <v>138</v>
      </c>
      <c r="Q1397" t="str">
        <f>LEFT(B1397, 4)</f>
        <v>Asus</v>
      </c>
      <c r="R1397" t="str">
        <f t="shared" si="86"/>
        <v>Intel Core i7 (12th Gen)</v>
      </c>
      <c r="S1397" t="str">
        <f t="shared" si="87"/>
        <v xml:space="preserve">8 GB </v>
      </c>
    </row>
    <row r="1398" spans="1:19">
      <c r="A1398" t="str">
        <f>LEFT(B1398, LEN(B1398)-15)</f>
        <v>Asus Chromebook CX1500CKA-NJ0393 Laptop (Intel Celeron Dual Core/4 GB/64 GB eMMC/Google Chrome)</v>
      </c>
      <c r="B1398" t="s">
        <v>2018</v>
      </c>
      <c r="C1398" s="1">
        <v>32990</v>
      </c>
      <c r="D1398" s="1">
        <v>2261</v>
      </c>
      <c r="E1398" s="2">
        <v>76</v>
      </c>
      <c r="F1398" s="2" t="str" cm="1">
        <f t="array" ref="F1398">_xlfn.IFS(AND(101&gt;E1398, E1398&gt;69), "Top-Tier", AND(70&gt;E1398, E1398&gt;39), "Mid-Tier", 40&gt;E1398, "Low-Tier")</f>
        <v>Top-Tier</v>
      </c>
      <c r="G1398" s="4">
        <v>45444</v>
      </c>
      <c r="H1398" t="s">
        <v>1997</v>
      </c>
      <c r="I1398" t="s">
        <v>735</v>
      </c>
      <c r="J1398" t="s">
        <v>1188</v>
      </c>
      <c r="K1398" t="s">
        <v>159</v>
      </c>
      <c r="L1398" t="s">
        <v>24</v>
      </c>
      <c r="M1398" t="s">
        <v>138</v>
      </c>
      <c r="Q1398" t="str">
        <f>LEFT(B1398, 4)</f>
        <v>Asus</v>
      </c>
      <c r="R1398" t="str">
        <f t="shared" si="86"/>
        <v>Intel Core i7 (12th Gen)</v>
      </c>
      <c r="S1398" t="str">
        <f t="shared" si="87"/>
        <v xml:space="preserve">4 GB </v>
      </c>
    </row>
    <row r="1399" spans="1:19">
      <c r="A1399" t="str">
        <f>LEFT(B1399, LEN(B1399)-15)</f>
        <v>Asus VivoBook S15 OLED S5504VA-MA553WS Laptop (Core i5 13th Gen/16 GB/1 TB SSD/Windows 11)</v>
      </c>
      <c r="B1399" t="s">
        <v>2019</v>
      </c>
      <c r="C1399" s="1">
        <v>74890</v>
      </c>
      <c r="D1399" s="1">
        <v>36</v>
      </c>
      <c r="E1399" s="2">
        <v>76</v>
      </c>
      <c r="F1399" s="2" t="str" cm="1">
        <f t="array" ref="F1399">_xlfn.IFS(AND(101&gt;E1399, E1399&gt;69), "Top-Tier", AND(70&gt;E1399, E1399&gt;39), "Mid-Tier", 40&gt;E1399, "Low-Tier")</f>
        <v>Top-Tier</v>
      </c>
      <c r="G1399" s="4">
        <v>45444</v>
      </c>
      <c r="H1399" t="s">
        <v>1997</v>
      </c>
      <c r="I1399" t="s">
        <v>33</v>
      </c>
      <c r="J1399" t="s">
        <v>167</v>
      </c>
      <c r="K1399" t="s">
        <v>43</v>
      </c>
      <c r="L1399" t="s">
        <v>24</v>
      </c>
      <c r="M1399" t="s">
        <v>95</v>
      </c>
      <c r="N1399" t="s">
        <v>31</v>
      </c>
      <c r="P1399" s="3">
        <v>83</v>
      </c>
      <c r="Q1399" t="str">
        <f>LEFT(B1399, 4)</f>
        <v>Asus</v>
      </c>
      <c r="R1399" t="str">
        <f t="shared" si="86"/>
        <v>Intel Core i7 (12th Gen)</v>
      </c>
      <c r="S1399" t="str">
        <f t="shared" si="87"/>
        <v>16 GB</v>
      </c>
    </row>
    <row r="1400" spans="1:19">
      <c r="A1400" t="str">
        <f>LEFT(B1400, LEN(B1400)-15)</f>
        <v>MSI Modern 14 H D13MG-071IN Laptop (Core i9 13th Gen/16 GB/1 TB SSD/Windows 11)</v>
      </c>
      <c r="B1400" t="s">
        <v>2020</v>
      </c>
      <c r="C1400" s="1">
        <v>69550</v>
      </c>
      <c r="D1400" s="1">
        <v>5</v>
      </c>
      <c r="E1400" s="2">
        <v>76</v>
      </c>
      <c r="F1400" s="2" t="str" cm="1">
        <f t="array" ref="F1400">_xlfn.IFS(AND(101&gt;E1400, E1400&gt;69), "Top-Tier", AND(70&gt;E1400, E1400&gt;39), "Mid-Tier", 40&gt;E1400, "Low-Tier")</f>
        <v>Top-Tier</v>
      </c>
      <c r="G1400" s="4">
        <v>45352</v>
      </c>
      <c r="H1400" t="s">
        <v>1997</v>
      </c>
      <c r="I1400" t="s">
        <v>33</v>
      </c>
      <c r="J1400" t="s">
        <v>184</v>
      </c>
      <c r="K1400" t="s">
        <v>1616</v>
      </c>
      <c r="L1400" t="s">
        <v>24</v>
      </c>
      <c r="M1400" t="s">
        <v>99</v>
      </c>
      <c r="N1400" t="s">
        <v>31</v>
      </c>
      <c r="P1400" s="3">
        <v>80</v>
      </c>
      <c r="Q1400" t="str">
        <f>LEFT(B1400, 3)</f>
        <v>MSI</v>
      </c>
      <c r="R1400" t="str">
        <f t="shared" si="86"/>
        <v>Intel Core i7 (12th Gen)</v>
      </c>
      <c r="S1400" t="str">
        <f t="shared" si="87"/>
        <v>16 GB</v>
      </c>
    </row>
    <row r="1401" spans="1:19">
      <c r="A1401" t="str">
        <f>LEFT(B1401, LEN(B1401)-15)</f>
        <v>Asus Chromebook Plus CX3402CBA-PQ0173 Laptop (Core i3 12th Gen/8 GB/128 GB eMMC/Google Chrome)</v>
      </c>
      <c r="B1401" t="s">
        <v>2021</v>
      </c>
      <c r="C1401" s="1">
        <v>29990</v>
      </c>
      <c r="D1401" s="1">
        <v>10</v>
      </c>
      <c r="E1401" s="2">
        <v>76</v>
      </c>
      <c r="F1401" s="2" t="str" cm="1">
        <f t="array" ref="F1401">_xlfn.IFS(AND(101&gt;E1401, E1401&gt;69), "Top-Tier", AND(70&gt;E1401, E1401&gt;39), "Mid-Tier", 40&gt;E1401, "Low-Tier")</f>
        <v>Top-Tier</v>
      </c>
      <c r="G1401" s="4">
        <v>45261</v>
      </c>
      <c r="H1401" t="s">
        <v>1997</v>
      </c>
      <c r="I1401" t="s">
        <v>735</v>
      </c>
      <c r="J1401" t="s">
        <v>2022</v>
      </c>
      <c r="K1401" t="s">
        <v>427</v>
      </c>
      <c r="L1401" t="s">
        <v>24</v>
      </c>
      <c r="M1401" t="s">
        <v>138</v>
      </c>
      <c r="N1401" t="s">
        <v>31</v>
      </c>
      <c r="Q1401" t="str">
        <f>LEFT(B1401, 4)</f>
        <v>Asus</v>
      </c>
      <c r="R1401" t="str">
        <f t="shared" si="86"/>
        <v>Intel Core i7 (12th Gen)</v>
      </c>
      <c r="S1401" t="str">
        <f t="shared" si="87"/>
        <v xml:space="preserve">8 GB </v>
      </c>
    </row>
    <row r="1402" spans="1:19">
      <c r="A1402" t="str">
        <f>LEFT(B1402, LEN(B1402)-15)</f>
        <v>Lenovo Legion Pro 5 16ARX8 (82WM00B7IN) Laptop (AMD Octa Core Ryzen 7/16 GB/1 TB SSD/Windows 11/8 GB)</v>
      </c>
      <c r="B1402" t="s">
        <v>2023</v>
      </c>
      <c r="C1402" s="1">
        <v>230890</v>
      </c>
      <c r="D1402" s="1">
        <v>6</v>
      </c>
      <c r="E1402" s="2">
        <v>76</v>
      </c>
      <c r="F1402" s="2" t="str" cm="1">
        <f t="array" ref="F1402">_xlfn.IFS(AND(101&gt;E1402, E1402&gt;69), "Top-Tier", AND(70&gt;E1402, E1402&gt;39), "Mid-Tier", 40&gt;E1402, "Low-Tier")</f>
        <v>Top-Tier</v>
      </c>
      <c r="G1402" s="4">
        <v>45200</v>
      </c>
      <c r="H1402" t="s">
        <v>1997</v>
      </c>
      <c r="I1402" t="s">
        <v>33</v>
      </c>
      <c r="J1402" t="s">
        <v>72</v>
      </c>
      <c r="K1402" t="s">
        <v>117</v>
      </c>
      <c r="L1402" t="s">
        <v>24</v>
      </c>
      <c r="N1402" t="s">
        <v>31</v>
      </c>
      <c r="Q1402" t="str">
        <f>LEFT(B1402, 6)</f>
        <v>Lenovo</v>
      </c>
      <c r="R1402" t="str">
        <f t="shared" si="86"/>
        <v>Intel Core i7 (12th Gen)</v>
      </c>
      <c r="S1402" t="str">
        <f t="shared" si="87"/>
        <v>16 GB</v>
      </c>
    </row>
    <row r="1403" spans="1:19">
      <c r="A1403" t="str">
        <f>LEFT(B1403, LEN(B1403)-15)</f>
        <v>HP Victus 15-fa1134TX (8X059PA) Laptop (Core i7 12th Gen/16 GB/512 GB SSD/Windows 11/6 GB)</v>
      </c>
      <c r="B1403" t="s">
        <v>2024</v>
      </c>
      <c r="C1403" s="1">
        <v>90240</v>
      </c>
      <c r="D1403" s="1">
        <v>13</v>
      </c>
      <c r="E1403" s="2">
        <v>76</v>
      </c>
      <c r="F1403" s="2" t="str" cm="1">
        <f t="array" ref="F1403">_xlfn.IFS(AND(101&gt;E1403, E1403&gt;69), "Top-Tier", AND(70&gt;E1403, E1403&gt;39), "Mid-Tier", 40&gt;E1403, "Low-Tier")</f>
        <v>Top-Tier</v>
      </c>
      <c r="G1403" s="4">
        <v>45170</v>
      </c>
      <c r="H1403" t="s">
        <v>1997</v>
      </c>
      <c r="I1403" t="s">
        <v>33</v>
      </c>
      <c r="J1403" t="s">
        <v>34</v>
      </c>
      <c r="K1403" t="s">
        <v>51</v>
      </c>
      <c r="L1403" t="s">
        <v>24</v>
      </c>
      <c r="N1403" t="s">
        <v>31</v>
      </c>
      <c r="Q1403" t="str">
        <f>LEFT(B1403, 2)</f>
        <v>HP</v>
      </c>
      <c r="R1403" t="str">
        <f t="shared" si="86"/>
        <v>Intel Core i7 (12th Gen)</v>
      </c>
      <c r="S1403" t="str">
        <f t="shared" si="87"/>
        <v>16 GB</v>
      </c>
    </row>
    <row r="1404" spans="1:19">
      <c r="A1404" t="str">
        <f>LEFT(B1404, LEN(B1404)-15)</f>
        <v>Asus Chromebook CX1500CKA-EJ0275 Laptop (Intel Celeron Dual Core/8 GB/64 GB eMMC/Google Chrome)</v>
      </c>
      <c r="B1404" t="s">
        <v>2025</v>
      </c>
      <c r="C1404" s="1">
        <v>32990</v>
      </c>
      <c r="D1404" s="1">
        <v>160</v>
      </c>
      <c r="E1404" s="2">
        <v>76</v>
      </c>
      <c r="F1404" s="2" t="str" cm="1">
        <f t="array" ref="F1404">_xlfn.IFS(AND(101&gt;E1404, E1404&gt;69), "Top-Tier", AND(70&gt;E1404, E1404&gt;39), "Mid-Tier", 40&gt;E1404, "Low-Tier")</f>
        <v>Top-Tier</v>
      </c>
      <c r="G1404" s="4">
        <v>45170</v>
      </c>
      <c r="H1404" t="s">
        <v>1997</v>
      </c>
      <c r="I1404" t="s">
        <v>735</v>
      </c>
      <c r="J1404" t="s">
        <v>736</v>
      </c>
      <c r="K1404" t="s">
        <v>159</v>
      </c>
      <c r="L1404" t="s">
        <v>24</v>
      </c>
      <c r="M1404" t="s">
        <v>138</v>
      </c>
      <c r="Q1404" t="str">
        <f>LEFT(B1404, 4)</f>
        <v>Asus</v>
      </c>
      <c r="R1404" t="str">
        <f t="shared" si="86"/>
        <v>Intel Core i7 (12th Gen)</v>
      </c>
      <c r="S1404" t="str">
        <f t="shared" si="87"/>
        <v xml:space="preserve">8 GB </v>
      </c>
    </row>
    <row r="1405" spans="1:19">
      <c r="A1405" t="str">
        <f>LEFT(B1405, LEN(B1405)-15)</f>
        <v>Lenovo Legion Slim 5 16APH8 (82Y9009JIN) Laptop (AMD Octa Core Ryzen 7/16 GB/1 TB SSD/Windows 11/8 GB)</v>
      </c>
      <c r="B1405" t="s">
        <v>2026</v>
      </c>
      <c r="C1405" s="1">
        <v>119900</v>
      </c>
      <c r="D1405" s="1">
        <v>13</v>
      </c>
      <c r="E1405" s="2">
        <v>76</v>
      </c>
      <c r="F1405" s="2" t="str" cm="1">
        <f t="array" ref="F1405">_xlfn.IFS(AND(101&gt;E1405, E1405&gt;69), "Top-Tier", AND(70&gt;E1405, E1405&gt;39), "Mid-Tier", 40&gt;E1405, "Low-Tier")</f>
        <v>Top-Tier</v>
      </c>
      <c r="G1405" s="4">
        <v>45139</v>
      </c>
      <c r="H1405" t="s">
        <v>1997</v>
      </c>
      <c r="I1405" t="s">
        <v>33</v>
      </c>
      <c r="J1405" t="s">
        <v>72</v>
      </c>
      <c r="K1405" t="s">
        <v>117</v>
      </c>
      <c r="L1405" t="s">
        <v>24</v>
      </c>
      <c r="N1405" t="s">
        <v>31</v>
      </c>
      <c r="Q1405" t="str">
        <f>LEFT(B1405, 6)</f>
        <v>Lenovo</v>
      </c>
      <c r="R1405" t="str">
        <f t="shared" si="86"/>
        <v>Intel Core i7 (12th Gen)</v>
      </c>
      <c r="S1405" t="str">
        <f t="shared" si="87"/>
        <v>16 GB</v>
      </c>
    </row>
    <row r="1406" spans="1:19">
      <c r="A1406" t="str">
        <f>LEFT(B1406, LEN(B1406)-15)</f>
        <v>Dell Inspiron 14 5430 (IN54308DXWP001ORS1) Laptop (Core i7 13th Gen/16 GB/1 TB SSD/Windows 11)</v>
      </c>
      <c r="B1406" t="s">
        <v>2027</v>
      </c>
      <c r="C1406" s="1">
        <v>79990</v>
      </c>
      <c r="D1406" s="1">
        <v>12</v>
      </c>
      <c r="E1406" s="2">
        <v>76</v>
      </c>
      <c r="F1406" s="2" t="str" cm="1">
        <f t="array" ref="F1406">_xlfn.IFS(AND(101&gt;E1406, E1406&gt;69), "Top-Tier", AND(70&gt;E1406, E1406&gt;39), "Mid-Tier", 40&gt;E1406, "Low-Tier")</f>
        <v>Top-Tier</v>
      </c>
      <c r="G1406" s="4">
        <v>45139</v>
      </c>
      <c r="H1406" t="s">
        <v>1997</v>
      </c>
      <c r="I1406" t="s">
        <v>33</v>
      </c>
      <c r="J1406" t="s">
        <v>167</v>
      </c>
      <c r="K1406" t="s">
        <v>2028</v>
      </c>
      <c r="L1406" t="s">
        <v>24</v>
      </c>
      <c r="M1406" t="s">
        <v>1790</v>
      </c>
      <c r="N1406" t="s">
        <v>31</v>
      </c>
      <c r="P1406" s="3">
        <v>83</v>
      </c>
      <c r="Q1406" t="str">
        <f>LEFT(B1406, 4)</f>
        <v>Dell</v>
      </c>
      <c r="R1406" t="str">
        <f t="shared" si="86"/>
        <v>Intel Core i7 (12th Gen)</v>
      </c>
      <c r="S1406" t="str">
        <f t="shared" si="87"/>
        <v>16 GB</v>
      </c>
    </row>
    <row r="1407" spans="1:19">
      <c r="A1407" t="str">
        <f>LEFT(B1407, LEN(B1407)-15)</f>
        <v>Acer Aspire 5 A515-56G (NX.AT2SI.001) Laptop (Core i5 11th Gen/8 GB/512 GB SSD/Windows 11/2 GB)</v>
      </c>
      <c r="B1407" t="s">
        <v>2029</v>
      </c>
      <c r="C1407" s="1">
        <v>43599</v>
      </c>
      <c r="D1407" s="1">
        <v>15</v>
      </c>
      <c r="E1407" s="2">
        <v>76</v>
      </c>
      <c r="F1407" s="2" t="str" cm="1">
        <f t="array" ref="F1407">_xlfn.IFS(AND(101&gt;E1407, E1407&gt;69), "Top-Tier", AND(70&gt;E1407, E1407&gt;39), "Mid-Tier", 40&gt;E1407, "Low-Tier")</f>
        <v>Top-Tier</v>
      </c>
      <c r="G1407" s="4">
        <v>45108</v>
      </c>
      <c r="H1407" t="s">
        <v>1997</v>
      </c>
      <c r="I1407" t="s">
        <v>33</v>
      </c>
      <c r="J1407" t="s">
        <v>50</v>
      </c>
      <c r="K1407" t="s">
        <v>159</v>
      </c>
      <c r="L1407" t="s">
        <v>24</v>
      </c>
      <c r="M1407" t="s">
        <v>95</v>
      </c>
      <c r="N1407" t="s">
        <v>31</v>
      </c>
      <c r="P1407" s="3">
        <v>72</v>
      </c>
      <c r="Q1407" t="str">
        <f>LEFT(B1407, 4)</f>
        <v>Acer</v>
      </c>
      <c r="R1407" t="str">
        <f>LEFT(H873, 24)</f>
        <v>Intel Core i5 (11th Gen)</v>
      </c>
      <c r="S1407" t="str">
        <f t="shared" si="87"/>
        <v xml:space="preserve">8 GB </v>
      </c>
    </row>
    <row r="1408" spans="1:19">
      <c r="A1408" t="str">
        <f>LEFT(B1408, LEN(B1408)-15)</f>
        <v>Lenovo IdeaPad Slim 3 15AMN8 (82XQ008DIN) Laptop (AMD Quad Core Ryzen 3/8 GB/512 GB SSD/Windows 11)</v>
      </c>
      <c r="B1408" t="s">
        <v>2030</v>
      </c>
      <c r="C1408" s="1">
        <v>33190</v>
      </c>
      <c r="D1408" s="1">
        <v>125</v>
      </c>
      <c r="E1408" s="2">
        <v>76</v>
      </c>
      <c r="F1408" s="2" t="str" cm="1">
        <f t="array" ref="F1408">_xlfn.IFS(AND(101&gt;E1408, E1408&gt;69), "Top-Tier", AND(70&gt;E1408, E1408&gt;39), "Mid-Tier", 40&gt;E1408, "Low-Tier")</f>
        <v>Top-Tier</v>
      </c>
      <c r="G1408" s="4">
        <v>45108</v>
      </c>
      <c r="H1408" t="s">
        <v>1997</v>
      </c>
      <c r="I1408" t="s">
        <v>33</v>
      </c>
      <c r="J1408" t="s">
        <v>162</v>
      </c>
      <c r="K1408" t="s">
        <v>51</v>
      </c>
      <c r="L1408" t="s">
        <v>24</v>
      </c>
      <c r="M1408" t="s">
        <v>95</v>
      </c>
      <c r="N1408" t="s">
        <v>31</v>
      </c>
      <c r="P1408" s="3">
        <v>76</v>
      </c>
      <c r="Q1408" t="str">
        <f>LEFT(B1408, 6)</f>
        <v>Lenovo</v>
      </c>
      <c r="R1408" t="str">
        <f t="shared" si="86"/>
        <v>Intel Core i7 (12th Gen)</v>
      </c>
      <c r="S1408" t="str">
        <f t="shared" si="87"/>
        <v xml:space="preserve">8 GB </v>
      </c>
    </row>
    <row r="1409" spans="1:19">
      <c r="A1409" t="str">
        <f>LEFT(B1409, LEN(B1409)-15)</f>
        <v>Lenovo Ideapad Slim 3 15AMN8 (82XQ008GIN) Laptop (AMD Quad Core Ryzen 5/8 GB/512 GB SSD/Windows 11)</v>
      </c>
      <c r="B1409" t="s">
        <v>2031</v>
      </c>
      <c r="C1409" s="1">
        <v>44990</v>
      </c>
      <c r="D1409" s="1">
        <v>70</v>
      </c>
      <c r="E1409" s="2">
        <v>76</v>
      </c>
      <c r="F1409" s="2" t="str" cm="1">
        <f t="array" ref="F1409">_xlfn.IFS(AND(101&gt;E1409, E1409&gt;69), "Top-Tier", AND(70&gt;E1409, E1409&gt;39), "Mid-Tier", 40&gt;E1409, "Low-Tier")</f>
        <v>Top-Tier</v>
      </c>
      <c r="G1409" s="4">
        <v>45108</v>
      </c>
      <c r="H1409" t="s">
        <v>1997</v>
      </c>
      <c r="I1409" t="s">
        <v>33</v>
      </c>
      <c r="J1409" t="s">
        <v>162</v>
      </c>
      <c r="K1409" t="s">
        <v>51</v>
      </c>
      <c r="L1409" t="s">
        <v>24</v>
      </c>
      <c r="M1409" t="s">
        <v>95</v>
      </c>
      <c r="N1409" t="s">
        <v>31</v>
      </c>
      <c r="P1409" s="3">
        <v>76</v>
      </c>
      <c r="Q1409" t="str">
        <f>LEFT(B1409, 6)</f>
        <v>Lenovo</v>
      </c>
      <c r="R1409" t="str">
        <f t="shared" si="86"/>
        <v>Intel Core i7 (12th Gen)</v>
      </c>
      <c r="S1409" t="str">
        <f t="shared" si="87"/>
        <v xml:space="preserve">8 GB </v>
      </c>
    </row>
    <row r="1410" spans="1:19">
      <c r="A1410" t="str">
        <f>LEFT(B1410, LEN(B1410)-15)</f>
        <v>HP 15s-fy5005TU (8K8J3PA) Laptop (Core i3 12th Gen/8 GB/1 TB SSD/Windows 11)</v>
      </c>
      <c r="B1410" t="s">
        <v>2032</v>
      </c>
      <c r="C1410" s="1">
        <v>41420</v>
      </c>
      <c r="D1410" s="1">
        <v>63</v>
      </c>
      <c r="E1410" s="2">
        <v>76</v>
      </c>
      <c r="F1410" s="2" t="str" cm="1">
        <f t="array" ref="F1410">_xlfn.IFS(AND(101&gt;E1410, E1410&gt;69), "Top-Tier", AND(70&gt;E1410, E1410&gt;39), "Mid-Tier", 40&gt;E1410, "Low-Tier")</f>
        <v>Top-Tier</v>
      </c>
      <c r="G1410" s="4">
        <v>45108</v>
      </c>
      <c r="H1410" t="s">
        <v>1997</v>
      </c>
      <c r="I1410" t="s">
        <v>33</v>
      </c>
      <c r="J1410" t="s">
        <v>98</v>
      </c>
      <c r="K1410" t="s">
        <v>51</v>
      </c>
      <c r="L1410" t="s">
        <v>24</v>
      </c>
      <c r="M1410" t="s">
        <v>95</v>
      </c>
      <c r="N1410" t="s">
        <v>31</v>
      </c>
      <c r="P1410" s="3">
        <v>76</v>
      </c>
      <c r="Q1410" t="str">
        <f>LEFT(B1410, 2)</f>
        <v>HP</v>
      </c>
      <c r="R1410" t="str">
        <f t="shared" si="86"/>
        <v>Intel Core i7 (12th Gen)</v>
      </c>
      <c r="S1410" t="str">
        <f t="shared" si="87"/>
        <v xml:space="preserve">8 GB </v>
      </c>
    </row>
    <row r="1411" spans="1:19">
      <c r="A1411" t="str">
        <f>LEFT(B1411, LEN(B1411)-15)</f>
        <v>Asus VivoBook 15 X1502ZA-EJ542WS Laptop (Core i5 12th Gen/16 GB/512 GB SSD/Windows 11)</v>
      </c>
      <c r="B1411" t="s">
        <v>2033</v>
      </c>
      <c r="C1411" s="1">
        <v>53990</v>
      </c>
      <c r="D1411" s="1">
        <v>153</v>
      </c>
      <c r="E1411" s="2">
        <v>76</v>
      </c>
      <c r="F1411" s="2" t="str" cm="1">
        <f t="array" ref="F1411">_xlfn.IFS(AND(101&gt;E1411, E1411&gt;69), "Top-Tier", AND(70&gt;E1411, E1411&gt;39), "Mid-Tier", 40&gt;E1411, "Low-Tier")</f>
        <v>Top-Tier</v>
      </c>
      <c r="G1411" s="4">
        <v>45047</v>
      </c>
      <c r="H1411" t="s">
        <v>1997</v>
      </c>
      <c r="I1411" t="s">
        <v>33</v>
      </c>
      <c r="J1411" t="s">
        <v>34</v>
      </c>
      <c r="K1411" t="s">
        <v>159</v>
      </c>
      <c r="L1411" t="s">
        <v>24</v>
      </c>
      <c r="N1411" t="s">
        <v>31</v>
      </c>
      <c r="P1411" s="3">
        <v>75</v>
      </c>
      <c r="Q1411" t="str">
        <f>LEFT(B1411, 4)</f>
        <v>Asus</v>
      </c>
      <c r="R1411" t="str">
        <f t="shared" si="86"/>
        <v>Intel Core i7 (12th Gen)</v>
      </c>
      <c r="S1411" t="str">
        <f t="shared" si="87"/>
        <v>16 GB</v>
      </c>
    </row>
    <row r="1412" spans="1:19">
      <c r="A1412" t="str">
        <f>LEFT(B1412, LEN(B1412)-15)</f>
        <v>HP Victus 16-d0333TX (81H59PA) Laptop (Core i5 11th Gen/16 GB/512 GB SSD/Windows 11/4 GB)</v>
      </c>
      <c r="B1412" t="s">
        <v>2034</v>
      </c>
      <c r="C1412" s="1">
        <v>60695</v>
      </c>
      <c r="D1412" s="1">
        <v>107</v>
      </c>
      <c r="E1412" s="2">
        <v>76</v>
      </c>
      <c r="F1412" s="2" t="str" cm="1">
        <f t="array" ref="F1412">_xlfn.IFS(AND(101&gt;E1412, E1412&gt;69), "Top-Tier", AND(70&gt;E1412, E1412&gt;39), "Mid-Tier", 40&gt;E1412, "Low-Tier")</f>
        <v>Top-Tier</v>
      </c>
      <c r="G1412" s="4">
        <v>45017</v>
      </c>
      <c r="H1412" t="s">
        <v>1997</v>
      </c>
      <c r="I1412" t="s">
        <v>33</v>
      </c>
      <c r="J1412" t="s">
        <v>34</v>
      </c>
      <c r="K1412" t="s">
        <v>271</v>
      </c>
      <c r="L1412" t="s">
        <v>24</v>
      </c>
      <c r="N1412" t="s">
        <v>31</v>
      </c>
      <c r="P1412" s="3">
        <v>77</v>
      </c>
      <c r="Q1412" t="str">
        <f>LEFT(B1412, 2)</f>
        <v>HP</v>
      </c>
      <c r="R1412" t="str">
        <f t="shared" si="86"/>
        <v>Intel Core i7 (12th Gen)</v>
      </c>
      <c r="S1412" t="str">
        <f t="shared" si="87"/>
        <v>16 GB</v>
      </c>
    </row>
    <row r="1413" spans="1:19">
      <c r="A1413" t="str">
        <f>LEFT(B1413, LEN(B1413)-15)</f>
        <v>Lenovo V15 G3 (82TTA01EIN) Laptop (Core i3 12th Gen/8 GB/512 GB SSD/DOS)</v>
      </c>
      <c r="B1413" t="s">
        <v>2035</v>
      </c>
      <c r="C1413" s="1">
        <v>31490</v>
      </c>
      <c r="D1413" s="1">
        <v>32</v>
      </c>
      <c r="E1413" s="2">
        <v>76</v>
      </c>
      <c r="F1413" s="2" t="str" cm="1">
        <f t="array" ref="F1413">_xlfn.IFS(AND(101&gt;E1413, E1413&gt;69), "Top-Tier", AND(70&gt;E1413, E1413&gt;39), "Mid-Tier", 40&gt;E1413, "Low-Tier")</f>
        <v>Top-Tier</v>
      </c>
      <c r="G1413" s="4">
        <v>44986</v>
      </c>
      <c r="H1413" t="s">
        <v>1997</v>
      </c>
      <c r="I1413" t="s">
        <v>124</v>
      </c>
      <c r="J1413" t="s">
        <v>50</v>
      </c>
      <c r="K1413" t="s">
        <v>51</v>
      </c>
      <c r="L1413" t="s">
        <v>24</v>
      </c>
      <c r="N1413" t="s">
        <v>31</v>
      </c>
      <c r="Q1413" t="str">
        <f>LEFT(B1413, 6)</f>
        <v>Lenovo</v>
      </c>
      <c r="R1413" t="str">
        <f t="shared" si="86"/>
        <v>Intel Core i7 (12th Gen)</v>
      </c>
      <c r="S1413" t="str">
        <f t="shared" si="87"/>
        <v xml:space="preserve">8 GB </v>
      </c>
    </row>
    <row r="1414" spans="1:19">
      <c r="A1414" t="str">
        <f>LEFT(B1414, LEN(B1414)-15)</f>
        <v>MSI Titan GT77 HX 13VH-093IN Laptop (Core i9 13th Gen/64 GB/2 TB SSD/Windows 11/12 GB)</v>
      </c>
      <c r="B1414" t="s">
        <v>2036</v>
      </c>
      <c r="C1414" s="1">
        <v>386999</v>
      </c>
      <c r="D1414" s="1">
        <v>18</v>
      </c>
      <c r="E1414" s="2">
        <v>76</v>
      </c>
      <c r="F1414" s="2" t="str" cm="1">
        <f t="array" ref="F1414">_xlfn.IFS(AND(101&gt;E1414, E1414&gt;69), "Top-Tier", AND(70&gt;E1414, E1414&gt;39), "Mid-Tier", 40&gt;E1414, "Low-Tier")</f>
        <v>Top-Tier</v>
      </c>
      <c r="G1414" s="4">
        <v>44958</v>
      </c>
      <c r="H1414" t="s">
        <v>1997</v>
      </c>
      <c r="I1414" t="s">
        <v>33</v>
      </c>
      <c r="J1414" t="s">
        <v>1047</v>
      </c>
      <c r="K1414" t="s">
        <v>2037</v>
      </c>
      <c r="L1414" t="s">
        <v>24</v>
      </c>
      <c r="N1414" t="s">
        <v>31</v>
      </c>
      <c r="Q1414" t="str">
        <f>LEFT(B1414, 3)</f>
        <v>MSI</v>
      </c>
      <c r="R1414" t="str">
        <f>LEFT(H873, 24)</f>
        <v>Intel Core i5 (11th Gen)</v>
      </c>
      <c r="S1414" t="str">
        <f t="shared" si="87"/>
        <v>64 GB</v>
      </c>
    </row>
    <row r="1415" spans="1:19">
      <c r="A1415" t="str">
        <f>LEFT(B1415, LEN(B1415)-15)</f>
        <v>Asus VivoBook 15 X1500EA-EJ3379WS Laptop (Core i3 11th Gen/8 GB/512 GB SSD/Windows 11)</v>
      </c>
      <c r="B1415" t="s">
        <v>2038</v>
      </c>
      <c r="C1415" s="1">
        <v>33390</v>
      </c>
      <c r="D1415" s="1">
        <v>385</v>
      </c>
      <c r="E1415" s="2">
        <v>76</v>
      </c>
      <c r="F1415" s="2" t="str" cm="1">
        <f t="array" ref="F1415">_xlfn.IFS(AND(101&gt;E1415, E1415&gt;69), "Top-Tier", AND(70&gt;E1415, E1415&gt;39), "Mid-Tier", 40&gt;E1415, "Low-Tier")</f>
        <v>Top-Tier</v>
      </c>
      <c r="G1415" s="4">
        <v>44927</v>
      </c>
      <c r="H1415" t="s">
        <v>1997</v>
      </c>
      <c r="I1415" t="s">
        <v>33</v>
      </c>
      <c r="J1415" t="s">
        <v>50</v>
      </c>
      <c r="K1415" t="s">
        <v>215</v>
      </c>
      <c r="L1415" t="s">
        <v>24</v>
      </c>
      <c r="M1415" t="s">
        <v>253</v>
      </c>
      <c r="N1415" t="s">
        <v>31</v>
      </c>
      <c r="P1415" s="3">
        <v>74</v>
      </c>
      <c r="Q1415" t="str">
        <f>LEFT(B1415, 4)</f>
        <v>Asus</v>
      </c>
      <c r="R1415" t="str">
        <f t="shared" si="86"/>
        <v>Intel Core i7 (12th Gen)</v>
      </c>
      <c r="S1415" t="str">
        <f t="shared" si="87"/>
        <v xml:space="preserve">8 GB </v>
      </c>
    </row>
    <row r="1416" spans="1:19">
      <c r="A1416" t="str">
        <f>LEFT(B1416, LEN(B1416)-15)</f>
        <v>HP Omen 16-n0091AX (7K4X2PA) Laptop (AMD Octa Core Ryzen 7/16 GB/512 GB SSD/Windows 11/4 GB)</v>
      </c>
      <c r="B1416" t="s">
        <v>2039</v>
      </c>
      <c r="C1416" s="1">
        <v>122560</v>
      </c>
      <c r="D1416" s="1">
        <v>9</v>
      </c>
      <c r="E1416" s="2">
        <v>76</v>
      </c>
      <c r="F1416" s="2" t="str" cm="1">
        <f t="array" ref="F1416">_xlfn.IFS(AND(101&gt;E1416, E1416&gt;69), "Top-Tier", AND(70&gt;E1416, E1416&gt;39), "Mid-Tier", 40&gt;E1416, "Low-Tier")</f>
        <v>Top-Tier</v>
      </c>
      <c r="G1416" s="4">
        <v>44927</v>
      </c>
      <c r="H1416" t="s">
        <v>2040</v>
      </c>
      <c r="I1416" t="s">
        <v>33</v>
      </c>
      <c r="J1416" t="s">
        <v>54</v>
      </c>
      <c r="K1416" t="s">
        <v>2041</v>
      </c>
      <c r="L1416" t="s">
        <v>24</v>
      </c>
      <c r="N1416" t="s">
        <v>31</v>
      </c>
      <c r="P1416" s="3">
        <v>83</v>
      </c>
      <c r="Q1416" t="str">
        <f>LEFT(B1416, 2)</f>
        <v>HP</v>
      </c>
      <c r="R1416" t="str">
        <f t="shared" si="86"/>
        <v>Intel Core i7 (12th Gen)</v>
      </c>
      <c r="S1416" t="str">
        <f t="shared" si="87"/>
        <v>16 GB</v>
      </c>
    </row>
    <row r="1417" spans="1:19">
      <c r="A1417" t="str">
        <f>LEFT(B1417, LEN(B1417)-15)</f>
        <v>HP 245 G8 (689T5PA) Laptop (AMD Hexa Core Ryzen 5/8 GB/512 GB SSD/Windows 11)</v>
      </c>
      <c r="B1417" t="s">
        <v>2042</v>
      </c>
      <c r="C1417" s="1">
        <v>31490</v>
      </c>
      <c r="D1417" s="1">
        <v>48</v>
      </c>
      <c r="E1417" s="2">
        <v>76</v>
      </c>
      <c r="F1417" s="2" t="str" cm="1">
        <f t="array" ref="F1417">_xlfn.IFS(AND(101&gt;E1417, E1417&gt;69), "Top-Tier", AND(70&gt;E1417, E1417&gt;39), "Mid-Tier", 40&gt;E1417, "Low-Tier")</f>
        <v>Top-Tier</v>
      </c>
      <c r="G1417" s="4">
        <v>44927</v>
      </c>
      <c r="H1417" t="s">
        <v>2040</v>
      </c>
      <c r="I1417" t="s">
        <v>33</v>
      </c>
      <c r="J1417" t="s">
        <v>50</v>
      </c>
      <c r="K1417" t="s">
        <v>224</v>
      </c>
      <c r="L1417" t="s">
        <v>24</v>
      </c>
      <c r="M1417" t="s">
        <v>52</v>
      </c>
      <c r="N1417" t="s">
        <v>31</v>
      </c>
      <c r="Q1417" t="str">
        <f>LEFT(B1417, 2)</f>
        <v>HP</v>
      </c>
      <c r="R1417" t="str">
        <f t="shared" ref="R1417:R1479" si="88">LEFT(H1416, 24)</f>
        <v>Intel Core i7 (12th Gen)</v>
      </c>
      <c r="S1417" t="str">
        <f t="shared" si="87"/>
        <v xml:space="preserve">8 GB </v>
      </c>
    </row>
    <row r="1418" spans="1:19">
      <c r="A1418" t="str">
        <f>LEFT(B1418, LEN(B1418)-15)</f>
        <v>Asus VivoBook 15 X1500EA-EJ3381WS Laptop (Core i3 11th Gen/8 GB/512 GB SSD/Windows 11)</v>
      </c>
      <c r="B1418" t="s">
        <v>2043</v>
      </c>
      <c r="C1418" s="1">
        <v>33870</v>
      </c>
      <c r="D1418" s="1">
        <v>45</v>
      </c>
      <c r="E1418" s="2">
        <v>76</v>
      </c>
      <c r="F1418" s="2" t="str" cm="1">
        <f t="array" ref="F1418">_xlfn.IFS(AND(101&gt;E1418, E1418&gt;69), "Top-Tier", AND(70&gt;E1418, E1418&gt;39), "Mid-Tier", 40&gt;E1418, "Low-Tier")</f>
        <v>Top-Tier</v>
      </c>
      <c r="G1418" s="4">
        <v>44927</v>
      </c>
      <c r="H1418" t="s">
        <v>2044</v>
      </c>
      <c r="I1418" t="s">
        <v>33</v>
      </c>
      <c r="J1418" t="s">
        <v>50</v>
      </c>
      <c r="K1418" t="s">
        <v>215</v>
      </c>
      <c r="L1418" t="s">
        <v>24</v>
      </c>
      <c r="M1418" t="s">
        <v>253</v>
      </c>
      <c r="N1418" t="s">
        <v>31</v>
      </c>
      <c r="Q1418" t="str">
        <f>LEFT(B1418, 4)</f>
        <v>Asus</v>
      </c>
      <c r="R1418" t="str">
        <f t="shared" si="88"/>
        <v>Intel Core i7 (12th Gen)</v>
      </c>
      <c r="S1418" t="str">
        <f t="shared" si="87"/>
        <v xml:space="preserve">8 GB </v>
      </c>
    </row>
    <row r="1419" spans="1:19">
      <c r="A1419" t="str">
        <f>LEFT(B1419, LEN(B1419)-15)</f>
        <v>Lenovo V15 (82KDA01UIH) Laptop (AMD Quad Core Ryzen 3/8 GB/512 GB SSD/DOS)</v>
      </c>
      <c r="B1419" t="s">
        <v>2045</v>
      </c>
      <c r="C1419" s="1">
        <v>33990</v>
      </c>
      <c r="D1419" s="1">
        <v>5</v>
      </c>
      <c r="E1419" s="2">
        <v>76</v>
      </c>
      <c r="F1419" s="2" t="str" cm="1">
        <f t="array" ref="F1419">_xlfn.IFS(AND(101&gt;E1419, E1419&gt;69), "Top-Tier", AND(70&gt;E1419, E1419&gt;39), "Mid-Tier", 40&gt;E1419, "Low-Tier")</f>
        <v>Top-Tier</v>
      </c>
      <c r="G1419" s="4">
        <v>44927</v>
      </c>
      <c r="H1419" t="s">
        <v>2046</v>
      </c>
      <c r="I1419" t="s">
        <v>124</v>
      </c>
      <c r="J1419" t="s">
        <v>50</v>
      </c>
      <c r="K1419" t="s">
        <v>51</v>
      </c>
      <c r="L1419" t="s">
        <v>24</v>
      </c>
      <c r="M1419" t="s">
        <v>253</v>
      </c>
      <c r="N1419" t="s">
        <v>31</v>
      </c>
      <c r="Q1419" t="str">
        <f>LEFT(B1419, 6)</f>
        <v>Lenovo</v>
      </c>
      <c r="R1419" t="str">
        <f t="shared" si="88"/>
        <v>Intel Core i7 (13th Gen)</v>
      </c>
      <c r="S1419" t="str">
        <f t="shared" si="87"/>
        <v xml:space="preserve">8 GB </v>
      </c>
    </row>
    <row r="1420" spans="1:19">
      <c r="A1420" t="str">
        <f>LEFT(B1420, LEN(B1420)-15)</f>
        <v>Dell Inspiron 15 3525 (D560863WIN9B) Laptop (AMD Hexa Core Ryzen 5/8 GB/512 GB SSD/Windows 11)</v>
      </c>
      <c r="B1420" t="s">
        <v>2047</v>
      </c>
      <c r="C1420" s="1">
        <v>56999</v>
      </c>
      <c r="D1420" s="1">
        <v>19</v>
      </c>
      <c r="E1420" s="2">
        <v>76</v>
      </c>
      <c r="F1420" s="2" t="str" cm="1">
        <f t="array" ref="F1420">_xlfn.IFS(AND(101&gt;E1420, E1420&gt;69), "Top-Tier", AND(70&gt;E1420, E1420&gt;39), "Mid-Tier", 40&gt;E1420, "Low-Tier")</f>
        <v>Top-Tier</v>
      </c>
      <c r="G1420" s="4">
        <v>44866</v>
      </c>
      <c r="H1420" t="s">
        <v>2048</v>
      </c>
      <c r="I1420" t="s">
        <v>33</v>
      </c>
      <c r="J1420" t="s">
        <v>50</v>
      </c>
      <c r="K1420" t="s">
        <v>51</v>
      </c>
      <c r="L1420" t="s">
        <v>24</v>
      </c>
      <c r="M1420" t="s">
        <v>237</v>
      </c>
      <c r="N1420" t="s">
        <v>31</v>
      </c>
      <c r="Q1420" t="str">
        <f>LEFT(B1420, 4)</f>
        <v>Dell</v>
      </c>
      <c r="R1420" t="str">
        <f t="shared" si="88"/>
        <v>Intel Core i7 (13th Gen)</v>
      </c>
      <c r="S1420" t="str">
        <f t="shared" si="87"/>
        <v xml:space="preserve">8 GB </v>
      </c>
    </row>
    <row r="1421" spans="1:19">
      <c r="A1421" t="str">
        <f>LEFT(B1421, LEN(B1421)-15)</f>
        <v>Dell Inspiron 15 3511 (D560505WIN9S) Laptop (Core i5 11th Gen/8 GB/1 TB 256 GB SSD/Windows 10/2 GB)</v>
      </c>
      <c r="B1421" t="s">
        <v>2049</v>
      </c>
      <c r="C1421" s="1">
        <v>49990</v>
      </c>
      <c r="D1421" s="1">
        <v>81</v>
      </c>
      <c r="E1421" s="2">
        <v>76</v>
      </c>
      <c r="F1421" s="2" t="str" cm="1">
        <f t="array" ref="F1421">_xlfn.IFS(AND(101&gt;E1421, E1421&gt;69), "Top-Tier", AND(70&gt;E1421, E1421&gt;39), "Mid-Tier", 40&gt;E1421, "Low-Tier")</f>
        <v>Top-Tier</v>
      </c>
      <c r="G1421" s="4">
        <v>44866</v>
      </c>
      <c r="H1421" t="s">
        <v>2050</v>
      </c>
      <c r="I1421" t="s">
        <v>248</v>
      </c>
      <c r="J1421" t="s">
        <v>332</v>
      </c>
      <c r="K1421" t="s">
        <v>249</v>
      </c>
      <c r="L1421" t="s">
        <v>24</v>
      </c>
      <c r="M1421" t="s">
        <v>135</v>
      </c>
      <c r="N1421" t="s">
        <v>31</v>
      </c>
      <c r="P1421" s="3">
        <v>72</v>
      </c>
      <c r="Q1421" t="str">
        <f>LEFT(B1421, 4)</f>
        <v>Dell</v>
      </c>
      <c r="R1421" t="str">
        <f t="shared" si="88"/>
        <v>Intel Core i7 (13th Gen)</v>
      </c>
      <c r="S1421" t="str">
        <f t="shared" si="87"/>
        <v xml:space="preserve">8 GB </v>
      </c>
    </row>
    <row r="1422" spans="1:19">
      <c r="A1422" t="str">
        <f>LEFT(B1422, LEN(B1422)-15)</f>
        <v>Dell Inspiron 13 5320 (D560754WIN9S) Laptop (Core i7 12th Gen/16 GB/512 GB SSD/Windows 11)</v>
      </c>
      <c r="B1422" t="s">
        <v>2051</v>
      </c>
      <c r="C1422" s="1">
        <v>91690</v>
      </c>
      <c r="D1422" s="1">
        <v>24</v>
      </c>
      <c r="E1422" s="2">
        <v>76</v>
      </c>
      <c r="F1422" s="2" t="str" cm="1">
        <f t="array" ref="F1422">_xlfn.IFS(AND(101&gt;E1422, E1422&gt;69), "Top-Tier", AND(70&gt;E1422, E1422&gt;39), "Mid-Tier", 40&gt;E1422, "Low-Tier")</f>
        <v>Top-Tier</v>
      </c>
      <c r="G1422" s="4">
        <v>44835</v>
      </c>
      <c r="H1422" t="s">
        <v>2052</v>
      </c>
      <c r="I1422" t="s">
        <v>33</v>
      </c>
      <c r="J1422" t="s">
        <v>121</v>
      </c>
      <c r="K1422" t="s">
        <v>799</v>
      </c>
      <c r="L1422" t="s">
        <v>24</v>
      </c>
      <c r="M1422" t="s">
        <v>407</v>
      </c>
      <c r="N1422" t="s">
        <v>31</v>
      </c>
      <c r="P1422" s="3">
        <v>80</v>
      </c>
      <c r="Q1422" t="str">
        <f>LEFT(B1422, 4)</f>
        <v>Dell</v>
      </c>
      <c r="R1422" t="str">
        <f t="shared" si="88"/>
        <v>Intel Core i7 (13th Gen)</v>
      </c>
      <c r="S1422" t="str">
        <f t="shared" si="87"/>
        <v>16 GB</v>
      </c>
    </row>
    <row r="1423" spans="1:19">
      <c r="A1423" t="str">
        <f>LEFT(B1423, LEN(B1423)-15)</f>
        <v>Dell Inspiron 15 3525 (D560788WIN9BD) Laptop (AMD Hexa Core Ryzen 5/8 GB/512 GB SSD/Windows 11)</v>
      </c>
      <c r="B1423" t="s">
        <v>2053</v>
      </c>
      <c r="C1423" s="1">
        <v>64694</v>
      </c>
      <c r="D1423" s="1">
        <v>12</v>
      </c>
      <c r="E1423" s="2">
        <v>76</v>
      </c>
      <c r="F1423" s="2" t="str" cm="1">
        <f t="array" ref="F1423">_xlfn.IFS(AND(101&gt;E1423, E1423&gt;69), "Top-Tier", AND(70&gt;E1423, E1423&gt;39), "Mid-Tier", 40&gt;E1423, "Low-Tier")</f>
        <v>Top-Tier</v>
      </c>
      <c r="G1423" s="4">
        <v>44835</v>
      </c>
      <c r="H1423" t="s">
        <v>2054</v>
      </c>
      <c r="I1423" t="s">
        <v>33</v>
      </c>
      <c r="J1423" t="s">
        <v>50</v>
      </c>
      <c r="K1423" t="s">
        <v>51</v>
      </c>
      <c r="L1423" t="s">
        <v>24</v>
      </c>
      <c r="M1423" t="s">
        <v>237</v>
      </c>
      <c r="N1423" t="s">
        <v>31</v>
      </c>
      <c r="Q1423" t="str">
        <f>LEFT(B1423, 4)</f>
        <v>Dell</v>
      </c>
      <c r="R1423" t="str">
        <f t="shared" si="88"/>
        <v>Intel Core i7 (13th Gen)</v>
      </c>
      <c r="S1423" t="str">
        <f t="shared" si="87"/>
        <v xml:space="preserve">8 GB </v>
      </c>
    </row>
    <row r="1424" spans="1:19">
      <c r="A1424" t="str">
        <f>LEFT(B1424, LEN(B1424)-15)</f>
        <v>Dell Inspiron 15 3520 (D560880WIN9S) Laptop (Core i5 12th Gen/8 GB/512 GB SSD/Windows 11/2 GB)</v>
      </c>
      <c r="B1424" t="s">
        <v>2055</v>
      </c>
      <c r="C1424" s="1">
        <v>70426</v>
      </c>
      <c r="D1424" s="1">
        <v>14</v>
      </c>
      <c r="E1424" s="2">
        <v>76</v>
      </c>
      <c r="F1424" s="2" t="str" cm="1">
        <f t="array" ref="F1424">_xlfn.IFS(AND(101&gt;E1424, E1424&gt;69), "Top-Tier", AND(70&gt;E1424, E1424&gt;39), "Mid-Tier", 40&gt;E1424, "Low-Tier")</f>
        <v>Top-Tier</v>
      </c>
      <c r="G1424" s="4">
        <v>44835</v>
      </c>
      <c r="H1424" t="s">
        <v>2056</v>
      </c>
      <c r="I1424" t="s">
        <v>33</v>
      </c>
      <c r="J1424" t="s">
        <v>50</v>
      </c>
      <c r="K1424" t="s">
        <v>51</v>
      </c>
      <c r="L1424" t="s">
        <v>24</v>
      </c>
      <c r="M1424" t="s">
        <v>253</v>
      </c>
      <c r="N1424" t="s">
        <v>31</v>
      </c>
      <c r="P1424" s="3">
        <v>76</v>
      </c>
      <c r="Q1424" t="str">
        <f>LEFT(B1424, 4)</f>
        <v>Dell</v>
      </c>
      <c r="R1424" t="str">
        <f t="shared" si="88"/>
        <v>Intel Core i7 (13th Gen)</v>
      </c>
      <c r="S1424" t="str">
        <f t="shared" si="87"/>
        <v xml:space="preserve">8 GB </v>
      </c>
    </row>
    <row r="1425" spans="1:19">
      <c r="A1425" t="str">
        <f>LEFT(B1425, LEN(B1425)-15)</f>
        <v>Lenovo V15 (82KDA01DIH) Laptop (AMD Quad Core Ryzen 3/8 GB/256 GB SSD/Windows 11)</v>
      </c>
      <c r="B1425" t="s">
        <v>2057</v>
      </c>
      <c r="C1425" s="1">
        <v>37265</v>
      </c>
      <c r="D1425" s="1">
        <v>128</v>
      </c>
      <c r="E1425" s="2">
        <v>76</v>
      </c>
      <c r="F1425" s="2" t="str" cm="1">
        <f t="array" ref="F1425">_xlfn.IFS(AND(101&gt;E1425, E1425&gt;69), "Top-Tier", AND(70&gt;E1425, E1425&gt;39), "Mid-Tier", 40&gt;E1425, "Low-Tier")</f>
        <v>Top-Tier</v>
      </c>
      <c r="G1425" s="4">
        <v>44774</v>
      </c>
      <c r="H1425" t="s">
        <v>2056</v>
      </c>
      <c r="I1425" t="s">
        <v>33</v>
      </c>
      <c r="J1425" t="s">
        <v>338</v>
      </c>
      <c r="K1425" t="s">
        <v>51</v>
      </c>
      <c r="L1425" t="s">
        <v>24</v>
      </c>
      <c r="M1425" t="s">
        <v>253</v>
      </c>
      <c r="N1425" t="s">
        <v>31</v>
      </c>
      <c r="Q1425" t="str">
        <f>LEFT(B1425, 6)</f>
        <v>Lenovo</v>
      </c>
      <c r="R1425" t="str">
        <f t="shared" si="88"/>
        <v>Intel Core i7 (13th Gen)</v>
      </c>
      <c r="S1425" t="str">
        <f t="shared" si="87"/>
        <v xml:space="preserve">8 GB </v>
      </c>
    </row>
    <row r="1426" spans="1:19">
      <c r="A1426" t="str">
        <f>LEFT(B1426, LEN(B1426)-15)</f>
        <v>Asus ZenBook Pro 14 Duo OLED Intel Evo UX8402ZE-LM921WS Laptop (Core i9 12th Gen/32 GB/1 TB SSD/Windows 45234 GB)</v>
      </c>
      <c r="B1426" t="s">
        <v>2058</v>
      </c>
      <c r="C1426" s="1">
        <v>163716</v>
      </c>
      <c r="D1426" s="1">
        <v>12</v>
      </c>
      <c r="E1426" s="2">
        <v>76</v>
      </c>
      <c r="F1426" s="2" t="str" cm="1">
        <f t="array" ref="F1426">_xlfn.IFS(AND(101&gt;E1426, E1426&gt;69), "Top-Tier", AND(70&gt;E1426, E1426&gt;39), "Mid-Tier", 40&gt;E1426, "Low-Tier")</f>
        <v>Top-Tier</v>
      </c>
      <c r="G1426" s="4">
        <v>44774</v>
      </c>
      <c r="H1426" t="s">
        <v>2056</v>
      </c>
      <c r="I1426" t="s">
        <v>33</v>
      </c>
      <c r="J1426" t="s">
        <v>457</v>
      </c>
      <c r="K1426" t="s">
        <v>617</v>
      </c>
      <c r="L1426" t="s">
        <v>24</v>
      </c>
      <c r="M1426" t="s">
        <v>95</v>
      </c>
      <c r="N1426" t="s">
        <v>31</v>
      </c>
      <c r="P1426" s="3">
        <v>85</v>
      </c>
      <c r="Q1426" t="str">
        <f>LEFT(B1426, 4)</f>
        <v>Asus</v>
      </c>
      <c r="R1426" t="str">
        <f t="shared" si="88"/>
        <v>Intel Core i7 (13th Gen)</v>
      </c>
      <c r="S1426" t="str">
        <f t="shared" si="87"/>
        <v>32 GB</v>
      </c>
    </row>
    <row r="1427" spans="1:19">
      <c r="A1427" t="str">
        <f>LEFT(B1427, LEN(B1427)-15)</f>
        <v>HP 15s-eq1561AU (6Q0M9PA) Laptop (AMD Dual Core Ryzen 3/8 GB/256 GB SSD/Windows 11)</v>
      </c>
      <c r="B1427" t="s">
        <v>2059</v>
      </c>
      <c r="C1427" s="1">
        <v>26900</v>
      </c>
      <c r="D1427" s="1">
        <v>219</v>
      </c>
      <c r="E1427" s="2">
        <v>76</v>
      </c>
      <c r="F1427" s="2" t="str" cm="1">
        <f t="array" ref="F1427">_xlfn.IFS(AND(101&gt;E1427, E1427&gt;69), "Top-Tier", AND(70&gt;E1427, E1427&gt;39), "Mid-Tier", 40&gt;E1427, "Low-Tier")</f>
        <v>Top-Tier</v>
      </c>
      <c r="G1427" s="4">
        <v>44774</v>
      </c>
      <c r="H1427" t="s">
        <v>2056</v>
      </c>
      <c r="I1427" t="s">
        <v>33</v>
      </c>
      <c r="J1427" t="s">
        <v>338</v>
      </c>
      <c r="K1427" t="s">
        <v>51</v>
      </c>
      <c r="L1427" t="s">
        <v>24</v>
      </c>
      <c r="M1427" t="s">
        <v>74</v>
      </c>
      <c r="N1427" t="s">
        <v>31</v>
      </c>
      <c r="Q1427" t="str">
        <f>LEFT(B1427, 2)</f>
        <v>HP</v>
      </c>
      <c r="R1427" t="str">
        <f t="shared" si="88"/>
        <v>Intel Core i7 (13th Gen)</v>
      </c>
      <c r="S1427" t="str">
        <f t="shared" si="87"/>
        <v xml:space="preserve">8 GB </v>
      </c>
    </row>
    <row r="1428" spans="1:19">
      <c r="A1428" t="str">
        <f>LEFT(B1428, LEN(B1428)-15)</f>
        <v>HP Pavilion Plus 14-eh0021TU (6H1Q2PA) Laptop (Core i5 12th Gen/16 GB/512 GB SSD/Windows 11)</v>
      </c>
      <c r="B1428" t="s">
        <v>2060</v>
      </c>
      <c r="C1428" s="1">
        <v>89264</v>
      </c>
      <c r="D1428" s="1">
        <v>53</v>
      </c>
      <c r="E1428" s="2">
        <v>76</v>
      </c>
      <c r="F1428" s="2" t="str" cm="1">
        <f t="array" ref="F1428">_xlfn.IFS(AND(101&gt;E1428, E1428&gt;69), "Top-Tier", AND(70&gt;E1428, E1428&gt;39), "Mid-Tier", 40&gt;E1428, "Low-Tier")</f>
        <v>Top-Tier</v>
      </c>
      <c r="G1428" s="4">
        <v>44774</v>
      </c>
      <c r="H1428" t="s">
        <v>2061</v>
      </c>
      <c r="I1428" t="s">
        <v>33</v>
      </c>
      <c r="J1428" t="s">
        <v>34</v>
      </c>
      <c r="K1428" t="s">
        <v>104</v>
      </c>
      <c r="L1428" t="s">
        <v>24</v>
      </c>
      <c r="M1428" t="s">
        <v>732</v>
      </c>
      <c r="N1428" t="s">
        <v>31</v>
      </c>
      <c r="P1428" s="3">
        <v>78</v>
      </c>
      <c r="Q1428" t="str">
        <f>LEFT(B1428, 2)</f>
        <v>HP</v>
      </c>
      <c r="R1428" t="str">
        <f t="shared" si="88"/>
        <v>Intel Core i7 (13th Gen)</v>
      </c>
      <c r="S1428" t="str">
        <f t="shared" si="87"/>
        <v>16 GB</v>
      </c>
    </row>
    <row r="1429" spans="1:19">
      <c r="A1429" t="str">
        <f>LEFT(B1429, LEN(B1429)-15)</f>
        <v>Lenovo Ideapad Flex 5i Gen 7 (82R70069IN) Laptop (Core i5 12th Gen/16 GB/512 GB SSD/Windows 11)</v>
      </c>
      <c r="B1429" t="s">
        <v>2062</v>
      </c>
      <c r="C1429" s="1">
        <v>64490</v>
      </c>
      <c r="D1429" s="1">
        <v>55</v>
      </c>
      <c r="E1429" s="2">
        <v>76</v>
      </c>
      <c r="F1429" s="2" t="str" cm="1">
        <f t="array" ref="F1429">_xlfn.IFS(AND(101&gt;E1429, E1429&gt;69), "Top-Tier", AND(70&gt;E1429, E1429&gt;39), "Mid-Tier", 40&gt;E1429, "Low-Tier")</f>
        <v>Top-Tier</v>
      </c>
      <c r="G1429" s="4">
        <v>44743</v>
      </c>
      <c r="H1429" t="s">
        <v>2061</v>
      </c>
      <c r="I1429" t="s">
        <v>33</v>
      </c>
      <c r="J1429" t="s">
        <v>214</v>
      </c>
      <c r="K1429" t="s">
        <v>94</v>
      </c>
      <c r="L1429" t="s">
        <v>24</v>
      </c>
      <c r="M1429" t="s">
        <v>203</v>
      </c>
      <c r="N1429" t="s">
        <v>31</v>
      </c>
      <c r="P1429" s="3">
        <v>76</v>
      </c>
      <c r="Q1429" t="str">
        <f>LEFT(B1429, 6)</f>
        <v>Lenovo</v>
      </c>
      <c r="R1429" t="str">
        <f t="shared" si="88"/>
        <v>Intel Core i7 (13th Gen)</v>
      </c>
      <c r="S1429" t="str">
        <f t="shared" si="87"/>
        <v>16 GB</v>
      </c>
    </row>
    <row r="1430" spans="1:19">
      <c r="A1430" t="str">
        <f>LEFT(B1430, LEN(B1430)-15)</f>
        <v>Lenovo Yoga 6 Gen 7 (82UD0068IN) Laptop (AMD Octa Core Ryzen 7/16 GB/512 GB SSD/Windows 11)</v>
      </c>
      <c r="B1430" t="s">
        <v>2063</v>
      </c>
      <c r="C1430" s="1">
        <v>71990</v>
      </c>
      <c r="D1430" s="1">
        <v>24</v>
      </c>
      <c r="E1430" s="2">
        <v>76</v>
      </c>
      <c r="F1430" s="2" t="str" cm="1">
        <f t="array" ref="F1430">_xlfn.IFS(AND(101&gt;E1430, E1430&gt;69), "Top-Tier", AND(70&gt;E1430, E1430&gt;39), "Mid-Tier", 40&gt;E1430, "Low-Tier")</f>
        <v>Top-Tier</v>
      </c>
      <c r="G1430" s="4">
        <v>44743</v>
      </c>
      <c r="H1430" t="s">
        <v>2061</v>
      </c>
      <c r="I1430" t="s">
        <v>33</v>
      </c>
      <c r="J1430" t="s">
        <v>214</v>
      </c>
      <c r="K1430" t="s">
        <v>2064</v>
      </c>
      <c r="L1430" t="s">
        <v>24</v>
      </c>
      <c r="M1430" t="s">
        <v>203</v>
      </c>
      <c r="N1430" t="s">
        <v>31</v>
      </c>
      <c r="P1430" s="3">
        <v>71</v>
      </c>
      <c r="Q1430" t="str">
        <f>LEFT(B1430, 6)</f>
        <v>Lenovo</v>
      </c>
      <c r="R1430" t="str">
        <f t="shared" si="88"/>
        <v>Intel Core i7 (13th Gen)</v>
      </c>
      <c r="S1430" t="str">
        <f t="shared" si="87"/>
        <v>16 GB</v>
      </c>
    </row>
    <row r="1431" spans="1:19">
      <c r="A1431" t="str">
        <f>LEFT(B1431, LEN(B1431)-15)</f>
        <v>Asus ROG Zephyrus Duo 16 GX650RM-LS019WS Laptop (AMD Octa Core Ryzen 7/32 GB/2 TB SSD/Windows 11/6 GB)</v>
      </c>
      <c r="B1431" t="s">
        <v>2065</v>
      </c>
      <c r="C1431" s="1">
        <v>161187</v>
      </c>
      <c r="D1431" s="1">
        <v>9</v>
      </c>
      <c r="E1431" s="2">
        <v>76</v>
      </c>
      <c r="F1431" s="2" t="str" cm="1">
        <f t="array" ref="F1431">_xlfn.IFS(AND(101&gt;E1431, E1431&gt;69), "Top-Tier", AND(70&gt;E1431, E1431&gt;39), "Mid-Tier", 40&gt;E1431, "Low-Tier")</f>
        <v>Top-Tier</v>
      </c>
      <c r="G1431" s="4">
        <v>44743</v>
      </c>
      <c r="H1431" t="s">
        <v>2061</v>
      </c>
      <c r="I1431" t="s">
        <v>33</v>
      </c>
      <c r="J1431" t="s">
        <v>172</v>
      </c>
      <c r="K1431" t="s">
        <v>1417</v>
      </c>
      <c r="L1431" t="s">
        <v>24</v>
      </c>
      <c r="M1431" t="s">
        <v>237</v>
      </c>
      <c r="N1431" t="s">
        <v>31</v>
      </c>
      <c r="P1431" s="3">
        <v>86</v>
      </c>
      <c r="Q1431" t="str">
        <f>LEFT(B1431, 4)</f>
        <v>Asus</v>
      </c>
      <c r="R1431" t="str">
        <f t="shared" si="88"/>
        <v>Intel Core i7 (13th Gen)</v>
      </c>
      <c r="S1431" t="str">
        <f t="shared" si="87"/>
        <v>32 GB</v>
      </c>
    </row>
    <row r="1432" spans="1:19">
      <c r="A1432" t="str">
        <f>LEFT(B1432, LEN(B1432)-15)</f>
        <v>Dell Vostro 3420 (D552299WIN9BE) Laptop (Core i3 11th Gen/8 GB/256 GB SSD/Windows 11)</v>
      </c>
      <c r="B1432" t="s">
        <v>2066</v>
      </c>
      <c r="C1432" s="1">
        <v>52938</v>
      </c>
      <c r="D1432" s="1">
        <v>833</v>
      </c>
      <c r="E1432" s="2">
        <v>76</v>
      </c>
      <c r="F1432" s="2" t="str" cm="1">
        <f t="array" ref="F1432">_xlfn.IFS(AND(101&gt;E1432, E1432&gt;69), "Top-Tier", AND(70&gt;E1432, E1432&gt;39), "Mid-Tier", 40&gt;E1432, "Low-Tier")</f>
        <v>Top-Tier</v>
      </c>
      <c r="G1432" s="4">
        <v>44743</v>
      </c>
      <c r="H1432" t="s">
        <v>2061</v>
      </c>
      <c r="I1432" t="s">
        <v>33</v>
      </c>
      <c r="J1432" t="s">
        <v>338</v>
      </c>
      <c r="K1432" t="s">
        <v>149</v>
      </c>
      <c r="L1432" t="s">
        <v>24</v>
      </c>
      <c r="N1432" t="s">
        <v>31</v>
      </c>
      <c r="Q1432" t="str">
        <f>LEFT(B1432, 4)</f>
        <v>Dell</v>
      </c>
      <c r="R1432" t="str">
        <f t="shared" si="88"/>
        <v>Intel Core i7 (13th Gen)</v>
      </c>
      <c r="S1432" t="str">
        <f t="shared" si="87"/>
        <v xml:space="preserve">8 GB </v>
      </c>
    </row>
    <row r="1433" spans="1:19">
      <c r="A1433" t="str">
        <f>LEFT(B1433, LEN(B1433)-15)</f>
        <v>HP 250 G8 (6G9R1PA) Laptop (Core i3 11th Gen/8 GB/512 GB SSD/DOS)</v>
      </c>
      <c r="B1433" t="s">
        <v>2067</v>
      </c>
      <c r="C1433" s="1">
        <v>31990</v>
      </c>
      <c r="D1433" s="1">
        <v>262</v>
      </c>
      <c r="E1433" s="2">
        <v>76</v>
      </c>
      <c r="F1433" s="2" t="str" cm="1">
        <f t="array" ref="F1433">_xlfn.IFS(AND(101&gt;E1433, E1433&gt;69), "Top-Tier", AND(70&gt;E1433, E1433&gt;39), "Mid-Tier", 40&gt;E1433, "Low-Tier")</f>
        <v>Top-Tier</v>
      </c>
      <c r="G1433" s="4">
        <v>44743</v>
      </c>
      <c r="H1433" t="s">
        <v>2061</v>
      </c>
      <c r="I1433" t="s">
        <v>124</v>
      </c>
      <c r="J1433" t="s">
        <v>50</v>
      </c>
      <c r="K1433" t="s">
        <v>674</v>
      </c>
      <c r="L1433" t="s">
        <v>24</v>
      </c>
      <c r="M1433" t="s">
        <v>52</v>
      </c>
      <c r="N1433" t="s">
        <v>31</v>
      </c>
      <c r="Q1433" t="str">
        <f>LEFT(B1433, 2)</f>
        <v>HP</v>
      </c>
      <c r="R1433" t="str">
        <f t="shared" si="88"/>
        <v>Intel Core i7 (13th Gen)</v>
      </c>
      <c r="S1433" t="str">
        <f t="shared" si="87"/>
        <v xml:space="preserve">8 GB </v>
      </c>
    </row>
    <row r="1434" spans="1:19">
      <c r="A1434" t="str">
        <f>LEFT(B1434, LEN(B1434)-15)</f>
        <v>Asus ROG Zephyrus G14 GA402RJ-L8181WS Laptop (AMD Octa Core Ryzen 7/16 GB/1 TB SSD/Windows 11/8)</v>
      </c>
      <c r="B1434" t="s">
        <v>2068</v>
      </c>
      <c r="C1434" s="1">
        <v>121999</v>
      </c>
      <c r="D1434" s="1">
        <v>4</v>
      </c>
      <c r="E1434" s="2">
        <v>76</v>
      </c>
      <c r="F1434" s="2" t="str" cm="1">
        <f t="array" ref="F1434">_xlfn.IFS(AND(101&gt;E1434, E1434&gt;69), "Top-Tier", AND(70&gt;E1434, E1434&gt;39), "Mid-Tier", 40&gt;E1434, "Low-Tier")</f>
        <v>Top-Tier</v>
      </c>
      <c r="G1434" s="4">
        <v>44743</v>
      </c>
      <c r="H1434" t="s">
        <v>2061</v>
      </c>
      <c r="I1434" t="s">
        <v>33</v>
      </c>
      <c r="J1434" t="s">
        <v>72</v>
      </c>
      <c r="K1434" t="s">
        <v>1508</v>
      </c>
      <c r="L1434" t="s">
        <v>24</v>
      </c>
      <c r="M1434" t="s">
        <v>1713</v>
      </c>
      <c r="N1434" t="s">
        <v>31</v>
      </c>
      <c r="P1434" s="3">
        <v>77</v>
      </c>
      <c r="Q1434" t="str">
        <f>LEFT(B1434, 4)</f>
        <v>Asus</v>
      </c>
      <c r="R1434" t="str">
        <f t="shared" si="88"/>
        <v>Intel Core i7 (13th Gen)</v>
      </c>
      <c r="S1434" t="str">
        <f t="shared" si="87"/>
        <v>16 GB</v>
      </c>
    </row>
    <row r="1435" spans="1:19">
      <c r="A1435" t="str">
        <f>LEFT(B1435, LEN(B1435)-15)</f>
        <v>Dell Inspiron 15 3525 (D560760WIN9B) Laptop (AMD Quad Core Ryzen 3/8 GB/512 GB SSD/Windows 11)</v>
      </c>
      <c r="B1435" t="s">
        <v>2069</v>
      </c>
      <c r="C1435" s="1">
        <v>40499</v>
      </c>
      <c r="D1435" s="1">
        <v>176</v>
      </c>
      <c r="E1435" s="2">
        <v>76</v>
      </c>
      <c r="F1435" s="2" t="str" cm="1">
        <f t="array" ref="F1435">_xlfn.IFS(AND(101&gt;E1435, E1435&gt;69), "Top-Tier", AND(70&gt;E1435, E1435&gt;39), "Mid-Tier", 40&gt;E1435, "Low-Tier")</f>
        <v>Top-Tier</v>
      </c>
      <c r="G1435" s="4">
        <v>44713</v>
      </c>
      <c r="H1435" t="s">
        <v>2061</v>
      </c>
      <c r="I1435" t="s">
        <v>33</v>
      </c>
      <c r="J1435" t="s">
        <v>50</v>
      </c>
      <c r="K1435" t="s">
        <v>51</v>
      </c>
      <c r="L1435" t="s">
        <v>24</v>
      </c>
      <c r="M1435" t="s">
        <v>203</v>
      </c>
      <c r="N1435" t="s">
        <v>31</v>
      </c>
      <c r="Q1435" t="str">
        <f>LEFT(B1435, 4)</f>
        <v>Dell</v>
      </c>
      <c r="R1435" t="str">
        <f t="shared" si="88"/>
        <v>Intel Core i7 (13th Gen)</v>
      </c>
      <c r="S1435" t="str">
        <f t="shared" si="87"/>
        <v xml:space="preserve">8 GB </v>
      </c>
    </row>
    <row r="1436" spans="1:19">
      <c r="A1436" t="str">
        <f>LEFT(B1436, LEN(B1436)-15)</f>
        <v>Lenovo IdeaPad Slim 3 14AMN8 (82XN006JIN) Laptop (AMD Quad Core Ryzen 3/8 GB/512 GB SSD/Windows 11)</v>
      </c>
      <c r="B1436" t="s">
        <v>2070</v>
      </c>
      <c r="C1436" s="1">
        <v>29990</v>
      </c>
      <c r="D1436" s="1">
        <v>19</v>
      </c>
      <c r="E1436" s="2">
        <v>74</v>
      </c>
      <c r="F1436" s="2" t="str" cm="1">
        <f t="array" ref="F1436">_xlfn.IFS(AND(101&gt;E1436, E1436&gt;69), "Top-Tier", AND(70&gt;E1436, E1436&gt;39), "Mid-Tier", 40&gt;E1436, "Low-Tier")</f>
        <v>Top-Tier</v>
      </c>
      <c r="G1436" s="4">
        <v>45627</v>
      </c>
      <c r="H1436" t="s">
        <v>2061</v>
      </c>
      <c r="I1436" t="s">
        <v>33</v>
      </c>
      <c r="J1436" t="s">
        <v>162</v>
      </c>
      <c r="K1436" t="s">
        <v>1140</v>
      </c>
      <c r="L1436" t="s">
        <v>24</v>
      </c>
      <c r="M1436" t="s">
        <v>95</v>
      </c>
      <c r="N1436" t="s">
        <v>31</v>
      </c>
      <c r="P1436" s="3">
        <v>74</v>
      </c>
      <c r="Q1436" t="str">
        <f>LEFT(B1436, 6)</f>
        <v>Lenovo</v>
      </c>
      <c r="R1436" t="str">
        <f t="shared" si="88"/>
        <v>Intel Core i7 (13th Gen)</v>
      </c>
      <c r="S1436" t="str">
        <f t="shared" si="87"/>
        <v xml:space="preserve">8 GB </v>
      </c>
    </row>
    <row r="1437" spans="1:19">
      <c r="A1437" t="str">
        <f>LEFT(B1437, LEN(B1437)-15)</f>
        <v>HP 255 G10 (B15J0PT) Laptop (AMD Quad Core Ryzen 5/8 GB/512 GB SSD/DOS)</v>
      </c>
      <c r="B1437" t="s">
        <v>2071</v>
      </c>
      <c r="C1437" s="1">
        <v>30880</v>
      </c>
      <c r="D1437" s="1">
        <v>89</v>
      </c>
      <c r="E1437" s="2">
        <v>74</v>
      </c>
      <c r="F1437" s="2" t="str" cm="1">
        <f t="array" ref="F1437">_xlfn.IFS(AND(101&gt;E1437, E1437&gt;69), "Top-Tier", AND(70&gt;E1437, E1437&gt;39), "Mid-Tier", 40&gt;E1437, "Low-Tier")</f>
        <v>Top-Tier</v>
      </c>
      <c r="G1437" s="4">
        <v>45566</v>
      </c>
      <c r="H1437" t="s">
        <v>2061</v>
      </c>
      <c r="I1437" t="s">
        <v>124</v>
      </c>
      <c r="J1437" t="s">
        <v>50</v>
      </c>
      <c r="K1437" t="s">
        <v>674</v>
      </c>
      <c r="L1437" t="s">
        <v>24</v>
      </c>
      <c r="M1437" t="s">
        <v>99</v>
      </c>
      <c r="N1437" t="s">
        <v>31</v>
      </c>
      <c r="P1437" s="3">
        <v>75</v>
      </c>
      <c r="Q1437" t="str">
        <f>LEFT(B1437, 2)</f>
        <v>HP</v>
      </c>
      <c r="R1437" t="str">
        <f t="shared" si="88"/>
        <v>Intel Core i7 (13th Gen)</v>
      </c>
      <c r="S1437" t="str">
        <f t="shared" si="87"/>
        <v xml:space="preserve">8 GB </v>
      </c>
    </row>
    <row r="1438" spans="1:19">
      <c r="A1438" t="str">
        <f>LEFT(B1438, LEN(B1438)-15)</f>
        <v>Lenovo IdeaPad Slim 3 15IRH8 (83EM00H0IN) Laptop (Core i5 13th Gen/16 GB/512 GB SSD/Windows 11)</v>
      </c>
      <c r="B1438" t="s">
        <v>2072</v>
      </c>
      <c r="C1438" s="1">
        <v>57890</v>
      </c>
      <c r="D1438" s="1">
        <v>13</v>
      </c>
      <c r="E1438" s="2">
        <v>74</v>
      </c>
      <c r="F1438" s="2" t="str" cm="1">
        <f t="array" ref="F1438">_xlfn.IFS(AND(101&gt;E1438, E1438&gt;69), "Top-Tier", AND(70&gt;E1438, E1438&gt;39), "Mid-Tier", 40&gt;E1438, "Low-Tier")</f>
        <v>Top-Tier</v>
      </c>
      <c r="G1438" s="4">
        <v>45627</v>
      </c>
      <c r="H1438" t="s">
        <v>2061</v>
      </c>
      <c r="I1438" t="s">
        <v>33</v>
      </c>
      <c r="J1438" t="s">
        <v>121</v>
      </c>
      <c r="K1438" t="s">
        <v>51</v>
      </c>
      <c r="L1438" t="s">
        <v>24</v>
      </c>
      <c r="M1438" t="s">
        <v>95</v>
      </c>
      <c r="N1438" t="s">
        <v>31</v>
      </c>
      <c r="P1438" s="3">
        <v>81</v>
      </c>
      <c r="Q1438" t="str">
        <f>LEFT(B1438, 6)</f>
        <v>Lenovo</v>
      </c>
      <c r="R1438" t="str">
        <f t="shared" si="88"/>
        <v>Intel Core i7 (13th Gen)</v>
      </c>
      <c r="S1438" t="str">
        <f t="shared" si="87"/>
        <v>16 GB</v>
      </c>
    </row>
    <row r="1439" spans="1:19">
      <c r="A1439" t="str">
        <f>LEFT(B1439, LEN(B1439)-15)</f>
        <v>Asus ROG Flow Z13 GZ302EA-RU420WS Laptop (AMD Dodeca Core Ryzen AI Max/32 GB/1 TB SSD/Windows 11)</v>
      </c>
      <c r="B1439" t="s">
        <v>2073</v>
      </c>
      <c r="C1439" s="1">
        <v>199990</v>
      </c>
      <c r="D1439" s="1">
        <v>3</v>
      </c>
      <c r="E1439" s="2">
        <v>74</v>
      </c>
      <c r="F1439" s="2" t="str" cm="1">
        <f t="array" ref="F1439">_xlfn.IFS(AND(101&gt;E1439, E1439&gt;69), "Top-Tier", AND(70&gt;E1439, E1439&gt;39), "Mid-Tier", 40&gt;E1439, "Low-Tier")</f>
        <v>Top-Tier</v>
      </c>
      <c r="G1439" s="4">
        <v>45778</v>
      </c>
      <c r="H1439" t="s">
        <v>2061</v>
      </c>
      <c r="I1439" t="s">
        <v>33</v>
      </c>
      <c r="J1439" t="s">
        <v>58</v>
      </c>
      <c r="K1439" t="s">
        <v>2074</v>
      </c>
      <c r="L1439" t="s">
        <v>24</v>
      </c>
      <c r="M1439" t="s">
        <v>108</v>
      </c>
      <c r="N1439" t="s">
        <v>31</v>
      </c>
      <c r="P1439" s="3">
        <v>86</v>
      </c>
      <c r="Q1439" t="str">
        <f>LEFT(B1439, 4)</f>
        <v>Asus</v>
      </c>
      <c r="R1439" t="str">
        <f t="shared" si="88"/>
        <v>Intel Core i7 (13th Gen)</v>
      </c>
      <c r="S1439" t="str">
        <f t="shared" si="87"/>
        <v>32 GB</v>
      </c>
    </row>
    <row r="1440" spans="1:19">
      <c r="A1440" t="str">
        <f>LEFT(B1440, LEN(B1440)-15)</f>
        <v>HP OmniBook 5 16-AG1037AU (BP0J7PA) Laptop (AMD Hexa Core Ryzen AI 5/16 GB/512 GB SSD/Windows 11)</v>
      </c>
      <c r="B1440" t="s">
        <v>2075</v>
      </c>
      <c r="C1440" s="1">
        <v>72490</v>
      </c>
      <c r="D1440" s="1">
        <v>3</v>
      </c>
      <c r="E1440" s="2">
        <v>74</v>
      </c>
      <c r="F1440" s="2" t="str" cm="1">
        <f t="array" ref="F1440">_xlfn.IFS(AND(101&gt;E1440, E1440&gt;69), "Top-Tier", AND(70&gt;E1440, E1440&gt;39), "Mid-Tier", 40&gt;E1440, "Low-Tier")</f>
        <v>Top-Tier</v>
      </c>
      <c r="G1440" s="4">
        <v>45748</v>
      </c>
      <c r="H1440" t="s">
        <v>2061</v>
      </c>
      <c r="I1440" t="s">
        <v>33</v>
      </c>
      <c r="J1440" t="s">
        <v>63</v>
      </c>
      <c r="K1440" t="s">
        <v>577</v>
      </c>
      <c r="L1440" t="s">
        <v>24</v>
      </c>
      <c r="M1440" t="s">
        <v>95</v>
      </c>
      <c r="N1440" t="s">
        <v>31</v>
      </c>
      <c r="P1440" s="3">
        <v>76</v>
      </c>
      <c r="Q1440" t="str">
        <f>LEFT(B1440, 2)</f>
        <v>HP</v>
      </c>
      <c r="R1440" t="str">
        <f t="shared" si="88"/>
        <v>Intel Core i7 (13th Gen)</v>
      </c>
      <c r="S1440" t="str">
        <f t="shared" si="87"/>
        <v>16 GB</v>
      </c>
    </row>
    <row r="1441" spans="1:19">
      <c r="A1441" t="str">
        <f>LEFT(B1441, LEN(B1441)-15)</f>
        <v>Asus TUF Gaming A14 FA401UU-RG033WS Laptop (AMD Octa Core Ryzen 7/16 GB/1 TB SSD/Windows 11/6 GB)</v>
      </c>
      <c r="B1441" t="s">
        <v>2076</v>
      </c>
      <c r="C1441" s="1">
        <v>129990</v>
      </c>
      <c r="D1441" s="1">
        <v>3</v>
      </c>
      <c r="E1441" s="2">
        <v>74</v>
      </c>
      <c r="F1441" s="2" t="str" cm="1">
        <f t="array" ref="F1441">_xlfn.IFS(AND(101&gt;E1441, E1441&gt;69), "Top-Tier", AND(70&gt;E1441, E1441&gt;39), "Mid-Tier", 40&gt;E1441, "Low-Tier")</f>
        <v>Top-Tier</v>
      </c>
      <c r="G1441" s="4">
        <v>45474</v>
      </c>
      <c r="H1441" t="s">
        <v>2061</v>
      </c>
      <c r="I1441" t="s">
        <v>33</v>
      </c>
      <c r="J1441" t="s">
        <v>42</v>
      </c>
      <c r="K1441" t="s">
        <v>221</v>
      </c>
      <c r="L1441" t="s">
        <v>24</v>
      </c>
      <c r="M1441" t="s">
        <v>52</v>
      </c>
      <c r="N1441" t="s">
        <v>31</v>
      </c>
      <c r="Q1441" t="str">
        <f>LEFT(B1441, 4)</f>
        <v>Asus</v>
      </c>
      <c r="R1441" t="str">
        <f t="shared" si="88"/>
        <v>Intel Core i7 (13th Gen)</v>
      </c>
      <c r="S1441" t="str">
        <f t="shared" si="87"/>
        <v>16 GB</v>
      </c>
    </row>
    <row r="1442" spans="1:19">
      <c r="A1442" t="str">
        <f>LEFT(B1442, LEN(B1442)-15)</f>
        <v>Dell Inspiron 15 3567 (A561222SIN9) Laptop (Core i3 6th Gen/4 GB/1 TB/Windows 10)</v>
      </c>
      <c r="B1442" t="s">
        <v>2077</v>
      </c>
      <c r="C1442" s="1">
        <v>34990</v>
      </c>
      <c r="D1442" s="1">
        <v>515</v>
      </c>
      <c r="E1442" s="2">
        <v>74</v>
      </c>
      <c r="F1442" s="2" t="str" cm="1">
        <f t="array" ref="F1442">_xlfn.IFS(AND(101&gt;E1442, E1442&gt;69), "Top-Tier", AND(70&gt;E1442, E1442&gt;39), "Mid-Tier", 40&gt;E1442, "Low-Tier")</f>
        <v>Top-Tier</v>
      </c>
      <c r="H1442" t="s">
        <v>2061</v>
      </c>
      <c r="I1442" t="s">
        <v>248</v>
      </c>
      <c r="J1442" t="s">
        <v>542</v>
      </c>
      <c r="K1442" t="s">
        <v>705</v>
      </c>
      <c r="L1442" t="s">
        <v>24</v>
      </c>
      <c r="N1442" t="s">
        <v>31</v>
      </c>
      <c r="O1442" t="s">
        <v>254</v>
      </c>
      <c r="Q1442" t="str">
        <f>LEFT(B1442, 4)</f>
        <v>Dell</v>
      </c>
      <c r="R1442" t="str">
        <f t="shared" si="88"/>
        <v>Intel Core i7 (13th Gen)</v>
      </c>
      <c r="S1442" t="str">
        <f t="shared" si="87"/>
        <v xml:space="preserve">4 GB </v>
      </c>
    </row>
    <row r="1443" spans="1:19">
      <c r="A1443" t="str">
        <f>LEFT(B1443, LEN(B1443)-15)</f>
        <v>Acer Aspire 5 A515-51 (UN.GSZSI.005) Laptop (Core i5 8th Gen/4 GB/1 TB/Windows 10)</v>
      </c>
      <c r="B1443" t="s">
        <v>2078</v>
      </c>
      <c r="C1443" s="1">
        <v>34990</v>
      </c>
      <c r="D1443" s="1">
        <v>208</v>
      </c>
      <c r="E1443" s="2">
        <v>74</v>
      </c>
      <c r="F1443" s="2" t="str" cm="1">
        <f t="array" ref="F1443">_xlfn.IFS(AND(101&gt;E1443, E1443&gt;69), "Top-Tier", AND(70&gt;E1443, E1443&gt;39), "Mid-Tier", 40&gt;E1443, "Low-Tier")</f>
        <v>Top-Tier</v>
      </c>
      <c r="H1443" t="s">
        <v>2061</v>
      </c>
      <c r="I1443" t="s">
        <v>248</v>
      </c>
      <c r="J1443" t="s">
        <v>542</v>
      </c>
      <c r="K1443" t="s">
        <v>705</v>
      </c>
      <c r="L1443" t="s">
        <v>24</v>
      </c>
      <c r="M1443" t="s">
        <v>2079</v>
      </c>
      <c r="N1443" t="s">
        <v>31</v>
      </c>
      <c r="O1443" t="s">
        <v>152</v>
      </c>
      <c r="Q1443" t="str">
        <f>LEFT(B1443, 4)</f>
        <v>Acer</v>
      </c>
      <c r="R1443" t="str">
        <f t="shared" si="88"/>
        <v>Intel Core i7 (13th Gen)</v>
      </c>
      <c r="S1443" t="str">
        <f t="shared" si="87"/>
        <v xml:space="preserve">4 GB </v>
      </c>
    </row>
    <row r="1444" spans="1:19">
      <c r="A1444" t="str">
        <f>LEFT(B1444, LEN(B1444)-15)</f>
        <v>HP 245 G9 (8M397PA) Laptop (AMD Hexa Core Ryzen 5/8 GB/512 GB SSD/DOS)</v>
      </c>
      <c r="B1444" t="s">
        <v>2080</v>
      </c>
      <c r="C1444" s="1">
        <v>33990</v>
      </c>
      <c r="D1444" s="1">
        <v>36</v>
      </c>
      <c r="E1444" s="2">
        <v>74</v>
      </c>
      <c r="F1444" s="2" t="str" cm="1">
        <f t="array" ref="F1444">_xlfn.IFS(AND(101&gt;E1444, E1444&gt;69), "Top-Tier", AND(70&gt;E1444, E1444&gt;39), "Mid-Tier", 40&gt;E1444, "Low-Tier")</f>
        <v>Top-Tier</v>
      </c>
      <c r="G1444" s="4">
        <v>45505</v>
      </c>
      <c r="H1444" t="s">
        <v>2061</v>
      </c>
      <c r="I1444" t="s">
        <v>124</v>
      </c>
      <c r="J1444" t="s">
        <v>50</v>
      </c>
      <c r="K1444" t="s">
        <v>224</v>
      </c>
      <c r="L1444" t="s">
        <v>24</v>
      </c>
      <c r="M1444" t="s">
        <v>52</v>
      </c>
      <c r="N1444" t="s">
        <v>31</v>
      </c>
      <c r="P1444" s="3">
        <v>74</v>
      </c>
      <c r="Q1444" t="str">
        <f>LEFT(B1444, 2)</f>
        <v>HP</v>
      </c>
      <c r="R1444" t="str">
        <f t="shared" si="88"/>
        <v>Intel Core i7 (13th Gen)</v>
      </c>
      <c r="S1444" t="str">
        <f t="shared" si="87"/>
        <v xml:space="preserve">8 GB </v>
      </c>
    </row>
    <row r="1445" spans="1:19">
      <c r="A1445" t="str">
        <f>LEFT(B1445, LEN(B1445)-15)</f>
        <v>HP 245 G10 (B0WM2PT) Laptop (AMD Quad Core Ryzen 5/8 GB/512 GB SSD/Windows 11)</v>
      </c>
      <c r="B1445" t="s">
        <v>2081</v>
      </c>
      <c r="C1445" s="1">
        <v>35990</v>
      </c>
      <c r="D1445" s="1">
        <v>6</v>
      </c>
      <c r="E1445" s="2">
        <v>74</v>
      </c>
      <c r="F1445" s="2" t="str" cm="1">
        <f t="array" ref="F1445">_xlfn.IFS(AND(101&gt;E1445, E1445&gt;69), "Top-Tier", AND(70&gt;E1445, E1445&gt;39), "Mid-Tier", 40&gt;E1445, "Low-Tier")</f>
        <v>Top-Tier</v>
      </c>
      <c r="G1445" s="4">
        <v>45597</v>
      </c>
      <c r="H1445" t="s">
        <v>2061</v>
      </c>
      <c r="I1445" t="s">
        <v>33</v>
      </c>
      <c r="J1445" t="s">
        <v>955</v>
      </c>
      <c r="K1445" t="s">
        <v>1334</v>
      </c>
      <c r="L1445" t="s">
        <v>24</v>
      </c>
      <c r="N1445" t="s">
        <v>31</v>
      </c>
      <c r="Q1445" t="str">
        <f>LEFT(B1445, 2)</f>
        <v>HP</v>
      </c>
      <c r="R1445" t="str">
        <f t="shared" si="88"/>
        <v>Intel Core i7 (13th Gen)</v>
      </c>
      <c r="S1445" t="str">
        <f t="shared" si="87"/>
        <v xml:space="preserve">8 GB </v>
      </c>
    </row>
    <row r="1446" spans="1:19">
      <c r="A1446" t="str">
        <f>LEFT(B1446, LEN(B1446)-15)</f>
        <v>MSI Modern 14 C12MO-1211IN Laptop (Core i7 13th Gen/16 GB/512 GB SSD/Windows 11)</v>
      </c>
      <c r="B1446" t="s">
        <v>2082</v>
      </c>
      <c r="C1446" s="1">
        <v>44500</v>
      </c>
      <c r="D1446" s="1">
        <v>3</v>
      </c>
      <c r="E1446" s="2">
        <v>74</v>
      </c>
      <c r="F1446" s="2" t="str" cm="1">
        <f t="array" ref="F1446">_xlfn.IFS(AND(101&gt;E1446, E1446&gt;69), "Top-Tier", AND(70&gt;E1446, E1446&gt;39), "Mid-Tier", 40&gt;E1446, "Low-Tier")</f>
        <v>Top-Tier</v>
      </c>
      <c r="G1446" s="4">
        <v>45474</v>
      </c>
      <c r="H1446" t="s">
        <v>2061</v>
      </c>
      <c r="I1446" t="s">
        <v>33</v>
      </c>
      <c r="J1446" t="s">
        <v>54</v>
      </c>
      <c r="K1446" t="s">
        <v>149</v>
      </c>
      <c r="L1446" t="s">
        <v>24</v>
      </c>
      <c r="N1446" t="s">
        <v>31</v>
      </c>
      <c r="P1446" s="3">
        <v>80</v>
      </c>
      <c r="Q1446" t="str">
        <f>LEFT(B1446, 3)</f>
        <v>MSI</v>
      </c>
      <c r="R1446" t="str">
        <f t="shared" si="88"/>
        <v>Intel Core i7 (13th Gen)</v>
      </c>
      <c r="S1446" t="str">
        <f t="shared" si="87"/>
        <v>16 GB</v>
      </c>
    </row>
    <row r="1447" spans="1:19">
      <c r="A1447" t="str">
        <f>LEFT(B1447, LEN(B1447)-15)</f>
        <v>HP Omen 16-wf0055TX (834T9PA) Laptop (Core i7 13th Gen/16 GB/512 GB SSD/Windows 11/8 GB)</v>
      </c>
      <c r="B1447" t="s">
        <v>2083</v>
      </c>
      <c r="C1447" s="1">
        <v>146990</v>
      </c>
      <c r="D1447" s="1">
        <v>3</v>
      </c>
      <c r="E1447" s="2">
        <v>74</v>
      </c>
      <c r="F1447" s="2" t="str" cm="1">
        <f t="array" ref="F1447">_xlfn.IFS(AND(101&gt;E1447, E1447&gt;69), "Top-Tier", AND(70&gt;E1447, E1447&gt;39), "Mid-Tier", 40&gt;E1447, "Low-Tier")</f>
        <v>Top-Tier</v>
      </c>
      <c r="G1447" s="4">
        <v>45108</v>
      </c>
      <c r="H1447" t="s">
        <v>2061</v>
      </c>
      <c r="I1447" t="s">
        <v>33</v>
      </c>
      <c r="J1447" t="s">
        <v>54</v>
      </c>
      <c r="K1447" t="s">
        <v>271</v>
      </c>
      <c r="L1447" t="s">
        <v>24</v>
      </c>
      <c r="N1447" t="s">
        <v>31</v>
      </c>
      <c r="Q1447" t="str">
        <f>LEFT(B1447, 2)</f>
        <v>HP</v>
      </c>
      <c r="R1447" t="str">
        <f t="shared" si="88"/>
        <v>Intel Core i7 (13th Gen)</v>
      </c>
      <c r="S1447" t="str">
        <f t="shared" si="87"/>
        <v>16 GB</v>
      </c>
    </row>
    <row r="1448" spans="1:19">
      <c r="A1448" t="str">
        <f>LEFT(B1448, LEN(B1448)-15)</f>
        <v>Acer Predator Triton 700 PT715-51 (NH.Q2KSI.002) Laptop (Core i7 7th Gen/16 GB/1 TB SSD/Windows 10/6 GB)</v>
      </c>
      <c r="B1448" t="s">
        <v>2084</v>
      </c>
      <c r="C1448" s="1">
        <v>99990</v>
      </c>
      <c r="D1448" s="1">
        <v>115</v>
      </c>
      <c r="E1448" s="2">
        <v>74</v>
      </c>
      <c r="F1448" s="2" t="str" cm="1">
        <f t="array" ref="F1448">_xlfn.IFS(AND(101&gt;E1448, E1448&gt;69), "Top-Tier", AND(70&gt;E1448, E1448&gt;39), "Mid-Tier", 40&gt;E1448, "Low-Tier")</f>
        <v>Top-Tier</v>
      </c>
      <c r="G1448" s="4">
        <v>43800</v>
      </c>
      <c r="H1448" t="s">
        <v>2061</v>
      </c>
      <c r="I1448" t="s">
        <v>248</v>
      </c>
      <c r="J1448" t="s">
        <v>184</v>
      </c>
      <c r="K1448" t="s">
        <v>249</v>
      </c>
      <c r="L1448" t="s">
        <v>24</v>
      </c>
      <c r="M1448" t="s">
        <v>122</v>
      </c>
      <c r="N1448" t="s">
        <v>31</v>
      </c>
      <c r="O1448" t="s">
        <v>254</v>
      </c>
      <c r="Q1448" t="str">
        <f>LEFT(B1448, 4)</f>
        <v>Acer</v>
      </c>
      <c r="R1448" t="str">
        <f t="shared" si="88"/>
        <v>Intel Core i7 (13th Gen)</v>
      </c>
      <c r="S1448" t="str">
        <f t="shared" si="87"/>
        <v>16 GB</v>
      </c>
    </row>
    <row r="1449" spans="1:19">
      <c r="A1449" t="str">
        <f>LEFT(B1449, LEN(B1449)-15)</f>
        <v>Lenovo IdeaPad Slim 5 16IRL8 (82XF003HIN) Laptop (Core i7 13th Gen/16 GB/512 GB SSD/Windows 11)</v>
      </c>
      <c r="B1449" t="s">
        <v>2085</v>
      </c>
      <c r="C1449" s="1">
        <v>78190</v>
      </c>
      <c r="D1449" s="1">
        <v>44</v>
      </c>
      <c r="E1449" s="2">
        <v>74</v>
      </c>
      <c r="F1449" s="2" t="str" cm="1">
        <f t="array" ref="F1449">_xlfn.IFS(AND(101&gt;E1449, E1449&gt;69), "Top-Tier", AND(70&gt;E1449, E1449&gt;39), "Mid-Tier", 40&gt;E1449, "Low-Tier")</f>
        <v>Top-Tier</v>
      </c>
      <c r="G1449" s="4">
        <v>45597</v>
      </c>
      <c r="H1449" t="s">
        <v>2061</v>
      </c>
      <c r="I1449" t="s">
        <v>33</v>
      </c>
      <c r="J1449" t="s">
        <v>121</v>
      </c>
      <c r="K1449" t="s">
        <v>155</v>
      </c>
      <c r="L1449" t="s">
        <v>24</v>
      </c>
      <c r="M1449" t="s">
        <v>178</v>
      </c>
      <c r="N1449" t="s">
        <v>31</v>
      </c>
      <c r="P1449" s="3">
        <v>85</v>
      </c>
      <c r="Q1449" t="str">
        <f>LEFT(B1449, 6)</f>
        <v>Lenovo</v>
      </c>
      <c r="R1449" t="str">
        <f t="shared" si="88"/>
        <v>Intel Core i7 (13th Gen)</v>
      </c>
      <c r="S1449" t="str">
        <f t="shared" si="87"/>
        <v>16 GB</v>
      </c>
    </row>
    <row r="1450" spans="1:19">
      <c r="A1450" t="str">
        <f>LEFT(B1450, LEN(B1450)-15)</f>
        <v>Dell Vostro 3520 (VN3520VMN67001SDB1) Laptop (Core i3 12th Gen/8 GB/512 GB SSD/Windows 11)</v>
      </c>
      <c r="B1450" t="s">
        <v>2086</v>
      </c>
      <c r="C1450" s="1">
        <v>35990</v>
      </c>
      <c r="D1450" s="1">
        <v>891</v>
      </c>
      <c r="E1450" s="2">
        <v>74</v>
      </c>
      <c r="F1450" s="2" t="str" cm="1">
        <f t="array" ref="F1450">_xlfn.IFS(AND(101&gt;E1450, E1450&gt;69), "Top-Tier", AND(70&gt;E1450, E1450&gt;39), "Mid-Tier", 40&gt;E1450, "Low-Tier")</f>
        <v>Top-Tier</v>
      </c>
      <c r="G1450" s="4">
        <v>45444</v>
      </c>
      <c r="H1450" t="s">
        <v>2061</v>
      </c>
      <c r="I1450" t="s">
        <v>33</v>
      </c>
      <c r="J1450" t="s">
        <v>50</v>
      </c>
      <c r="K1450" t="s">
        <v>51</v>
      </c>
      <c r="L1450" t="s">
        <v>24</v>
      </c>
      <c r="N1450" t="s">
        <v>31</v>
      </c>
      <c r="P1450" s="3">
        <v>76</v>
      </c>
      <c r="Q1450" t="str">
        <f>LEFT(B1450, 4)</f>
        <v>Dell</v>
      </c>
      <c r="R1450" t="str">
        <f t="shared" si="88"/>
        <v>Intel Core i7 (13th Gen)</v>
      </c>
      <c r="S1450" t="str">
        <f t="shared" si="87"/>
        <v xml:space="preserve">8 GB </v>
      </c>
    </row>
    <row r="1451" spans="1:19">
      <c r="A1451" t="str">
        <f>LEFT(B1451, LEN(B1451)-15)</f>
        <v>Lenovo IdeaPad Slim 14IGL7 (82V6009LIN) Laptop (Intel Celeron Dual Core/8 GB/512 GB SSD/Windows 11)</v>
      </c>
      <c r="B1451" t="s">
        <v>2087</v>
      </c>
      <c r="C1451" s="1">
        <v>25900</v>
      </c>
      <c r="D1451" s="1">
        <v>270</v>
      </c>
      <c r="E1451" s="2">
        <v>74</v>
      </c>
      <c r="F1451" s="2" t="str" cm="1">
        <f t="array" ref="F1451">_xlfn.IFS(AND(101&gt;E1451, E1451&gt;69), "Top-Tier", AND(70&gt;E1451, E1451&gt;39), "Mid-Tier", 40&gt;E1451, "Low-Tier")</f>
        <v>Top-Tier</v>
      </c>
      <c r="G1451" s="4">
        <v>45444</v>
      </c>
      <c r="H1451" t="s">
        <v>2088</v>
      </c>
      <c r="I1451" t="s">
        <v>33</v>
      </c>
      <c r="J1451" t="s">
        <v>50</v>
      </c>
      <c r="K1451" t="s">
        <v>149</v>
      </c>
      <c r="L1451" t="s">
        <v>24</v>
      </c>
      <c r="N1451" t="s">
        <v>31</v>
      </c>
      <c r="Q1451" t="str">
        <f>LEFT(B1451, 6)</f>
        <v>Lenovo</v>
      </c>
      <c r="R1451" t="str">
        <f t="shared" si="88"/>
        <v>Intel Core i7 (13th Gen)</v>
      </c>
      <c r="S1451" t="str">
        <f t="shared" si="87"/>
        <v xml:space="preserve">8 GB </v>
      </c>
    </row>
    <row r="1452" spans="1:19">
      <c r="A1452" t="str">
        <f>LEFT(B1452, LEN(B1452)-15)</f>
        <v>Dell Alienware m16 R2 (OANM162129001RIN) Laptop (Core Ultra 9/16 GB/1 TB SSD/Windows 11/8 GB)</v>
      </c>
      <c r="B1452" t="s">
        <v>2089</v>
      </c>
      <c r="C1452" s="1">
        <v>167198</v>
      </c>
      <c r="D1452" s="1">
        <v>7</v>
      </c>
      <c r="E1452" s="2">
        <v>74</v>
      </c>
      <c r="F1452" s="2" t="str" cm="1">
        <f t="array" ref="F1452">_xlfn.IFS(AND(101&gt;E1452, E1452&gt;69), "Top-Tier", AND(70&gt;E1452, E1452&gt;39), "Mid-Tier", 40&gt;E1452, "Low-Tier")</f>
        <v>Top-Tier</v>
      </c>
      <c r="G1452" s="4">
        <v>45444</v>
      </c>
      <c r="H1452" t="s">
        <v>2088</v>
      </c>
      <c r="I1452" t="s">
        <v>33</v>
      </c>
      <c r="J1452" t="s">
        <v>72</v>
      </c>
      <c r="K1452" t="s">
        <v>547</v>
      </c>
      <c r="L1452" t="s">
        <v>24</v>
      </c>
      <c r="N1452" t="s">
        <v>31</v>
      </c>
      <c r="Q1452" t="str">
        <f>LEFT(B1452, 4)</f>
        <v>Dell</v>
      </c>
      <c r="R1452" t="str">
        <f t="shared" si="88"/>
        <v>Intel Core i7 (13th Gen)</v>
      </c>
      <c r="S1452" t="str">
        <f t="shared" si="87"/>
        <v>16 GB</v>
      </c>
    </row>
    <row r="1453" spans="1:19">
      <c r="A1453" t="str">
        <f>LEFT(B1453, LEN(B1453)-15)</f>
        <v>Dell Alienware m16 R2 (OANM162126701RIN) Laptop (Core Ultra 7/16 GB/1 TB SSD/Windows 11/6 GB)</v>
      </c>
      <c r="B1453" t="s">
        <v>2090</v>
      </c>
      <c r="C1453" s="1">
        <v>155399</v>
      </c>
      <c r="D1453" s="1">
        <v>3</v>
      </c>
      <c r="E1453" s="2">
        <v>74</v>
      </c>
      <c r="F1453" s="2" t="str" cm="1">
        <f t="array" ref="F1453">_xlfn.IFS(AND(101&gt;E1453, E1453&gt;69), "Top-Tier", AND(70&gt;E1453, E1453&gt;39), "Mid-Tier", 40&gt;E1453, "Low-Tier")</f>
        <v>Top-Tier</v>
      </c>
      <c r="G1453" s="4">
        <v>45444</v>
      </c>
      <c r="H1453" t="s">
        <v>2088</v>
      </c>
      <c r="I1453" t="s">
        <v>33</v>
      </c>
      <c r="J1453" t="s">
        <v>72</v>
      </c>
      <c r="K1453" t="s">
        <v>547</v>
      </c>
      <c r="L1453" t="s">
        <v>24</v>
      </c>
      <c r="N1453" t="s">
        <v>31</v>
      </c>
      <c r="Q1453" t="str">
        <f>LEFT(B1453, 4)</f>
        <v>Dell</v>
      </c>
      <c r="R1453" t="str">
        <f t="shared" si="88"/>
        <v>Intel Core i7 (13th Gen)</v>
      </c>
      <c r="S1453" t="str">
        <f t="shared" si="87"/>
        <v>16 GB</v>
      </c>
    </row>
    <row r="1454" spans="1:19">
      <c r="A1454" t="str">
        <f>LEFT(B1454, LEN(B1454)-15)</f>
        <v>HP Omen 16-xd0015AX (9X649PA) Laptop (AMD Octa Core Ryzen 7/16 GB/1 TB SSD/Windows 11/6 GB)</v>
      </c>
      <c r="B1454" t="s">
        <v>2091</v>
      </c>
      <c r="C1454" s="1">
        <v>95990</v>
      </c>
      <c r="D1454" s="1">
        <v>6</v>
      </c>
      <c r="E1454" s="2">
        <v>74</v>
      </c>
      <c r="F1454" s="2" t="str" cm="1">
        <f t="array" ref="F1454">_xlfn.IFS(AND(101&gt;E1454, E1454&gt;69), "Top-Tier", AND(70&gt;E1454, E1454&gt;39), "Mid-Tier", 40&gt;E1454, "Low-Tier")</f>
        <v>Top-Tier</v>
      </c>
      <c r="G1454" s="4">
        <v>45444</v>
      </c>
      <c r="H1454" t="s">
        <v>2088</v>
      </c>
      <c r="I1454" t="s">
        <v>33</v>
      </c>
      <c r="J1454" t="s">
        <v>72</v>
      </c>
      <c r="K1454" t="s">
        <v>2092</v>
      </c>
      <c r="L1454" t="s">
        <v>24</v>
      </c>
      <c r="N1454" t="s">
        <v>31</v>
      </c>
      <c r="P1454" s="3">
        <v>85</v>
      </c>
      <c r="Q1454" t="str">
        <f>LEFT(B1454, 2)</f>
        <v>HP</v>
      </c>
      <c r="R1454" t="str">
        <f t="shared" si="88"/>
        <v>Intel Core i7 (13th Gen)</v>
      </c>
      <c r="S1454" t="str">
        <f t="shared" si="87"/>
        <v>16 GB</v>
      </c>
    </row>
    <row r="1455" spans="1:19">
      <c r="A1455" t="str">
        <f>LEFT(B1455, LEN(B1455)-15)</f>
        <v>Dell Inspiron 14 5430 (IN5430FR0KC001ORS1) Laptop (Core i3 12th Gen/8 GB/512 GB SSD/Windows 11)</v>
      </c>
      <c r="B1455" t="s">
        <v>2093</v>
      </c>
      <c r="C1455" s="1">
        <v>44999</v>
      </c>
      <c r="D1455" s="1">
        <v>70</v>
      </c>
      <c r="E1455" s="2">
        <v>74</v>
      </c>
      <c r="F1455" s="2" t="str" cm="1">
        <f t="array" ref="F1455">_xlfn.IFS(AND(101&gt;E1455, E1455&gt;69), "Top-Tier", AND(70&gt;E1455, E1455&gt;39), "Mid-Tier", 40&gt;E1455, "Low-Tier")</f>
        <v>Top-Tier</v>
      </c>
      <c r="G1455" s="4">
        <v>45444</v>
      </c>
      <c r="H1455" t="s">
        <v>2088</v>
      </c>
      <c r="I1455" t="s">
        <v>33</v>
      </c>
      <c r="J1455" t="s">
        <v>119</v>
      </c>
      <c r="K1455" t="s">
        <v>2094</v>
      </c>
      <c r="L1455" t="s">
        <v>24</v>
      </c>
      <c r="M1455" t="s">
        <v>1713</v>
      </c>
      <c r="N1455" t="s">
        <v>31</v>
      </c>
      <c r="P1455" s="3">
        <v>75</v>
      </c>
      <c r="Q1455" t="str">
        <f>LEFT(B1455, 4)</f>
        <v>Dell</v>
      </c>
      <c r="R1455" t="str">
        <f t="shared" si="88"/>
        <v>Intel Core i7 (13th Gen)</v>
      </c>
      <c r="S1455" t="str">
        <f t="shared" si="87"/>
        <v xml:space="preserve">8 GB </v>
      </c>
    </row>
    <row r="1456" spans="1:19">
      <c r="A1456" t="str">
        <f>LEFT(B1456, LEN(B1456)-15)</f>
        <v>Lenovo IdeaPad Slim 3 14M868 (82XJ002RHA) Laptop (MediaTek Octa core/8 GB/128 GB eMMC/Google Chrome)</v>
      </c>
      <c r="B1456" t="s">
        <v>2095</v>
      </c>
      <c r="C1456" s="1">
        <v>16990</v>
      </c>
      <c r="D1456" s="1">
        <v>168</v>
      </c>
      <c r="E1456" s="2">
        <v>74</v>
      </c>
      <c r="F1456" s="2" t="str" cm="1">
        <f t="array" ref="F1456">_xlfn.IFS(AND(101&gt;E1456, E1456&gt;69), "Top-Tier", AND(70&gt;E1456, E1456&gt;39), "Mid-Tier", 40&gt;E1456, "Low-Tier")</f>
        <v>Top-Tier</v>
      </c>
      <c r="G1456" s="4">
        <v>45352</v>
      </c>
      <c r="H1456" t="s">
        <v>2088</v>
      </c>
      <c r="I1456" t="s">
        <v>735</v>
      </c>
      <c r="J1456" t="s">
        <v>736</v>
      </c>
      <c r="K1456" t="s">
        <v>1246</v>
      </c>
      <c r="L1456" t="s">
        <v>24</v>
      </c>
      <c r="M1456" t="s">
        <v>99</v>
      </c>
      <c r="Q1456" t="str">
        <f>LEFT(B1456, 6)</f>
        <v>Lenovo</v>
      </c>
      <c r="R1456" t="str">
        <f t="shared" si="88"/>
        <v>Intel Core i7 (13th Gen)</v>
      </c>
      <c r="S1456" t="str">
        <f t="shared" si="87"/>
        <v xml:space="preserve">8 GB </v>
      </c>
    </row>
    <row r="1457" spans="1:19">
      <c r="A1457" t="str">
        <f>LEFT(B1457, LEN(B1457)-15)</f>
        <v>HP Omen 16-wf1026TX (9Q9T0PA) Laptop (Core i7 14th Gen/16 GB/1 TB SSD/Windows 11/8 GB)</v>
      </c>
      <c r="B1457" t="s">
        <v>2096</v>
      </c>
      <c r="C1457" s="1">
        <v>148990</v>
      </c>
      <c r="D1457" s="1">
        <v>7</v>
      </c>
      <c r="E1457" s="2">
        <v>74</v>
      </c>
      <c r="F1457" s="2" t="str" cm="1">
        <f t="array" ref="F1457">_xlfn.IFS(AND(101&gt;E1457, E1457&gt;69), "Top-Tier", AND(70&gt;E1457, E1457&gt;39), "Mid-Tier", 40&gt;E1457, "Low-Tier")</f>
        <v>Top-Tier</v>
      </c>
      <c r="G1457" s="4">
        <v>45292</v>
      </c>
      <c r="H1457" t="s">
        <v>2088</v>
      </c>
      <c r="I1457" t="s">
        <v>33</v>
      </c>
      <c r="J1457" t="s">
        <v>72</v>
      </c>
      <c r="K1457" t="s">
        <v>271</v>
      </c>
      <c r="L1457" t="s">
        <v>24</v>
      </c>
      <c r="N1457" t="s">
        <v>31</v>
      </c>
      <c r="Q1457" t="str">
        <f>LEFT(B1457, 2)</f>
        <v>HP</v>
      </c>
      <c r="R1457" t="str">
        <f t="shared" si="88"/>
        <v>Intel Core i7 (13th Gen)</v>
      </c>
      <c r="S1457" t="str">
        <f t="shared" ref="S1457:S1518" si="89">LEFT(J1457, 5)</f>
        <v>16 GB</v>
      </c>
    </row>
    <row r="1458" spans="1:19">
      <c r="A1458" t="str">
        <f>LEFT(B1458, LEN(B1458)-15)</f>
        <v>Asus Chromebook 14 CX1400CKA-EK0266 Laptop (Intel Celeron Dual Core/8 GB/128 GB eMMC/Google Chrome)</v>
      </c>
      <c r="B1458" t="s">
        <v>2097</v>
      </c>
      <c r="C1458" s="1">
        <v>23005</v>
      </c>
      <c r="D1458" s="1">
        <v>179</v>
      </c>
      <c r="E1458" s="2">
        <v>74</v>
      </c>
      <c r="F1458" s="2" t="str" cm="1">
        <f t="array" ref="F1458">_xlfn.IFS(AND(101&gt;E1458, E1458&gt;69), "Top-Tier", AND(70&gt;E1458, E1458&gt;39), "Mid-Tier", 40&gt;E1458, "Low-Tier")</f>
        <v>Top-Tier</v>
      </c>
      <c r="G1458" s="4">
        <v>45200</v>
      </c>
      <c r="H1458" t="s">
        <v>2098</v>
      </c>
      <c r="I1458" t="s">
        <v>735</v>
      </c>
      <c r="J1458" t="s">
        <v>736</v>
      </c>
      <c r="K1458" t="s">
        <v>149</v>
      </c>
      <c r="L1458" t="s">
        <v>24</v>
      </c>
      <c r="M1458" t="s">
        <v>138</v>
      </c>
      <c r="Q1458" t="str">
        <f>LEFT(B1458, 4)</f>
        <v>Asus</v>
      </c>
      <c r="R1458" t="str">
        <f t="shared" si="88"/>
        <v>Intel Core i7 (13th Gen)</v>
      </c>
      <c r="S1458" t="str">
        <f t="shared" si="89"/>
        <v xml:space="preserve">8 GB </v>
      </c>
    </row>
    <row r="1459" spans="1:19">
      <c r="A1459" t="str">
        <f>LEFT(B1459, LEN(B1459)-15)</f>
        <v>HP 15s-fq3066TU (7W475PA) Laptop (Intel Celeron Dual Core/8 GB/512 GB SSD/Windows 11)</v>
      </c>
      <c r="B1459" t="s">
        <v>2099</v>
      </c>
      <c r="C1459" s="1">
        <v>26999</v>
      </c>
      <c r="D1459" s="1">
        <v>988</v>
      </c>
      <c r="E1459" s="2">
        <v>74</v>
      </c>
      <c r="F1459" s="2" t="str" cm="1">
        <f t="array" ref="F1459">_xlfn.IFS(AND(101&gt;E1459, E1459&gt;69), "Top-Tier", AND(70&gt;E1459, E1459&gt;39), "Mid-Tier", 40&gt;E1459, "Low-Tier")</f>
        <v>Top-Tier</v>
      </c>
      <c r="G1459" s="4">
        <v>45170</v>
      </c>
      <c r="H1459" t="s">
        <v>2098</v>
      </c>
      <c r="I1459" t="s">
        <v>33</v>
      </c>
      <c r="J1459" t="s">
        <v>50</v>
      </c>
      <c r="K1459" t="s">
        <v>560</v>
      </c>
      <c r="L1459" t="s">
        <v>24</v>
      </c>
      <c r="M1459" t="s">
        <v>95</v>
      </c>
      <c r="N1459" t="s">
        <v>31</v>
      </c>
      <c r="Q1459" t="str">
        <f>LEFT(B1459, 2)</f>
        <v>HP</v>
      </c>
      <c r="R1459" t="str">
        <f t="shared" si="88"/>
        <v>Intel Core i7 (13th Gen)</v>
      </c>
      <c r="S1459" t="str">
        <f t="shared" si="89"/>
        <v xml:space="preserve">8 GB </v>
      </c>
    </row>
    <row r="1460" spans="1:19">
      <c r="A1460" t="str">
        <f>LEFT(B1460, LEN(B1460)-15)</f>
        <v>Asus Chromebook CX1400FKA-EC0158 Laptop (Intel Celeron Dual Core/4 GB/64 GB eMMC/Google Chrome)</v>
      </c>
      <c r="B1460" t="s">
        <v>2100</v>
      </c>
      <c r="C1460" s="1">
        <v>21999</v>
      </c>
      <c r="D1460" s="1">
        <v>49</v>
      </c>
      <c r="E1460" s="2">
        <v>74</v>
      </c>
      <c r="F1460" s="2" t="str" cm="1">
        <f t="array" ref="F1460">_xlfn.IFS(AND(101&gt;E1460, E1460&gt;69), "Top-Tier", AND(70&gt;E1460, E1460&gt;39), "Mid-Tier", 40&gt;E1460, "Low-Tier")</f>
        <v>Top-Tier</v>
      </c>
      <c r="G1460" s="4">
        <v>45170</v>
      </c>
      <c r="H1460" t="s">
        <v>2098</v>
      </c>
      <c r="I1460" t="s">
        <v>735</v>
      </c>
      <c r="J1460" t="s">
        <v>1188</v>
      </c>
      <c r="K1460" t="s">
        <v>427</v>
      </c>
      <c r="L1460" t="s">
        <v>24</v>
      </c>
      <c r="M1460" t="s">
        <v>99</v>
      </c>
      <c r="Q1460" t="str">
        <f>LEFT(B1460, 4)</f>
        <v>Asus</v>
      </c>
      <c r="R1460" t="str">
        <f t="shared" si="88"/>
        <v>Intel Core i7 (13th Gen)</v>
      </c>
      <c r="S1460" t="str">
        <f t="shared" si="89"/>
        <v xml:space="preserve">4 GB </v>
      </c>
    </row>
    <row r="1461" spans="1:19">
      <c r="A1461" t="str">
        <f>LEFT(B1461, LEN(B1461)-15)</f>
        <v>Asus Chromebook CX1400CKA-EK0335 Laptop (Intel Celeron Dual Core/4 GB/128 GB eMMC/Google Chrome)</v>
      </c>
      <c r="B1461" t="s">
        <v>2101</v>
      </c>
      <c r="C1461" s="1">
        <v>18999</v>
      </c>
      <c r="D1461" s="1">
        <v>202</v>
      </c>
      <c r="E1461" s="2">
        <v>74</v>
      </c>
      <c r="F1461" s="2" t="str" cm="1">
        <f t="array" ref="F1461">_xlfn.IFS(AND(101&gt;E1461, E1461&gt;69), "Top-Tier", AND(70&gt;E1461, E1461&gt;39), "Mid-Tier", 40&gt;E1461, "Low-Tier")</f>
        <v>Top-Tier</v>
      </c>
      <c r="G1461" s="4">
        <v>45170</v>
      </c>
      <c r="H1461" t="s">
        <v>2098</v>
      </c>
      <c r="I1461" t="s">
        <v>735</v>
      </c>
      <c r="J1461" t="s">
        <v>1188</v>
      </c>
      <c r="K1461" t="s">
        <v>427</v>
      </c>
      <c r="L1461" t="s">
        <v>24</v>
      </c>
      <c r="M1461" t="s">
        <v>138</v>
      </c>
      <c r="Q1461" t="str">
        <f>LEFT(B1461, 4)</f>
        <v>Asus</v>
      </c>
      <c r="R1461" t="str">
        <f t="shared" si="88"/>
        <v>Intel Core i7 (13th Gen)</v>
      </c>
      <c r="S1461" t="str">
        <f t="shared" si="89"/>
        <v xml:space="preserve">4 GB </v>
      </c>
    </row>
    <row r="1462" spans="1:19">
      <c r="A1462" t="str">
        <f>LEFT(B1462, LEN(B1462)-15)</f>
        <v>Lenovo Yoga 7 14IRL8 (82YL0099IN) Laptop (Core i7 13th Gen/16 GB/1 TB SSD/Windows 11)</v>
      </c>
      <c r="B1462" t="s">
        <v>2102</v>
      </c>
      <c r="C1462" s="1">
        <v>115390</v>
      </c>
      <c r="D1462" s="1">
        <v>19</v>
      </c>
      <c r="E1462" s="2">
        <v>74</v>
      </c>
      <c r="F1462" s="2" t="str" cm="1">
        <f t="array" ref="F1462">_xlfn.IFS(AND(101&gt;E1462, E1462&gt;69), "Top-Tier", AND(70&gt;E1462, E1462&gt;39), "Mid-Tier", 40&gt;E1462, "Low-Tier")</f>
        <v>Top-Tier</v>
      </c>
      <c r="G1462" s="4">
        <v>45139</v>
      </c>
      <c r="H1462" t="s">
        <v>2098</v>
      </c>
      <c r="I1462" t="s">
        <v>33</v>
      </c>
      <c r="J1462" t="s">
        <v>167</v>
      </c>
      <c r="K1462" t="s">
        <v>1655</v>
      </c>
      <c r="L1462" t="s">
        <v>24</v>
      </c>
      <c r="N1462" t="s">
        <v>31</v>
      </c>
      <c r="P1462" s="3">
        <v>77</v>
      </c>
      <c r="Q1462" t="str">
        <f>LEFT(B1462, 6)</f>
        <v>Lenovo</v>
      </c>
      <c r="R1462" t="str">
        <f t="shared" si="88"/>
        <v>Intel Core i7 (13th Gen)</v>
      </c>
      <c r="S1462" t="str">
        <f t="shared" si="89"/>
        <v>16 GB</v>
      </c>
    </row>
    <row r="1463" spans="1:19">
      <c r="A1463" t="str">
        <f>LEFT(B1463, LEN(B1463)-15)</f>
        <v>Dell Inspiron 14 5430 (IN5430JNH1P001ORS1) Laptop (Core i5 13th Gen/16 GB/1 TB SSD/Windows 11)</v>
      </c>
      <c r="B1463" t="s">
        <v>2103</v>
      </c>
      <c r="C1463" s="1">
        <v>74500</v>
      </c>
      <c r="D1463" s="1">
        <v>70</v>
      </c>
      <c r="E1463" s="2">
        <v>74</v>
      </c>
      <c r="F1463" s="2" t="str" cm="1">
        <f t="array" ref="F1463">_xlfn.IFS(AND(101&gt;E1463, E1463&gt;69), "Top-Tier", AND(70&gt;E1463, E1463&gt;39), "Mid-Tier", 40&gt;E1463, "Low-Tier")</f>
        <v>Top-Tier</v>
      </c>
      <c r="G1463" s="4">
        <v>45139</v>
      </c>
      <c r="H1463" t="s">
        <v>2098</v>
      </c>
      <c r="I1463" t="s">
        <v>33</v>
      </c>
      <c r="J1463" t="s">
        <v>167</v>
      </c>
      <c r="K1463" t="s">
        <v>185</v>
      </c>
      <c r="L1463" t="s">
        <v>24</v>
      </c>
      <c r="M1463" t="s">
        <v>138</v>
      </c>
      <c r="N1463" t="s">
        <v>31</v>
      </c>
      <c r="P1463" s="3">
        <v>76</v>
      </c>
      <c r="Q1463" t="str">
        <f>LEFT(B1463, 4)</f>
        <v>Dell</v>
      </c>
      <c r="R1463" t="str">
        <f t="shared" si="88"/>
        <v>Intel Core i7 (13th Gen)</v>
      </c>
      <c r="S1463" t="str">
        <f t="shared" si="89"/>
        <v>16 GB</v>
      </c>
    </row>
    <row r="1464" spans="1:19">
      <c r="A1464" t="str">
        <f>LEFT(B1464, LEN(B1464)-15)</f>
        <v>Asus VivoBook 15 X1502ZA-EJ532WS Laptop (Core i5 12th Gen/8 GB/512 GB SSD/Windows 11)</v>
      </c>
      <c r="B1464" t="s">
        <v>2104</v>
      </c>
      <c r="C1464" s="1">
        <v>42990</v>
      </c>
      <c r="D1464" s="1">
        <v>6</v>
      </c>
      <c r="E1464" s="2">
        <v>74</v>
      </c>
      <c r="F1464" s="2" t="str" cm="1">
        <f t="array" ref="F1464">_xlfn.IFS(AND(101&gt;E1464, E1464&gt;69), "Top-Tier", AND(70&gt;E1464, E1464&gt;39), "Mid-Tier", 40&gt;E1464, "Low-Tier")</f>
        <v>Top-Tier</v>
      </c>
      <c r="G1464" s="4">
        <v>45108</v>
      </c>
      <c r="H1464" t="s">
        <v>2105</v>
      </c>
      <c r="I1464" t="s">
        <v>33</v>
      </c>
      <c r="J1464" t="s">
        <v>50</v>
      </c>
      <c r="K1464" t="s">
        <v>159</v>
      </c>
      <c r="L1464" t="s">
        <v>24</v>
      </c>
      <c r="M1464" t="s">
        <v>52</v>
      </c>
      <c r="N1464" t="s">
        <v>31</v>
      </c>
      <c r="P1464" s="3">
        <v>74</v>
      </c>
      <c r="Q1464" t="str">
        <f>LEFT(B1464, 4)</f>
        <v>Asus</v>
      </c>
      <c r="R1464" t="str">
        <f>LEFT(H873, 24)</f>
        <v>Intel Core i5 (11th Gen)</v>
      </c>
      <c r="S1464" t="str">
        <f t="shared" si="89"/>
        <v xml:space="preserve">8 GB </v>
      </c>
    </row>
    <row r="1465" spans="1:19">
      <c r="A1465" t="str">
        <f>LEFT(B1465, LEN(B1465)-15)</f>
        <v>Dell Inspiron 14 5430 (IN54308TR2G001ORS1) Laptop (Core i5 13th Gen/16 GB/512 GB SSD/Windows 11)</v>
      </c>
      <c r="B1465" t="s">
        <v>2106</v>
      </c>
      <c r="C1465" s="1">
        <v>59990</v>
      </c>
      <c r="D1465" s="1">
        <v>70</v>
      </c>
      <c r="E1465" s="2">
        <v>74</v>
      </c>
      <c r="F1465" s="2" t="str" cm="1">
        <f t="array" ref="F1465">_xlfn.IFS(AND(101&gt;E1465, E1465&gt;69), "Top-Tier", AND(70&gt;E1465, E1465&gt;39), "Mid-Tier", 40&gt;E1465, "Low-Tier")</f>
        <v>Top-Tier</v>
      </c>
      <c r="G1465" s="4">
        <v>45078</v>
      </c>
      <c r="H1465" t="s">
        <v>2105</v>
      </c>
      <c r="I1465" t="s">
        <v>33</v>
      </c>
      <c r="J1465" t="s">
        <v>121</v>
      </c>
      <c r="K1465" t="s">
        <v>185</v>
      </c>
      <c r="L1465" t="s">
        <v>24</v>
      </c>
      <c r="M1465" t="s">
        <v>138</v>
      </c>
      <c r="N1465" t="s">
        <v>31</v>
      </c>
      <c r="P1465" s="3">
        <v>76</v>
      </c>
      <c r="Q1465" t="str">
        <f>LEFT(B1465, 4)</f>
        <v>Dell</v>
      </c>
      <c r="R1465" t="str">
        <f t="shared" si="88"/>
        <v>Intel Core i7 (13th Gen)</v>
      </c>
      <c r="S1465" t="str">
        <f t="shared" si="89"/>
        <v>16 GB</v>
      </c>
    </row>
    <row r="1466" spans="1:19">
      <c r="A1466" t="str">
        <f>LEFT(B1466, LEN(B1466)-15)</f>
        <v>HP Pavilion 14-ep0068TU (80D23PA) Laptop (Core i3 12th Gen/8 GB/512 GB SSD/Windows 11)</v>
      </c>
      <c r="B1466" t="s">
        <v>2107</v>
      </c>
      <c r="C1466" s="1">
        <v>42990</v>
      </c>
      <c r="D1466" s="1">
        <v>55</v>
      </c>
      <c r="E1466" s="2">
        <v>74</v>
      </c>
      <c r="F1466" s="2" t="str" cm="1">
        <f t="array" ref="F1466">_xlfn.IFS(AND(101&gt;E1466, E1466&gt;69), "Top-Tier", AND(70&gt;E1466, E1466&gt;39), "Mid-Tier", 40&gt;E1466, "Low-Tier")</f>
        <v>Top-Tier</v>
      </c>
      <c r="G1466" s="4">
        <v>45017</v>
      </c>
      <c r="H1466" t="s">
        <v>2105</v>
      </c>
      <c r="I1466" t="s">
        <v>33</v>
      </c>
      <c r="J1466" t="s">
        <v>50</v>
      </c>
      <c r="K1466" t="s">
        <v>149</v>
      </c>
      <c r="L1466" t="s">
        <v>24</v>
      </c>
      <c r="M1466" t="s">
        <v>203</v>
      </c>
      <c r="N1466" t="s">
        <v>31</v>
      </c>
      <c r="P1466" s="3">
        <v>74</v>
      </c>
      <c r="Q1466" t="str">
        <f>LEFT(B1466, 2)</f>
        <v>HP</v>
      </c>
      <c r="R1466" t="str">
        <f t="shared" si="88"/>
        <v>Intel Core i7 (13th Gen)</v>
      </c>
      <c r="S1466" t="str">
        <f t="shared" si="89"/>
        <v xml:space="preserve">8 GB </v>
      </c>
    </row>
    <row r="1467" spans="1:19">
      <c r="A1467" t="str">
        <f>LEFT(B1467, LEN(B1467)-15)</f>
        <v>MSI Stealth 17 Studio A13VH-055IN Laptop (Core i9 13th Gen/64 GB/2 TB SSD/Windows 11/12 GB)</v>
      </c>
      <c r="B1467" t="s">
        <v>2108</v>
      </c>
      <c r="C1467" s="1">
        <v>285711</v>
      </c>
      <c r="D1467" s="1">
        <v>3</v>
      </c>
      <c r="E1467" s="2">
        <v>74</v>
      </c>
      <c r="F1467" s="2" t="str" cm="1">
        <f t="array" ref="F1467">_xlfn.IFS(AND(101&gt;E1467, E1467&gt;69), "Top-Tier", AND(70&gt;E1467, E1467&gt;39), "Mid-Tier", 40&gt;E1467, "Low-Tier")</f>
        <v>Top-Tier</v>
      </c>
      <c r="G1467" s="4">
        <v>44958</v>
      </c>
      <c r="H1467" t="s">
        <v>2105</v>
      </c>
      <c r="I1467" t="s">
        <v>33</v>
      </c>
      <c r="J1467" t="s">
        <v>1047</v>
      </c>
      <c r="K1467" t="s">
        <v>2109</v>
      </c>
      <c r="L1467" t="s">
        <v>24</v>
      </c>
      <c r="M1467" t="s">
        <v>237</v>
      </c>
      <c r="N1467" t="s">
        <v>31</v>
      </c>
      <c r="Q1467" t="str">
        <f>LEFT(B1467, 3)</f>
        <v>MSI</v>
      </c>
      <c r="R1467" t="str">
        <f t="shared" si="88"/>
        <v>Intel Core i7 (13th Gen)</v>
      </c>
      <c r="S1467" t="str">
        <f t="shared" si="89"/>
        <v>64 GB</v>
      </c>
    </row>
    <row r="1468" spans="1:19">
      <c r="A1468" t="str">
        <f>LEFT(B1468, LEN(B1468)-15)</f>
        <v>MSI Pulse 17 B13VGK-252IN Laptop (Core i7 13th Gen/16 GB/1 TB SSD/Windows 11/8 GB)</v>
      </c>
      <c r="B1468" t="s">
        <v>2110</v>
      </c>
      <c r="C1468" s="1">
        <v>135990</v>
      </c>
      <c r="D1468" s="1">
        <v>15</v>
      </c>
      <c r="E1468" s="2">
        <v>74</v>
      </c>
      <c r="F1468" s="2" t="str" cm="1">
        <f t="array" ref="F1468">_xlfn.IFS(AND(101&gt;E1468, E1468&gt;69), "Top-Tier", AND(70&gt;E1468, E1468&gt;39), "Mid-Tier", 40&gt;E1468, "Low-Tier")</f>
        <v>Top-Tier</v>
      </c>
      <c r="G1468" s="4">
        <v>44958</v>
      </c>
      <c r="H1468" t="s">
        <v>2105</v>
      </c>
      <c r="I1468" t="s">
        <v>33</v>
      </c>
      <c r="J1468" t="s">
        <v>72</v>
      </c>
      <c r="K1468" t="s">
        <v>565</v>
      </c>
      <c r="L1468" t="s">
        <v>24</v>
      </c>
      <c r="N1468" t="s">
        <v>31</v>
      </c>
      <c r="Q1468" t="str">
        <f>LEFT(B1468, 3)</f>
        <v>MSI</v>
      </c>
      <c r="R1468" t="str">
        <f t="shared" si="88"/>
        <v>Intel Core i7 (13th Gen)</v>
      </c>
      <c r="S1468" t="str">
        <f t="shared" si="89"/>
        <v>16 GB</v>
      </c>
    </row>
    <row r="1469" spans="1:19">
      <c r="A1469" t="str">
        <f>LEFT(B1469, LEN(B1469)-15)</f>
        <v>MSI Stealth 16 Studio A13VF-023IN Laptop (Core i7 13th Gen/32 GB/1 TB SSD/Windows 11/8 GB)</v>
      </c>
      <c r="B1469" t="s">
        <v>2111</v>
      </c>
      <c r="C1469" s="1">
        <v>173999</v>
      </c>
      <c r="D1469" s="1">
        <v>3</v>
      </c>
      <c r="E1469" s="2">
        <v>74</v>
      </c>
      <c r="F1469" s="2" t="str" cm="1">
        <f t="array" ref="F1469">_xlfn.IFS(AND(101&gt;E1469, E1469&gt;69), "Top-Tier", AND(70&gt;E1469, E1469&gt;39), "Mid-Tier", 40&gt;E1469, "Low-Tier")</f>
        <v>Top-Tier</v>
      </c>
      <c r="G1469" s="4">
        <v>44958</v>
      </c>
      <c r="H1469" t="s">
        <v>2105</v>
      </c>
      <c r="I1469" t="s">
        <v>33</v>
      </c>
      <c r="J1469" t="s">
        <v>144</v>
      </c>
      <c r="K1469" t="s">
        <v>117</v>
      </c>
      <c r="L1469" t="s">
        <v>24</v>
      </c>
      <c r="M1469" t="s">
        <v>52</v>
      </c>
      <c r="N1469" t="s">
        <v>31</v>
      </c>
      <c r="Q1469" t="str">
        <f>LEFT(B1469, 3)</f>
        <v>MSI</v>
      </c>
      <c r="R1469" t="str">
        <f t="shared" si="88"/>
        <v>Intel Core i7 (13th Gen)</v>
      </c>
      <c r="S1469" t="str">
        <f t="shared" si="89"/>
        <v>32 GB</v>
      </c>
    </row>
    <row r="1470" spans="1:19">
      <c r="A1470" t="str">
        <f>LEFT(B1470, LEN(B1470)-15)</f>
        <v>MSI GF63 Thin 12VE-080IN Laptop (Core i5 12th Gen/8 GB/512 GB SSD/Windows 11/6 GB)</v>
      </c>
      <c r="B1470" t="s">
        <v>2112</v>
      </c>
      <c r="C1470" s="1">
        <v>66592</v>
      </c>
      <c r="D1470" s="1">
        <v>3</v>
      </c>
      <c r="E1470" s="2">
        <v>74</v>
      </c>
      <c r="F1470" s="2" t="str" cm="1">
        <f t="array" ref="F1470">_xlfn.IFS(AND(101&gt;E1470, E1470&gt;69), "Top-Tier", AND(70&gt;E1470, E1470&gt;39), "Mid-Tier", 40&gt;E1470, "Low-Tier")</f>
        <v>Top-Tier</v>
      </c>
      <c r="G1470" s="4">
        <v>44958</v>
      </c>
      <c r="H1470" t="s">
        <v>2105</v>
      </c>
      <c r="I1470" t="s">
        <v>33</v>
      </c>
      <c r="J1470" t="s">
        <v>50</v>
      </c>
      <c r="K1470" t="s">
        <v>51</v>
      </c>
      <c r="L1470" t="s">
        <v>24</v>
      </c>
      <c r="N1470" t="s">
        <v>31</v>
      </c>
      <c r="P1470" s="3">
        <v>82</v>
      </c>
      <c r="Q1470" t="str">
        <f>LEFT(B1470, 3)</f>
        <v>MSI</v>
      </c>
      <c r="R1470" t="str">
        <f t="shared" si="88"/>
        <v>Intel Core i7 (13th Gen)</v>
      </c>
      <c r="S1470" t="str">
        <f t="shared" si="89"/>
        <v xml:space="preserve">8 GB </v>
      </c>
    </row>
    <row r="1471" spans="1:19">
      <c r="A1471" t="str">
        <f>LEFT(B1471, LEN(B1471)-15)</f>
        <v>Samsung Galaxy Book 3 360 NP730QFG-KA2IN Laptop (Core i7 13th Gen/16 GB/512 GB SSD/Windows 11)</v>
      </c>
      <c r="B1471" t="s">
        <v>2113</v>
      </c>
      <c r="C1471" s="1">
        <v>102990</v>
      </c>
      <c r="D1471" s="1">
        <v>48</v>
      </c>
      <c r="E1471" s="2">
        <v>74</v>
      </c>
      <c r="F1471" s="2" t="str" cm="1">
        <f t="array" ref="F1471">_xlfn.IFS(AND(101&gt;E1471, E1471&gt;69), "Top-Tier", AND(70&gt;E1471, E1471&gt;39), "Mid-Tier", 40&gt;E1471, "Low-Tier")</f>
        <v>Top-Tier</v>
      </c>
      <c r="G1471" s="4">
        <v>44958</v>
      </c>
      <c r="H1471" t="s">
        <v>2105</v>
      </c>
      <c r="I1471" t="s">
        <v>33</v>
      </c>
      <c r="J1471" t="s">
        <v>208</v>
      </c>
      <c r="K1471" t="s">
        <v>2114</v>
      </c>
      <c r="L1471" t="s">
        <v>24</v>
      </c>
      <c r="M1471" t="s">
        <v>1181</v>
      </c>
      <c r="N1471" t="s">
        <v>31</v>
      </c>
      <c r="P1471" s="3">
        <v>75</v>
      </c>
      <c r="Q1471" t="str">
        <f>LEFT(B1471, 7)</f>
        <v>Samsung</v>
      </c>
      <c r="R1471" t="str">
        <f t="shared" si="88"/>
        <v>Intel Core i7 (13th Gen)</v>
      </c>
      <c r="S1471" t="str">
        <f t="shared" si="89"/>
        <v>16 GB</v>
      </c>
    </row>
    <row r="1472" spans="1:19">
      <c r="A1472" t="str">
        <f>LEFT(B1472, LEN(B1472)-15)</f>
        <v>Samsung Galaxy Book 3 Pro Intel Evo NP940XFG-KC5IN Laptop (Core i7 13th Gen/16 GB/1 TB SSD/Windows 11)</v>
      </c>
      <c r="B1472" t="s">
        <v>2115</v>
      </c>
      <c r="C1472" s="1">
        <v>86999</v>
      </c>
      <c r="D1472" s="1">
        <v>18</v>
      </c>
      <c r="E1472" s="2">
        <v>74</v>
      </c>
      <c r="F1472" s="2" t="str" cm="1">
        <f t="array" ref="F1472">_xlfn.IFS(AND(101&gt;E1472, E1472&gt;69), "Top-Tier", AND(70&gt;E1472, E1472&gt;39), "Mid-Tier", 40&gt;E1472, "Low-Tier")</f>
        <v>Top-Tier</v>
      </c>
      <c r="G1472" s="4">
        <v>44958</v>
      </c>
      <c r="H1472" t="s">
        <v>2105</v>
      </c>
      <c r="I1472" t="s">
        <v>33</v>
      </c>
      <c r="J1472" t="s">
        <v>293</v>
      </c>
      <c r="K1472" t="s">
        <v>450</v>
      </c>
      <c r="L1472" t="s">
        <v>24</v>
      </c>
      <c r="M1472" t="s">
        <v>2116</v>
      </c>
      <c r="N1472" t="s">
        <v>31</v>
      </c>
      <c r="P1472" s="3">
        <v>78</v>
      </c>
      <c r="Q1472" t="str">
        <f>LEFT(B1472, 7)</f>
        <v>Samsung</v>
      </c>
      <c r="R1472" t="str">
        <f t="shared" si="88"/>
        <v>Intel Core i7 (13th Gen)</v>
      </c>
      <c r="S1472" t="str">
        <f t="shared" si="89"/>
        <v>16 GB</v>
      </c>
    </row>
    <row r="1473" spans="1:19">
      <c r="A1473" t="str">
        <f>LEFT(B1473, LEN(B1473)-15)</f>
        <v>Samsung Galaxy Book 3 360 NP750QFG-KA3IN Laptop (Core i7 13th Gen/16 GB/1 TB SSD/Windows 11)</v>
      </c>
      <c r="B1473" t="s">
        <v>2117</v>
      </c>
      <c r="C1473" s="1">
        <v>102298</v>
      </c>
      <c r="D1473" s="1">
        <v>48</v>
      </c>
      <c r="E1473" s="2">
        <v>74</v>
      </c>
      <c r="F1473" s="2" t="str" cm="1">
        <f t="array" ref="F1473">_xlfn.IFS(AND(101&gt;E1473, E1473&gt;69), "Top-Tier", AND(70&gt;E1473, E1473&gt;39), "Mid-Tier", 40&gt;E1473, "Low-Tier")</f>
        <v>Top-Tier</v>
      </c>
      <c r="G1473" s="4">
        <v>44958</v>
      </c>
      <c r="H1473" t="s">
        <v>2105</v>
      </c>
      <c r="I1473" t="s">
        <v>33</v>
      </c>
      <c r="J1473" t="s">
        <v>293</v>
      </c>
      <c r="K1473" t="s">
        <v>2118</v>
      </c>
      <c r="L1473" t="s">
        <v>24</v>
      </c>
      <c r="M1473" t="s">
        <v>1460</v>
      </c>
      <c r="N1473" t="s">
        <v>31</v>
      </c>
      <c r="P1473" s="3">
        <v>77</v>
      </c>
      <c r="Q1473" t="str">
        <f>LEFT(B1473, 7)</f>
        <v>Samsung</v>
      </c>
      <c r="R1473" t="str">
        <f t="shared" si="88"/>
        <v>Intel Core i7 (13th Gen)</v>
      </c>
      <c r="S1473" t="str">
        <f t="shared" si="89"/>
        <v>16 GB</v>
      </c>
    </row>
    <row r="1474" spans="1:19">
      <c r="A1474" t="str">
        <f>LEFT(B1474, LEN(B1474)-15)</f>
        <v>Samsung Galaxy Book 3 360 NP750QFG-KA1IN Laptop (Core i7 13th Gen/16 GB/512 GB SSD/Windows 11)</v>
      </c>
      <c r="B1474" t="s">
        <v>2119</v>
      </c>
      <c r="C1474" s="1">
        <v>122990</v>
      </c>
      <c r="D1474" s="1">
        <v>48</v>
      </c>
      <c r="E1474" s="2">
        <v>74</v>
      </c>
      <c r="F1474" s="2" t="str" cm="1">
        <f t="array" ref="F1474">_xlfn.IFS(AND(101&gt;E1474, E1474&gt;69), "Top-Tier", AND(70&gt;E1474, E1474&gt;39), "Mid-Tier", 40&gt;E1474, "Low-Tier")</f>
        <v>Top-Tier</v>
      </c>
      <c r="G1474" s="4">
        <v>44958</v>
      </c>
      <c r="H1474" t="s">
        <v>2105</v>
      </c>
      <c r="I1474" t="s">
        <v>33</v>
      </c>
      <c r="J1474" t="s">
        <v>208</v>
      </c>
      <c r="K1474" t="s">
        <v>2118</v>
      </c>
      <c r="L1474" t="s">
        <v>24</v>
      </c>
      <c r="M1474" t="s">
        <v>1460</v>
      </c>
      <c r="N1474" t="s">
        <v>31</v>
      </c>
      <c r="P1474" s="3">
        <v>76</v>
      </c>
      <c r="Q1474" t="str">
        <f>LEFT(B1474, 7)</f>
        <v>Samsung</v>
      </c>
      <c r="R1474" t="str">
        <f t="shared" si="88"/>
        <v>Intel Core i7 (13th Gen)</v>
      </c>
      <c r="S1474" t="str">
        <f t="shared" si="89"/>
        <v>16 GB</v>
      </c>
    </row>
    <row r="1475" spans="1:19">
      <c r="A1475" t="str">
        <f>LEFT(B1475, LEN(B1475)-15)</f>
        <v>Samsung Galaxy Book 3 Pro NP960XFG-KC1IN Laptop (Core i7 13th Gen/16 GB/512 GB SSD/Windows 11)</v>
      </c>
      <c r="B1475" t="s">
        <v>2120</v>
      </c>
      <c r="C1475" s="1">
        <v>84999</v>
      </c>
      <c r="D1475" s="1">
        <v>18</v>
      </c>
      <c r="E1475" s="2">
        <v>74</v>
      </c>
      <c r="F1475" s="2" t="str" cm="1">
        <f t="array" ref="F1475">_xlfn.IFS(AND(101&gt;E1475, E1475&gt;69), "Top-Tier", AND(70&gt;E1475, E1475&gt;39), "Mid-Tier", 40&gt;E1475, "Low-Tier")</f>
        <v>Top-Tier</v>
      </c>
      <c r="G1475" s="4">
        <v>44958</v>
      </c>
      <c r="H1475" t="s">
        <v>2105</v>
      </c>
      <c r="I1475" t="s">
        <v>33</v>
      </c>
      <c r="J1475" t="s">
        <v>208</v>
      </c>
      <c r="K1475" t="s">
        <v>169</v>
      </c>
      <c r="L1475" t="s">
        <v>24</v>
      </c>
      <c r="Q1475" t="str">
        <f>LEFT(B1475, 7)</f>
        <v>Samsung</v>
      </c>
      <c r="R1475" t="str">
        <f t="shared" si="88"/>
        <v>Intel Core i7 (13th Gen)</v>
      </c>
      <c r="S1475" t="str">
        <f t="shared" si="89"/>
        <v>16 GB</v>
      </c>
    </row>
    <row r="1476" spans="1:19">
      <c r="A1476" t="str">
        <f>LEFT(B1476, LEN(B1476)-15)</f>
        <v>Samsung Galaxy Book 3 360 NP730QFG-KA1IN Laptop (Core i5 13th Gen/16 GB/512 GB SSD/Windows 11)</v>
      </c>
      <c r="B1476" t="s">
        <v>2121</v>
      </c>
      <c r="C1476" s="1">
        <v>109990</v>
      </c>
      <c r="D1476" s="1">
        <v>48</v>
      </c>
      <c r="E1476" s="2">
        <v>74</v>
      </c>
      <c r="F1476" s="2" t="str" cm="1">
        <f t="array" ref="F1476">_xlfn.IFS(AND(101&gt;E1476, E1476&gt;69), "Top-Tier", AND(70&gt;E1476, E1476&gt;39), "Mid-Tier", 40&gt;E1476, "Low-Tier")</f>
        <v>Top-Tier</v>
      </c>
      <c r="G1476" s="4">
        <v>44958</v>
      </c>
      <c r="H1476" t="s">
        <v>2105</v>
      </c>
      <c r="I1476" t="s">
        <v>33</v>
      </c>
      <c r="J1476" t="s">
        <v>208</v>
      </c>
      <c r="K1476" t="s">
        <v>2114</v>
      </c>
      <c r="L1476" t="s">
        <v>24</v>
      </c>
      <c r="M1476" t="s">
        <v>1181</v>
      </c>
      <c r="N1476" t="s">
        <v>31</v>
      </c>
      <c r="P1476" s="3">
        <v>74</v>
      </c>
      <c r="Q1476" t="str">
        <f>LEFT(B1476, 7)</f>
        <v>Samsung</v>
      </c>
      <c r="R1476" t="str">
        <f t="shared" si="88"/>
        <v>Intel Core i7 (13th Gen)</v>
      </c>
      <c r="S1476" t="str">
        <f t="shared" si="89"/>
        <v>16 GB</v>
      </c>
    </row>
    <row r="1477" spans="1:19">
      <c r="A1477" t="str">
        <f>LEFT(B1477, LEN(B1477)-15)</f>
        <v>Samsung Galaxy Book 3 360 NP750QFG-KA2IN Laptop (Core i5 13th Gen/16 GB/512 GB SSD/Windows 11)</v>
      </c>
      <c r="B1477" t="s">
        <v>2122</v>
      </c>
      <c r="C1477" s="1">
        <v>114990</v>
      </c>
      <c r="D1477" s="1">
        <v>48</v>
      </c>
      <c r="E1477" s="2">
        <v>74</v>
      </c>
      <c r="F1477" s="2" t="str" cm="1">
        <f t="array" ref="F1477">_xlfn.IFS(AND(101&gt;E1477, E1477&gt;69), "Top-Tier", AND(70&gt;E1477, E1477&gt;39), "Mid-Tier", 40&gt;E1477, "Low-Tier")</f>
        <v>Top-Tier</v>
      </c>
      <c r="G1477" s="4">
        <v>44958</v>
      </c>
      <c r="H1477" t="s">
        <v>2105</v>
      </c>
      <c r="I1477" t="s">
        <v>33</v>
      </c>
      <c r="J1477" t="s">
        <v>208</v>
      </c>
      <c r="K1477" t="s">
        <v>2118</v>
      </c>
      <c r="L1477" t="s">
        <v>24</v>
      </c>
      <c r="M1477" t="s">
        <v>1460</v>
      </c>
      <c r="N1477" t="s">
        <v>31</v>
      </c>
      <c r="P1477" s="3">
        <v>75</v>
      </c>
      <c r="Q1477" t="str">
        <f>LEFT(B1477, 7)</f>
        <v>Samsung</v>
      </c>
      <c r="R1477" t="str">
        <f t="shared" si="88"/>
        <v>Intel Core i7 (13th Gen)</v>
      </c>
      <c r="S1477" t="str">
        <f t="shared" si="89"/>
        <v>16 GB</v>
      </c>
    </row>
    <row r="1478" spans="1:19">
      <c r="A1478" t="str">
        <f>LEFT(B1478, LEN(B1478)-15)</f>
        <v>Samsung Galaxy Book 3 360 NP730QFG-KA3IN Laptop (Core i7 13th Gen/16 GB/1 TB SSD/Windows 11)</v>
      </c>
      <c r="B1478" t="s">
        <v>2123</v>
      </c>
      <c r="C1478" s="1">
        <v>133990</v>
      </c>
      <c r="D1478" s="1">
        <v>48</v>
      </c>
      <c r="E1478" s="2">
        <v>74</v>
      </c>
      <c r="F1478" s="2" t="str" cm="1">
        <f t="array" ref="F1478">_xlfn.IFS(AND(101&gt;E1478, E1478&gt;69), "Top-Tier", AND(70&gt;E1478, E1478&gt;39), "Mid-Tier", 40&gt;E1478, "Low-Tier")</f>
        <v>Top-Tier</v>
      </c>
      <c r="G1478" s="4">
        <v>44958</v>
      </c>
      <c r="H1478" t="s">
        <v>2105</v>
      </c>
      <c r="I1478" t="s">
        <v>33</v>
      </c>
      <c r="J1478" t="s">
        <v>329</v>
      </c>
      <c r="K1478" t="s">
        <v>2114</v>
      </c>
      <c r="L1478" t="s">
        <v>24</v>
      </c>
      <c r="M1478" t="s">
        <v>1181</v>
      </c>
      <c r="N1478" t="s">
        <v>31</v>
      </c>
      <c r="P1478" s="3">
        <v>77</v>
      </c>
      <c r="Q1478" t="str">
        <f>LEFT(B1478, 7)</f>
        <v>Samsung</v>
      </c>
      <c r="R1478" t="str">
        <f t="shared" si="88"/>
        <v>Intel Core i7 (13th Gen)</v>
      </c>
      <c r="S1478" t="str">
        <f t="shared" si="89"/>
        <v>16 GB</v>
      </c>
    </row>
    <row r="1479" spans="1:19">
      <c r="A1479" t="str">
        <f>LEFT(B1479, LEN(B1479)-15)</f>
        <v>Samsung Galaxy Book 3 Pro NP940XFG-KC4IN Laptop (Core i7 13th Gen/16 GB/512 GB SSD/Windows 11)</v>
      </c>
      <c r="B1479" t="s">
        <v>2124</v>
      </c>
      <c r="C1479" s="1">
        <v>82499</v>
      </c>
      <c r="D1479" s="1">
        <v>18</v>
      </c>
      <c r="E1479" s="2">
        <v>74</v>
      </c>
      <c r="F1479" s="2" t="str" cm="1">
        <f t="array" ref="F1479">_xlfn.IFS(AND(101&gt;E1479, E1479&gt;69), "Top-Tier", AND(70&gt;E1479, E1479&gt;39), "Mid-Tier", 40&gt;E1479, "Low-Tier")</f>
        <v>Top-Tier</v>
      </c>
      <c r="G1479" s="4">
        <v>44958</v>
      </c>
      <c r="H1479" t="s">
        <v>2105</v>
      </c>
      <c r="I1479" t="s">
        <v>33</v>
      </c>
      <c r="J1479" t="s">
        <v>208</v>
      </c>
      <c r="K1479" t="s">
        <v>450</v>
      </c>
      <c r="L1479" t="s">
        <v>24</v>
      </c>
      <c r="M1479" t="s">
        <v>585</v>
      </c>
      <c r="N1479" t="s">
        <v>31</v>
      </c>
      <c r="P1479" s="3">
        <v>77</v>
      </c>
      <c r="Q1479" t="str">
        <f>LEFT(B1479, 7)</f>
        <v>Samsung</v>
      </c>
      <c r="R1479" t="str">
        <f t="shared" si="88"/>
        <v>Intel Core i7 (13th Gen)</v>
      </c>
      <c r="S1479" t="str">
        <f t="shared" si="89"/>
        <v>16 GB</v>
      </c>
    </row>
    <row r="1480" spans="1:19">
      <c r="A1480" t="str">
        <f>LEFT(B1480, LEN(B1480)-15)</f>
        <v>Samsung Galaxy Book 3 Pro NP960XFG-KC2IN Laptop (Core i7 13th Gen/16 GB/1 TB SSD/Windows 11)</v>
      </c>
      <c r="B1480" t="s">
        <v>2125</v>
      </c>
      <c r="C1480" s="1">
        <v>104999</v>
      </c>
      <c r="D1480" s="1">
        <v>18</v>
      </c>
      <c r="E1480" s="2">
        <v>74</v>
      </c>
      <c r="F1480" s="2" t="str" cm="1">
        <f t="array" ref="F1480">_xlfn.IFS(AND(101&gt;E1480, E1480&gt;69), "Top-Tier", AND(70&gt;E1480, E1480&gt;39), "Mid-Tier", 40&gt;E1480, "Low-Tier")</f>
        <v>Top-Tier</v>
      </c>
      <c r="G1480" s="4">
        <v>44958</v>
      </c>
      <c r="H1480" t="s">
        <v>2105</v>
      </c>
      <c r="I1480" t="s">
        <v>33</v>
      </c>
      <c r="J1480" t="s">
        <v>293</v>
      </c>
      <c r="K1480" t="s">
        <v>169</v>
      </c>
      <c r="L1480" t="s">
        <v>24</v>
      </c>
      <c r="M1480" t="s">
        <v>1181</v>
      </c>
      <c r="N1480" t="s">
        <v>31</v>
      </c>
      <c r="P1480" s="3">
        <v>77</v>
      </c>
      <c r="Q1480" t="str">
        <f>LEFT(B1480, 7)</f>
        <v>Samsung</v>
      </c>
      <c r="R1480" t="str">
        <f t="shared" ref="R1480:R1517" si="90">LEFT(H1479, 24)</f>
        <v>Intel Core i7 (13th Gen)</v>
      </c>
      <c r="S1480" t="str">
        <f t="shared" si="89"/>
        <v>16 GB</v>
      </c>
    </row>
    <row r="1481" spans="1:19">
      <c r="A1481" t="str">
        <f>LEFT(B1481, LEN(B1481)-15)</f>
        <v>Samsung Galaxy Book 3 Pro NP940XFG-KC1IN Laptop (Core i5 13th Gen/16 GB/512 GB SSD/Windows 11)</v>
      </c>
      <c r="B1481" t="s">
        <v>2126</v>
      </c>
      <c r="C1481" s="1">
        <v>79999</v>
      </c>
      <c r="D1481" s="1">
        <v>18</v>
      </c>
      <c r="E1481" s="2">
        <v>74</v>
      </c>
      <c r="F1481" s="2" t="str" cm="1">
        <f t="array" ref="F1481">_xlfn.IFS(AND(101&gt;E1481, E1481&gt;69), "Top-Tier", AND(70&gt;E1481, E1481&gt;39), "Mid-Tier", 40&gt;E1481, "Low-Tier")</f>
        <v>Top-Tier</v>
      </c>
      <c r="G1481" s="4">
        <v>44958</v>
      </c>
      <c r="H1481" t="s">
        <v>2105</v>
      </c>
      <c r="I1481" t="s">
        <v>33</v>
      </c>
      <c r="J1481" t="s">
        <v>208</v>
      </c>
      <c r="K1481" t="s">
        <v>450</v>
      </c>
      <c r="L1481" t="s">
        <v>24</v>
      </c>
      <c r="M1481" t="s">
        <v>585</v>
      </c>
      <c r="N1481" t="s">
        <v>31</v>
      </c>
      <c r="P1481" s="3">
        <v>75</v>
      </c>
      <c r="Q1481" t="str">
        <f>LEFT(B1481, 7)</f>
        <v>Samsung</v>
      </c>
      <c r="R1481" t="str">
        <f t="shared" si="90"/>
        <v>Intel Core i7 (13th Gen)</v>
      </c>
      <c r="S1481" t="str">
        <f t="shared" si="89"/>
        <v>16 GB</v>
      </c>
    </row>
    <row r="1482" spans="1:19">
      <c r="A1482" t="str">
        <f>LEFT(B1482, LEN(B1482)-15)</f>
        <v>Acer Aspire 3 A315-24 (NX.KDESI.004) Laptop (AMD Quad Core Ryzen 5/8 GB/512 GB SSD/Windows 11)</v>
      </c>
      <c r="B1482" t="s">
        <v>2127</v>
      </c>
      <c r="C1482" s="1">
        <v>32990</v>
      </c>
      <c r="D1482" s="1">
        <v>31</v>
      </c>
      <c r="E1482" s="2">
        <v>74</v>
      </c>
      <c r="F1482" s="2" t="str" cm="1">
        <f t="array" ref="F1482">_xlfn.IFS(AND(101&gt;E1482, E1482&gt;69), "Top-Tier", AND(70&gt;E1482, E1482&gt;39), "Mid-Tier", 40&gt;E1482, "Low-Tier")</f>
        <v>Top-Tier</v>
      </c>
      <c r="G1482" s="4">
        <v>44927</v>
      </c>
      <c r="H1482" t="s">
        <v>2105</v>
      </c>
      <c r="I1482" t="s">
        <v>33</v>
      </c>
      <c r="J1482" t="s">
        <v>162</v>
      </c>
      <c r="K1482" t="s">
        <v>51</v>
      </c>
      <c r="L1482" t="s">
        <v>24</v>
      </c>
      <c r="N1482" t="s">
        <v>31</v>
      </c>
      <c r="Q1482" t="str">
        <f>LEFT(B1482, 4)</f>
        <v>Acer</v>
      </c>
      <c r="R1482" t="str">
        <f t="shared" si="90"/>
        <v>Intel Core i7 (13th Gen)</v>
      </c>
      <c r="S1482" t="str">
        <f t="shared" si="89"/>
        <v xml:space="preserve">8 GB </v>
      </c>
    </row>
    <row r="1483" spans="1:19">
      <c r="A1483" t="str">
        <f>LEFT(B1483, LEN(B1483)-15)</f>
        <v>Lenovo V14 (82C40182IN) Laptop (Core i3 10th Gen/4 GB/1 TB/DOS)</v>
      </c>
      <c r="B1483" t="s">
        <v>2128</v>
      </c>
      <c r="C1483" s="1">
        <v>27100</v>
      </c>
      <c r="D1483" s="1">
        <v>93</v>
      </c>
      <c r="E1483" s="2">
        <v>74</v>
      </c>
      <c r="F1483" s="2" t="str" cm="1">
        <f t="array" ref="F1483">_xlfn.IFS(AND(101&gt;E1483, E1483&gt;69), "Top-Tier", AND(70&gt;E1483, E1483&gt;39), "Mid-Tier", 40&gt;E1483, "Low-Tier")</f>
        <v>Top-Tier</v>
      </c>
      <c r="G1483" s="4">
        <v>44866</v>
      </c>
      <c r="H1483" t="s">
        <v>2105</v>
      </c>
      <c r="I1483" t="s">
        <v>124</v>
      </c>
      <c r="J1483" t="s">
        <v>542</v>
      </c>
      <c r="K1483" t="s">
        <v>699</v>
      </c>
      <c r="L1483" t="s">
        <v>24</v>
      </c>
      <c r="M1483" t="s">
        <v>52</v>
      </c>
      <c r="N1483" t="s">
        <v>31</v>
      </c>
      <c r="O1483" t="s">
        <v>152</v>
      </c>
      <c r="Q1483" t="str">
        <f>LEFT(B1483, 6)</f>
        <v>Lenovo</v>
      </c>
      <c r="R1483" t="str">
        <f t="shared" si="90"/>
        <v>Intel Core i7 (13th Gen)</v>
      </c>
      <c r="S1483" t="str">
        <f t="shared" si="89"/>
        <v xml:space="preserve">4 GB </v>
      </c>
    </row>
    <row r="1484" spans="1:19">
      <c r="A1484" t="str">
        <f>LEFT(B1484, LEN(B1484)-15)</f>
        <v>Lenovo V15 (82KDA012iH) Laptop (AMD Hexa Core Ryzen 5/8 GB/512 GB SSD/Windows 11)</v>
      </c>
      <c r="B1484" t="s">
        <v>2129</v>
      </c>
      <c r="C1484" s="1">
        <v>37990</v>
      </c>
      <c r="D1484" s="1">
        <v>111</v>
      </c>
      <c r="E1484" s="2">
        <v>74</v>
      </c>
      <c r="F1484" s="2" t="str" cm="1">
        <f t="array" ref="F1484">_xlfn.IFS(AND(101&gt;E1484, E1484&gt;69), "Top-Tier", AND(70&gt;E1484, E1484&gt;39), "Mid-Tier", 40&gt;E1484, "Low-Tier")</f>
        <v>Top-Tier</v>
      </c>
      <c r="G1484" s="4">
        <v>44866</v>
      </c>
      <c r="H1484" t="s">
        <v>2105</v>
      </c>
      <c r="I1484" t="s">
        <v>33</v>
      </c>
      <c r="J1484" t="s">
        <v>50</v>
      </c>
      <c r="K1484" t="s">
        <v>159</v>
      </c>
      <c r="L1484" t="s">
        <v>24</v>
      </c>
      <c r="M1484" t="s">
        <v>253</v>
      </c>
      <c r="N1484" t="s">
        <v>31</v>
      </c>
      <c r="Q1484" t="str">
        <f>LEFT(B1484, 6)</f>
        <v>Lenovo</v>
      </c>
      <c r="R1484" t="str">
        <f t="shared" si="90"/>
        <v>Intel Core i7 (13th Gen)</v>
      </c>
      <c r="S1484" t="str">
        <f t="shared" si="89"/>
        <v xml:space="preserve">8 GB </v>
      </c>
    </row>
    <row r="1485" spans="1:19">
      <c r="A1485" t="str">
        <f>LEFT(B1485, LEN(B1485)-15)</f>
        <v>Lenovo Ideapad Flex 3 CB 11IJL6 (82N3000DHA) Laptop (Celeron Dual Core/4 GB/128 GB SSD/Google Chrome)</v>
      </c>
      <c r="B1485" t="s">
        <v>2130</v>
      </c>
      <c r="C1485" s="1">
        <v>41890</v>
      </c>
      <c r="D1485" s="1">
        <v>316</v>
      </c>
      <c r="E1485" s="2">
        <v>74</v>
      </c>
      <c r="F1485" s="2" t="str" cm="1">
        <f t="array" ref="F1485">_xlfn.IFS(AND(101&gt;E1485, E1485&gt;69), "Top-Tier", AND(70&gt;E1485, E1485&gt;39), "Mid-Tier", 40&gt;E1485, "Low-Tier")</f>
        <v>Top-Tier</v>
      </c>
      <c r="G1485" s="4">
        <v>44866</v>
      </c>
      <c r="H1485" t="s">
        <v>2105</v>
      </c>
      <c r="I1485" t="s">
        <v>735</v>
      </c>
      <c r="J1485" t="s">
        <v>1435</v>
      </c>
      <c r="K1485" t="s">
        <v>1833</v>
      </c>
      <c r="L1485" t="s">
        <v>24</v>
      </c>
      <c r="M1485" t="s">
        <v>732</v>
      </c>
      <c r="N1485" t="s">
        <v>31</v>
      </c>
      <c r="O1485" t="s">
        <v>254</v>
      </c>
      <c r="Q1485" t="str">
        <f>LEFT(B1485, 6)</f>
        <v>Lenovo</v>
      </c>
      <c r="R1485" t="str">
        <f t="shared" si="90"/>
        <v>Intel Core i7 (13th Gen)</v>
      </c>
      <c r="S1485" t="str">
        <f t="shared" si="89"/>
        <v xml:space="preserve">4 GB </v>
      </c>
    </row>
    <row r="1486" spans="1:19">
      <c r="A1486" t="str">
        <f>LEFT(B1486, LEN(B1486)-15)</f>
        <v>Asus Vivobook K15 OLED K513EA-L302WS Laptop (Core i3 11th Gen/8 GB/256 GB SSD/Windows 11)</v>
      </c>
      <c r="B1486" t="s">
        <v>2131</v>
      </c>
      <c r="C1486" s="1">
        <v>42990</v>
      </c>
      <c r="D1486" s="1">
        <v>7</v>
      </c>
      <c r="E1486" s="2">
        <v>74</v>
      </c>
      <c r="F1486" s="2" t="str" cm="1">
        <f t="array" ref="F1486">_xlfn.IFS(AND(101&gt;E1486, E1486&gt;69), "Top-Tier", AND(70&gt;E1486, E1486&gt;39), "Mid-Tier", 40&gt;E1486, "Low-Tier")</f>
        <v>Top-Tier</v>
      </c>
      <c r="G1486" s="4">
        <v>44835</v>
      </c>
      <c r="H1486" t="s">
        <v>2105</v>
      </c>
      <c r="I1486" t="s">
        <v>33</v>
      </c>
      <c r="J1486" t="s">
        <v>338</v>
      </c>
      <c r="K1486" t="s">
        <v>215</v>
      </c>
      <c r="L1486" t="s">
        <v>24</v>
      </c>
      <c r="M1486" t="s">
        <v>95</v>
      </c>
      <c r="N1486" t="s">
        <v>31</v>
      </c>
      <c r="Q1486" t="str">
        <f>LEFT(B1486, 4)</f>
        <v>Asus</v>
      </c>
      <c r="R1486" t="str">
        <f t="shared" si="90"/>
        <v>Intel Core i7 (13th Gen)</v>
      </c>
      <c r="S1486" t="str">
        <f t="shared" si="89"/>
        <v xml:space="preserve">8 GB </v>
      </c>
    </row>
    <row r="1487" spans="1:19">
      <c r="A1487" t="str">
        <f>LEFT(B1487, LEN(B1487)-15)</f>
        <v>MSI GF63 Thin 12HW-004IN Laptop (Core i5 12th Gen/8 GB/512 GB SSD/Windows 11)</v>
      </c>
      <c r="B1487" t="s">
        <v>2132</v>
      </c>
      <c r="C1487" s="1">
        <v>59990</v>
      </c>
      <c r="D1487" s="1">
        <v>93</v>
      </c>
      <c r="E1487" s="2">
        <v>74</v>
      </c>
      <c r="F1487" s="2" t="str" cm="1">
        <f t="array" ref="F1487">_xlfn.IFS(AND(101&gt;E1487, E1487&gt;69), "Top-Tier", AND(70&gt;E1487, E1487&gt;39), "Mid-Tier", 40&gt;E1487, "Low-Tier")</f>
        <v>Top-Tier</v>
      </c>
      <c r="G1487" s="4">
        <v>44805</v>
      </c>
      <c r="H1487" t="s">
        <v>2105</v>
      </c>
      <c r="I1487" t="s">
        <v>33</v>
      </c>
      <c r="J1487" t="s">
        <v>50</v>
      </c>
      <c r="K1487" t="s">
        <v>51</v>
      </c>
      <c r="L1487" t="s">
        <v>24</v>
      </c>
      <c r="M1487" t="s">
        <v>113</v>
      </c>
      <c r="N1487" t="s">
        <v>31</v>
      </c>
      <c r="P1487" s="3">
        <v>75</v>
      </c>
      <c r="Q1487" t="str">
        <f>LEFT(B1487, 3)</f>
        <v>MSI</v>
      </c>
      <c r="R1487" t="str">
        <f t="shared" si="90"/>
        <v>Intel Core i7 (13th Gen)</v>
      </c>
      <c r="S1487" t="str">
        <f t="shared" si="89"/>
        <v xml:space="preserve">8 GB </v>
      </c>
    </row>
    <row r="1488" spans="1:19">
      <c r="A1488" t="str">
        <f>LEFT(B1488, LEN(B1488)-15)</f>
        <v>Dell Vostro 5620 (D552269WIN9S) Laptop (Core i5 12th Gen/16 GB/512 GB SSD/Windows 11)</v>
      </c>
      <c r="B1488" t="s">
        <v>2133</v>
      </c>
      <c r="C1488" s="1">
        <v>75990</v>
      </c>
      <c r="D1488" s="1">
        <v>49</v>
      </c>
      <c r="E1488" s="2">
        <v>74</v>
      </c>
      <c r="F1488" s="2" t="str" cm="1">
        <f t="array" ref="F1488">_xlfn.IFS(AND(101&gt;E1488, E1488&gt;69), "Top-Tier", AND(70&gt;E1488, E1488&gt;39), "Mid-Tier", 40&gt;E1488, "Low-Tier")</f>
        <v>Top-Tier</v>
      </c>
      <c r="G1488" s="4">
        <v>44805</v>
      </c>
      <c r="H1488" t="s">
        <v>2105</v>
      </c>
      <c r="I1488" t="s">
        <v>33</v>
      </c>
      <c r="J1488" t="s">
        <v>34</v>
      </c>
      <c r="K1488" t="s">
        <v>577</v>
      </c>
      <c r="L1488" t="s">
        <v>24</v>
      </c>
      <c r="Q1488" t="str">
        <f>LEFT(B1488, 4)</f>
        <v>Dell</v>
      </c>
      <c r="R1488" t="str">
        <f t="shared" si="90"/>
        <v>Intel Core i7 (13th Gen)</v>
      </c>
      <c r="S1488" t="str">
        <f t="shared" si="89"/>
        <v>16 GB</v>
      </c>
    </row>
    <row r="1489" spans="1:19">
      <c r="A1489" t="str">
        <f>LEFT(B1489, LEN(B1489)-15)</f>
        <v>MSI Creator M16 A12UD-633IN Laptop (Core i7 12th Gen/16 GB/512 GB SSD/Windows 11/4 GB)</v>
      </c>
      <c r="B1489" t="s">
        <v>2134</v>
      </c>
      <c r="C1489" s="1">
        <v>83500</v>
      </c>
      <c r="D1489" s="1">
        <v>27</v>
      </c>
      <c r="E1489" s="2">
        <v>74</v>
      </c>
      <c r="F1489" s="2" t="str" cm="1">
        <f t="array" ref="F1489">_xlfn.IFS(AND(101&gt;E1489, E1489&gt;69), "Top-Tier", AND(70&gt;E1489, E1489&gt;39), "Mid-Tier", 40&gt;E1489, "Low-Tier")</f>
        <v>Top-Tier</v>
      </c>
      <c r="G1489" s="4">
        <v>44805</v>
      </c>
      <c r="H1489" t="s">
        <v>2105</v>
      </c>
      <c r="I1489" t="s">
        <v>33</v>
      </c>
      <c r="J1489" t="s">
        <v>34</v>
      </c>
      <c r="K1489" t="s">
        <v>1411</v>
      </c>
      <c r="L1489" t="s">
        <v>24</v>
      </c>
      <c r="N1489" t="s">
        <v>31</v>
      </c>
      <c r="P1489" s="3">
        <v>82</v>
      </c>
      <c r="Q1489" t="str">
        <f>LEFT(B1489, 3)</f>
        <v>MSI</v>
      </c>
      <c r="R1489" t="str">
        <f t="shared" si="90"/>
        <v>Intel Core i7 (13th Gen)</v>
      </c>
      <c r="S1489" t="str">
        <f t="shared" si="89"/>
        <v>16 GB</v>
      </c>
    </row>
    <row r="1490" spans="1:19">
      <c r="A1490" t="str">
        <f>LEFT(B1490, LEN(B1490)-15)</f>
        <v>HP Chromebook 14a-na1004TU Laptop (Intel Celeron Dual Core/4 GB/64 GB eMMC/Google Chrome)</v>
      </c>
      <c r="B1490" t="s">
        <v>2135</v>
      </c>
      <c r="C1490" s="1">
        <v>21591</v>
      </c>
      <c r="D1490" s="1">
        <v>1297</v>
      </c>
      <c r="E1490" s="2">
        <v>74</v>
      </c>
      <c r="F1490" s="2" t="str" cm="1">
        <f t="array" ref="F1490">_xlfn.IFS(AND(101&gt;E1490, E1490&gt;69), "Top-Tier", AND(70&gt;E1490, E1490&gt;39), "Mid-Tier", 40&gt;E1490, "Low-Tier")</f>
        <v>Top-Tier</v>
      </c>
      <c r="G1490" s="4">
        <v>44774</v>
      </c>
      <c r="H1490" t="s">
        <v>2105</v>
      </c>
      <c r="I1490" t="s">
        <v>735</v>
      </c>
      <c r="J1490" t="s">
        <v>1358</v>
      </c>
      <c r="K1490" t="s">
        <v>149</v>
      </c>
      <c r="L1490" t="s">
        <v>24</v>
      </c>
      <c r="M1490" t="s">
        <v>74</v>
      </c>
      <c r="Q1490" t="str">
        <f>LEFT(B1490, 2)</f>
        <v>HP</v>
      </c>
      <c r="R1490" t="str">
        <f t="shared" si="90"/>
        <v>Intel Core i7 (13th Gen)</v>
      </c>
      <c r="S1490" t="str">
        <f t="shared" si="89"/>
        <v xml:space="preserve">4 GB </v>
      </c>
    </row>
    <row r="1491" spans="1:19">
      <c r="A1491" t="str">
        <f>LEFT(B1491, LEN(B1491)-15)</f>
        <v>HP 14s-dq3037TU (681Y5PA) Laptop (Intel Celeron Dual Core/8 GB/256 GB SSD/Windows 11)</v>
      </c>
      <c r="B1491" t="s">
        <v>2136</v>
      </c>
      <c r="C1491" s="1">
        <v>23999</v>
      </c>
      <c r="D1491" s="1">
        <v>1303</v>
      </c>
      <c r="E1491" s="2">
        <v>74</v>
      </c>
      <c r="F1491" s="2" t="str" cm="1">
        <f t="array" ref="F1491">_xlfn.IFS(AND(101&gt;E1491, E1491&gt;69), "Top-Tier", AND(70&gt;E1491, E1491&gt;39), "Mid-Tier", 40&gt;E1491, "Low-Tier")</f>
        <v>Top-Tier</v>
      </c>
      <c r="G1491" s="4">
        <v>44774</v>
      </c>
      <c r="H1491" t="s">
        <v>2105</v>
      </c>
      <c r="I1491" t="s">
        <v>33</v>
      </c>
      <c r="J1491" t="s">
        <v>338</v>
      </c>
      <c r="K1491" t="s">
        <v>1585</v>
      </c>
      <c r="L1491" t="s">
        <v>24</v>
      </c>
      <c r="M1491" t="s">
        <v>74</v>
      </c>
      <c r="N1491" t="s">
        <v>31</v>
      </c>
      <c r="Q1491" t="str">
        <f>LEFT(B1491, 2)</f>
        <v>HP</v>
      </c>
      <c r="R1491" t="str">
        <f t="shared" si="90"/>
        <v>Intel Core i7 (13th Gen)</v>
      </c>
      <c r="S1491" t="str">
        <f t="shared" si="89"/>
        <v xml:space="preserve">8 GB </v>
      </c>
    </row>
    <row r="1492" spans="1:19">
      <c r="A1492" t="str">
        <f>LEFT(B1492, LEN(B1492)-15)</f>
        <v>Dell Vostro 5625 (D552238WIN9S) Laptop (AMD Octa Core Ryzen 7/16 GB/512 GB SSD/Windows 11)</v>
      </c>
      <c r="B1492" t="s">
        <v>2137</v>
      </c>
      <c r="C1492" s="1">
        <v>77966</v>
      </c>
      <c r="D1492" s="1">
        <v>7</v>
      </c>
      <c r="E1492" s="2">
        <v>74</v>
      </c>
      <c r="F1492" s="2" t="str" cm="1">
        <f t="array" ref="F1492">_xlfn.IFS(AND(101&gt;E1492, E1492&gt;69), "Top-Tier", AND(70&gt;E1492, E1492&gt;39), "Mid-Tier", 40&gt;E1492, "Low-Tier")</f>
        <v>Top-Tier</v>
      </c>
      <c r="G1492" s="4">
        <v>44774</v>
      </c>
      <c r="H1492" t="s">
        <v>2105</v>
      </c>
      <c r="I1492" t="s">
        <v>33</v>
      </c>
      <c r="J1492" t="s">
        <v>34</v>
      </c>
      <c r="K1492" t="s">
        <v>577</v>
      </c>
      <c r="L1492" t="s">
        <v>24</v>
      </c>
      <c r="M1492" t="s">
        <v>483</v>
      </c>
      <c r="N1492" t="s">
        <v>31</v>
      </c>
      <c r="P1492" s="3">
        <v>71</v>
      </c>
      <c r="Q1492" t="str">
        <f>LEFT(B1492, 4)</f>
        <v>Dell</v>
      </c>
      <c r="R1492" t="str">
        <f t="shared" si="90"/>
        <v>Intel Core i7 (13th Gen)</v>
      </c>
      <c r="S1492" t="str">
        <f t="shared" si="89"/>
        <v>16 GB</v>
      </c>
    </row>
    <row r="1493" spans="1:19">
      <c r="A1493" t="str">
        <f>LEFT(B1493, LEN(B1493)-15)</f>
        <v>HP 245 G8 (365R8PA) Laptop (AMD Quad Core Ryzen 5/8 GB/1 TB/Windows 10)</v>
      </c>
      <c r="B1493" t="s">
        <v>2138</v>
      </c>
      <c r="C1493" s="1">
        <v>39990</v>
      </c>
      <c r="D1493" s="1">
        <v>132</v>
      </c>
      <c r="E1493" s="2">
        <v>74</v>
      </c>
      <c r="F1493" s="2" t="str" cm="1">
        <f t="array" ref="F1493">_xlfn.IFS(AND(101&gt;E1493, E1493&gt;69), "Top-Tier", AND(70&gt;E1493, E1493&gt;39), "Mid-Tier", 40&gt;E1493, "Low-Tier")</f>
        <v>Top-Tier</v>
      </c>
      <c r="G1493" s="4">
        <v>44743</v>
      </c>
      <c r="H1493" t="s">
        <v>2105</v>
      </c>
      <c r="I1493" t="s">
        <v>248</v>
      </c>
      <c r="J1493" t="s">
        <v>332</v>
      </c>
      <c r="K1493" t="s">
        <v>699</v>
      </c>
      <c r="L1493" t="s">
        <v>24</v>
      </c>
      <c r="M1493" t="s">
        <v>253</v>
      </c>
      <c r="N1493" t="s">
        <v>31</v>
      </c>
      <c r="O1493" t="s">
        <v>261</v>
      </c>
      <c r="Q1493" t="str">
        <f>LEFT(B1493, 2)</f>
        <v>HP</v>
      </c>
      <c r="R1493" t="str">
        <f t="shared" si="90"/>
        <v>Intel Core i7 (13th Gen)</v>
      </c>
      <c r="S1493" t="str">
        <f t="shared" si="89"/>
        <v xml:space="preserve">8 GB </v>
      </c>
    </row>
    <row r="1494" spans="1:19">
      <c r="A1494" t="str">
        <f>LEFT(B1494, LEN(B1494)-15)</f>
        <v>Lenovo Ideapad Slim 3 (82RK00EDIN) Laptop (Core i5 12th Gen/8 GB/512 GB SSD/Windows 11)</v>
      </c>
      <c r="B1494" t="s">
        <v>2139</v>
      </c>
      <c r="C1494" s="1">
        <v>47590</v>
      </c>
      <c r="D1494" s="1">
        <v>3</v>
      </c>
      <c r="E1494" s="2">
        <v>74</v>
      </c>
      <c r="F1494" s="2" t="str" cm="1">
        <f t="array" ref="F1494">_xlfn.IFS(AND(101&gt;E1494, E1494&gt;69), "Top-Tier", AND(70&gt;E1494, E1494&gt;39), "Mid-Tier", 40&gt;E1494, "Low-Tier")</f>
        <v>Top-Tier</v>
      </c>
      <c r="G1494" s="4">
        <v>44743</v>
      </c>
      <c r="H1494" t="s">
        <v>2105</v>
      </c>
      <c r="I1494" t="s">
        <v>33</v>
      </c>
      <c r="J1494" t="s">
        <v>50</v>
      </c>
      <c r="K1494" t="s">
        <v>159</v>
      </c>
      <c r="L1494" t="s">
        <v>24</v>
      </c>
      <c r="M1494" t="s">
        <v>253</v>
      </c>
      <c r="N1494" t="s">
        <v>31</v>
      </c>
      <c r="P1494" s="3">
        <v>71</v>
      </c>
      <c r="Q1494" t="str">
        <f>LEFT(B1494, 6)</f>
        <v>Lenovo</v>
      </c>
      <c r="R1494" t="str">
        <f t="shared" si="90"/>
        <v>Intel Core i7 (13th Gen)</v>
      </c>
      <c r="S1494" t="str">
        <f t="shared" si="89"/>
        <v xml:space="preserve">8 GB </v>
      </c>
    </row>
    <row r="1495" spans="1:19">
      <c r="A1495" t="str">
        <f>LEFT(B1495, LEN(B1495)-15)</f>
        <v>Asus ROG Zephyrus G15 GA503RS-HQ027WS Laptop (AMD Octa Core Ryzen 9/16 GB/1 TB SSD/Windows 11/8 GB)</v>
      </c>
      <c r="B1495" t="s">
        <v>2140</v>
      </c>
      <c r="C1495" s="1">
        <v>189990</v>
      </c>
      <c r="D1495" s="1">
        <v>3</v>
      </c>
      <c r="E1495" s="2">
        <v>74</v>
      </c>
      <c r="F1495" s="2" t="str" cm="1">
        <f t="array" ref="F1495">_xlfn.IFS(AND(101&gt;E1495, E1495&gt;69), "Top-Tier", AND(70&gt;E1495, E1495&gt;39), "Mid-Tier", 40&gt;E1495, "Low-Tier")</f>
        <v>Top-Tier</v>
      </c>
      <c r="G1495" s="4">
        <v>44743</v>
      </c>
      <c r="H1495" t="s">
        <v>2105</v>
      </c>
      <c r="I1495" t="s">
        <v>33</v>
      </c>
      <c r="J1495" t="s">
        <v>72</v>
      </c>
      <c r="K1495" t="s">
        <v>252</v>
      </c>
      <c r="L1495" t="s">
        <v>24</v>
      </c>
      <c r="M1495" t="s">
        <v>253</v>
      </c>
      <c r="N1495" t="s">
        <v>31</v>
      </c>
      <c r="O1495" t="s">
        <v>254</v>
      </c>
      <c r="P1495" s="3">
        <v>82</v>
      </c>
      <c r="Q1495" t="str">
        <f>LEFT(B1495, 4)</f>
        <v>Asus</v>
      </c>
      <c r="R1495" t="str">
        <f t="shared" si="90"/>
        <v>Intel Core i7 (13th Gen)</v>
      </c>
      <c r="S1495" t="str">
        <f t="shared" si="89"/>
        <v>16 GB</v>
      </c>
    </row>
    <row r="1496" spans="1:19">
      <c r="A1496" t="str">
        <f>LEFT(B1496, LEN(B1496)-15)</f>
        <v>Asus EeeBook 12 E210MA-GJ012W Laptop (Intel Celeron Dual Core/4 GB/64 GB eMMC/Windows 11)</v>
      </c>
      <c r="B1496" t="s">
        <v>2141</v>
      </c>
      <c r="C1496" s="1">
        <v>11990</v>
      </c>
      <c r="D1496" s="1">
        <v>51</v>
      </c>
      <c r="E1496" s="2">
        <v>74</v>
      </c>
      <c r="F1496" s="2" t="str" cm="1">
        <f t="array" ref="F1496">_xlfn.IFS(AND(101&gt;E1496, E1496&gt;69), "Top-Tier", AND(70&gt;E1496, E1496&gt;39), "Mid-Tier", 40&gt;E1496, "Low-Tier")</f>
        <v>Top-Tier</v>
      </c>
      <c r="G1496" s="4">
        <v>44743</v>
      </c>
      <c r="H1496" t="s">
        <v>2105</v>
      </c>
      <c r="I1496" t="s">
        <v>33</v>
      </c>
      <c r="J1496" t="s">
        <v>2142</v>
      </c>
      <c r="K1496" t="s">
        <v>1359</v>
      </c>
      <c r="L1496" t="s">
        <v>24</v>
      </c>
      <c r="M1496" t="s">
        <v>203</v>
      </c>
      <c r="N1496" t="s">
        <v>31</v>
      </c>
      <c r="Q1496" t="str">
        <f>LEFT(B1496, 4)</f>
        <v>Asus</v>
      </c>
      <c r="R1496" t="str">
        <f t="shared" si="90"/>
        <v>Intel Core i7 (13th Gen)</v>
      </c>
      <c r="S1496" t="str">
        <f t="shared" si="89"/>
        <v xml:space="preserve">4 GB </v>
      </c>
    </row>
    <row r="1497" spans="1:19">
      <c r="A1497" t="str">
        <f>LEFT(B1497, LEN(B1497)-15)</f>
        <v>HP 15s-er1501AU (6Q0N8PA) Laptop (AMD Dual Core Ryzen 3/8 GB/256 GB SSD/Windows 11)</v>
      </c>
      <c r="B1497" t="s">
        <v>2143</v>
      </c>
      <c r="C1497" s="1">
        <v>35990</v>
      </c>
      <c r="D1497" s="1">
        <v>64</v>
      </c>
      <c r="E1497" s="2">
        <v>74</v>
      </c>
      <c r="F1497" s="2" t="str" cm="1">
        <f t="array" ref="F1497">_xlfn.IFS(AND(101&gt;E1497, E1497&gt;69), "Top-Tier", AND(70&gt;E1497, E1497&gt;39), "Mid-Tier", 40&gt;E1497, "Low-Tier")</f>
        <v>Top-Tier</v>
      </c>
      <c r="G1497" s="4">
        <v>44743</v>
      </c>
      <c r="H1497" t="s">
        <v>2105</v>
      </c>
      <c r="I1497" t="s">
        <v>33</v>
      </c>
      <c r="J1497" t="s">
        <v>338</v>
      </c>
      <c r="K1497" t="s">
        <v>560</v>
      </c>
      <c r="L1497" t="s">
        <v>24</v>
      </c>
      <c r="M1497" t="s">
        <v>95</v>
      </c>
      <c r="N1497" t="s">
        <v>31</v>
      </c>
      <c r="Q1497" t="str">
        <f>LEFT(B1497, 2)</f>
        <v>HP</v>
      </c>
      <c r="R1497" t="str">
        <f t="shared" si="90"/>
        <v>Intel Core i7 (13th Gen)</v>
      </c>
      <c r="S1497" t="str">
        <f t="shared" si="89"/>
        <v xml:space="preserve">8 GB </v>
      </c>
    </row>
    <row r="1498" spans="1:19">
      <c r="A1498" t="str">
        <f>LEFT(B1498, LEN(B1498)-15)</f>
        <v>Dell Inspiron 15 3525 (D560764WIN9S) Laptop (AMD Quad Core Ryzen 3/8 GB/512 GB SSD/Windows 11)</v>
      </c>
      <c r="B1498" t="s">
        <v>2144</v>
      </c>
      <c r="C1498" s="1">
        <v>40500</v>
      </c>
      <c r="D1498" s="1">
        <v>171</v>
      </c>
      <c r="E1498" s="2">
        <v>74</v>
      </c>
      <c r="F1498" s="2" t="str" cm="1">
        <f t="array" ref="F1498">_xlfn.IFS(AND(101&gt;E1498, E1498&gt;69), "Top-Tier", AND(70&gt;E1498, E1498&gt;39), "Mid-Tier", 40&gt;E1498, "Low-Tier")</f>
        <v>Top-Tier</v>
      </c>
      <c r="G1498" s="4">
        <v>44713</v>
      </c>
      <c r="H1498" t="s">
        <v>2145</v>
      </c>
      <c r="I1498" t="s">
        <v>33</v>
      </c>
      <c r="J1498" t="s">
        <v>50</v>
      </c>
      <c r="K1498" t="s">
        <v>51</v>
      </c>
      <c r="L1498" t="s">
        <v>24</v>
      </c>
      <c r="M1498" t="s">
        <v>178</v>
      </c>
      <c r="N1498" t="s">
        <v>31</v>
      </c>
      <c r="Q1498" t="str">
        <f>LEFT(B1498, 4)</f>
        <v>Dell</v>
      </c>
      <c r="R1498" t="str">
        <f t="shared" si="90"/>
        <v>Intel Core i7 (13th Gen)</v>
      </c>
      <c r="S1498" t="str">
        <f t="shared" si="89"/>
        <v xml:space="preserve">8 GB </v>
      </c>
    </row>
    <row r="1499" spans="1:19">
      <c r="A1499" t="str">
        <f>LEFT(B1499, LEN(B1499)-15)</f>
        <v>Asus Vivobook S15 OLED Intel Evo S3502ZA-L702WS Laptop (Core i7 12th Gen/16 GB/512 GB SSD/Windows 11)</v>
      </c>
      <c r="B1499" t="s">
        <v>2146</v>
      </c>
      <c r="C1499" s="1">
        <v>77990</v>
      </c>
      <c r="D1499" s="1">
        <v>11</v>
      </c>
      <c r="E1499" s="2">
        <v>74</v>
      </c>
      <c r="F1499" s="2" t="str" cm="1">
        <f t="array" ref="F1499">_xlfn.IFS(AND(101&gt;E1499, E1499&gt;69), "Top-Tier", AND(70&gt;E1499, E1499&gt;39), "Mid-Tier", 40&gt;E1499, "Low-Tier")</f>
        <v>Top-Tier</v>
      </c>
      <c r="G1499" s="4">
        <v>44713</v>
      </c>
      <c r="H1499" t="s">
        <v>2145</v>
      </c>
      <c r="I1499" t="s">
        <v>33</v>
      </c>
      <c r="J1499" t="s">
        <v>34</v>
      </c>
      <c r="K1499" t="s">
        <v>159</v>
      </c>
      <c r="L1499" t="s">
        <v>24</v>
      </c>
      <c r="M1499" t="s">
        <v>122</v>
      </c>
      <c r="N1499" t="s">
        <v>31</v>
      </c>
      <c r="P1499" s="3">
        <v>77</v>
      </c>
      <c r="Q1499" t="str">
        <f>LEFT(B1499, 4)</f>
        <v>Asus</v>
      </c>
      <c r="R1499" t="str">
        <f t="shared" si="90"/>
        <v>Intel Core i7 (13th Gen)</v>
      </c>
      <c r="S1499" t="str">
        <f t="shared" si="89"/>
        <v>16 GB</v>
      </c>
    </row>
    <row r="1500" spans="1:19">
      <c r="A1500" t="str">
        <f>LEFT(B1500, LEN(B1500)-15)</f>
        <v>Dell Inspiron 15 3525 (D560782WIN9S) Laptop (AMD Octa Core Ryzen 7/8 GB/512 GB SSD/Windows 11)</v>
      </c>
      <c r="B1500" t="s">
        <v>2147</v>
      </c>
      <c r="C1500" s="1">
        <v>66190</v>
      </c>
      <c r="D1500" s="1">
        <v>3</v>
      </c>
      <c r="E1500" s="2">
        <v>74</v>
      </c>
      <c r="F1500" s="2" t="str" cm="1">
        <f t="array" ref="F1500">_xlfn.IFS(AND(101&gt;E1500, E1500&gt;69), "Top-Tier", AND(70&gt;E1500, E1500&gt;39), "Mid-Tier", 40&gt;E1500, "Low-Tier")</f>
        <v>Top-Tier</v>
      </c>
      <c r="G1500" s="4">
        <v>44713</v>
      </c>
      <c r="H1500" t="s">
        <v>2145</v>
      </c>
      <c r="I1500" t="s">
        <v>33</v>
      </c>
      <c r="J1500" t="s">
        <v>50</v>
      </c>
      <c r="K1500" t="s">
        <v>51</v>
      </c>
      <c r="L1500" t="s">
        <v>24</v>
      </c>
      <c r="N1500" t="s">
        <v>31</v>
      </c>
      <c r="P1500" s="3">
        <v>71</v>
      </c>
      <c r="Q1500" t="str">
        <f>LEFT(B1500, 4)</f>
        <v>Dell</v>
      </c>
      <c r="R1500" t="str">
        <f t="shared" si="90"/>
        <v>Intel Core i7 (13th Gen)</v>
      </c>
      <c r="S1500" t="str">
        <f t="shared" si="89"/>
        <v xml:space="preserve">8 GB </v>
      </c>
    </row>
    <row r="1501" spans="1:19">
      <c r="A1501" t="str">
        <f>LEFT(B1501, LEN(B1501)-15)</f>
        <v>Asus VivoBook 15 X515EA-BR391WS Laptop (Core i3 11th Gen/8 GB/1 TB/Windows 11)</v>
      </c>
      <c r="B1501" t="s">
        <v>2148</v>
      </c>
      <c r="C1501" s="1">
        <v>28990</v>
      </c>
      <c r="D1501" s="1">
        <v>431</v>
      </c>
      <c r="E1501" s="2">
        <v>74</v>
      </c>
      <c r="F1501" s="2" t="str" cm="1">
        <f t="array" ref="F1501">_xlfn.IFS(AND(101&gt;E1501, E1501&gt;69), "Top-Tier", AND(70&gt;E1501, E1501&gt;39), "Mid-Tier", 40&gt;E1501, "Low-Tier")</f>
        <v>Top-Tier</v>
      </c>
      <c r="G1501" s="4">
        <v>44713</v>
      </c>
      <c r="H1501" t="s">
        <v>2145</v>
      </c>
      <c r="I1501" t="s">
        <v>33</v>
      </c>
      <c r="J1501" t="s">
        <v>332</v>
      </c>
      <c r="K1501" t="s">
        <v>674</v>
      </c>
      <c r="L1501" t="s">
        <v>24</v>
      </c>
      <c r="M1501" t="s">
        <v>52</v>
      </c>
      <c r="N1501" t="s">
        <v>31</v>
      </c>
      <c r="Q1501" t="str">
        <f>LEFT(B1501, 4)</f>
        <v>Asus</v>
      </c>
      <c r="R1501" t="str">
        <f t="shared" si="90"/>
        <v>Intel Core i7 (13th Gen)</v>
      </c>
      <c r="S1501" t="str">
        <f t="shared" si="89"/>
        <v xml:space="preserve">8 GB </v>
      </c>
    </row>
    <row r="1502" spans="1:19">
      <c r="A1502" t="str">
        <f>LEFT(B1502, LEN(B1502)-15)</f>
        <v>Lenovo IdeaPad Slim 5 16IMH9 (83DC008VIN) Laptop (Core Ultra 7/16 GB/1 TB SSD/Windows 11)</v>
      </c>
      <c r="B1502" t="s">
        <v>2149</v>
      </c>
      <c r="C1502" s="1">
        <v>86990</v>
      </c>
      <c r="D1502" s="1">
        <v>62</v>
      </c>
      <c r="E1502" s="2">
        <v>72</v>
      </c>
      <c r="F1502" s="2" t="str" cm="1">
        <f t="array" ref="F1502">_xlfn.IFS(AND(101&gt;E1502, E1502&gt;69), "Top-Tier", AND(70&gt;E1502, E1502&gt;39), "Mid-Tier", 40&gt;E1502, "Low-Tier")</f>
        <v>Top-Tier</v>
      </c>
      <c r="G1502" s="4">
        <v>45566</v>
      </c>
      <c r="H1502" t="s">
        <v>2145</v>
      </c>
      <c r="I1502" t="s">
        <v>33</v>
      </c>
      <c r="J1502" t="s">
        <v>42</v>
      </c>
      <c r="K1502" t="s">
        <v>155</v>
      </c>
      <c r="L1502" t="s">
        <v>24</v>
      </c>
      <c r="M1502" t="s">
        <v>203</v>
      </c>
      <c r="N1502" t="s">
        <v>31</v>
      </c>
      <c r="P1502" s="3">
        <v>87</v>
      </c>
      <c r="Q1502" t="str">
        <f>LEFT(B1502, 6)</f>
        <v>Lenovo</v>
      </c>
      <c r="R1502" t="str">
        <f t="shared" si="90"/>
        <v>Intel Core i7 (13th Gen)</v>
      </c>
      <c r="S1502" t="str">
        <f t="shared" si="89"/>
        <v>16 GB</v>
      </c>
    </row>
    <row r="1503" spans="1:19">
      <c r="A1503" t="str">
        <f>LEFT(B1503, LEN(B1503)-15)</f>
        <v>Lenovo IdeaPad Slim 5 14AKP10 Gen 10 (83HX001NIN) Laptop (AMD Octa Core Ryzen AI 7/24 GB/1 TB SSD/Windows 11)</v>
      </c>
      <c r="B1503" t="s">
        <v>2150</v>
      </c>
      <c r="C1503" s="1">
        <v>86890</v>
      </c>
      <c r="D1503" s="1">
        <v>11</v>
      </c>
      <c r="E1503" s="2">
        <v>72</v>
      </c>
      <c r="F1503" s="2" t="str" cm="1">
        <f t="array" ref="F1503">_xlfn.IFS(AND(101&gt;E1503, E1503&gt;69), "Top-Tier", AND(70&gt;E1503, E1503&gt;39), "Mid-Tier", 40&gt;E1503, "Low-Tier")</f>
        <v>Top-Tier</v>
      </c>
      <c r="G1503" s="4">
        <v>45717</v>
      </c>
      <c r="H1503" t="s">
        <v>2145</v>
      </c>
      <c r="I1503" t="s">
        <v>33</v>
      </c>
      <c r="J1503" t="s">
        <v>2151</v>
      </c>
      <c r="K1503" t="s">
        <v>59</v>
      </c>
      <c r="L1503" t="s">
        <v>24</v>
      </c>
      <c r="M1503" t="s">
        <v>178</v>
      </c>
      <c r="N1503" t="s">
        <v>31</v>
      </c>
      <c r="P1503" s="3">
        <v>78</v>
      </c>
      <c r="Q1503" t="str">
        <f>LEFT(B1503, 6)</f>
        <v>Lenovo</v>
      </c>
      <c r="R1503" t="str">
        <f t="shared" si="90"/>
        <v>Intel Core i7 (13th Gen)</v>
      </c>
      <c r="S1503" t="str">
        <f t="shared" si="89"/>
        <v>24 GB</v>
      </c>
    </row>
    <row r="1504" spans="1:19">
      <c r="A1504" t="str">
        <f>LEFT(B1504, LEN(B1504)-15)</f>
        <v>Asus Vivobook X515MA-BR004T Laptop (Celeron Dual Core/4 GB/1 TB/Windows 10)</v>
      </c>
      <c r="B1504" t="s">
        <v>2152</v>
      </c>
      <c r="C1504" s="1">
        <v>28990</v>
      </c>
      <c r="D1504" s="1">
        <v>403</v>
      </c>
      <c r="E1504" s="2">
        <v>72</v>
      </c>
      <c r="F1504" s="2" t="str" cm="1">
        <f t="array" ref="F1504">_xlfn.IFS(AND(101&gt;E1504, E1504&gt;69), "Top-Tier", AND(70&gt;E1504, E1504&gt;39), "Mid-Tier", 40&gt;E1504, "Low-Tier")</f>
        <v>Top-Tier</v>
      </c>
      <c r="G1504" s="4">
        <v>44317</v>
      </c>
      <c r="H1504" t="s">
        <v>2145</v>
      </c>
      <c r="I1504" t="s">
        <v>248</v>
      </c>
      <c r="J1504" t="s">
        <v>542</v>
      </c>
      <c r="K1504" t="s">
        <v>705</v>
      </c>
      <c r="L1504" t="s">
        <v>24</v>
      </c>
      <c r="M1504" t="s">
        <v>52</v>
      </c>
      <c r="N1504" t="s">
        <v>31</v>
      </c>
      <c r="Q1504" t="str">
        <f>LEFT(B1504, 4)</f>
        <v>Asus</v>
      </c>
      <c r="R1504" t="str">
        <f t="shared" si="90"/>
        <v>Intel Core i7 (13th Gen)</v>
      </c>
      <c r="S1504" t="str">
        <f t="shared" si="89"/>
        <v xml:space="preserve">4 GB </v>
      </c>
    </row>
    <row r="1505" spans="1:19">
      <c r="A1505" t="str">
        <f>LEFT(B1505, LEN(B1505)-15)</f>
        <v>Asus VivoBook 14 X1404VA-NK804WS Laptop (Core i5 13th Gen/8 GB/512 GB SSD/Windows 11)</v>
      </c>
      <c r="B1505" t="s">
        <v>2153</v>
      </c>
      <c r="C1505" s="1">
        <v>46990</v>
      </c>
      <c r="D1505" s="1">
        <v>54</v>
      </c>
      <c r="E1505" s="2">
        <v>72</v>
      </c>
      <c r="F1505" s="2" t="str" cm="1">
        <f t="array" ref="F1505">_xlfn.IFS(AND(101&gt;E1505, E1505&gt;69), "Top-Tier", AND(70&gt;E1505, E1505&gt;39), "Mid-Tier", 40&gt;E1505, "Low-Tier")</f>
        <v>Top-Tier</v>
      </c>
      <c r="G1505" s="4">
        <v>45658</v>
      </c>
      <c r="H1505" t="s">
        <v>2145</v>
      </c>
      <c r="I1505" t="s">
        <v>33</v>
      </c>
      <c r="J1505" t="s">
        <v>50</v>
      </c>
      <c r="K1505" t="s">
        <v>427</v>
      </c>
      <c r="L1505" t="s">
        <v>24</v>
      </c>
      <c r="M1505" t="s">
        <v>95</v>
      </c>
      <c r="N1505" t="s">
        <v>31</v>
      </c>
      <c r="P1505" s="3">
        <v>79</v>
      </c>
      <c r="Q1505" t="str">
        <f>LEFT(B1505, 4)</f>
        <v>Asus</v>
      </c>
      <c r="R1505" t="str">
        <f t="shared" si="90"/>
        <v>Intel Core i7 (13th Gen)</v>
      </c>
      <c r="S1505" t="str">
        <f t="shared" si="89"/>
        <v xml:space="preserve">8 GB </v>
      </c>
    </row>
    <row r="1506" spans="1:19">
      <c r="A1506" t="str">
        <f>LEFT(B1506, LEN(B1506)-15)</f>
        <v>Lenovo Ideapad 330 (81F400PEIN) Laptop (Core i3 8th Gen/4 GB/1 TB 16 GB SSD/Windows 10)</v>
      </c>
      <c r="B1506" t="s">
        <v>2154</v>
      </c>
      <c r="C1506" s="1">
        <v>39290</v>
      </c>
      <c r="D1506" s="1">
        <v>513</v>
      </c>
      <c r="E1506" s="2">
        <v>72</v>
      </c>
      <c r="F1506" s="2" t="str" cm="1">
        <f t="array" ref="F1506">_xlfn.IFS(AND(101&gt;E1506, E1506&gt;69), "Top-Tier", AND(70&gt;E1506, E1506&gt;39), "Mid-Tier", 40&gt;E1506, "Low-Tier")</f>
        <v>Top-Tier</v>
      </c>
      <c r="H1506" t="s">
        <v>2145</v>
      </c>
      <c r="I1506" t="s">
        <v>248</v>
      </c>
      <c r="J1506" t="s">
        <v>542</v>
      </c>
      <c r="K1506" t="s">
        <v>439</v>
      </c>
      <c r="L1506" t="s">
        <v>24</v>
      </c>
      <c r="N1506" t="s">
        <v>31</v>
      </c>
      <c r="O1506" t="s">
        <v>261</v>
      </c>
      <c r="Q1506" t="str">
        <f>LEFT(B1506, 6)</f>
        <v>Lenovo</v>
      </c>
      <c r="R1506" t="str">
        <f t="shared" si="90"/>
        <v>Intel Core i7 (13th Gen)</v>
      </c>
      <c r="S1506" t="str">
        <f t="shared" si="89"/>
        <v xml:space="preserve">4 GB </v>
      </c>
    </row>
    <row r="1507" spans="1:19">
      <c r="A1507" t="str">
        <f>LEFT(B1507, LEN(B1507)-15)</f>
        <v>HP Pavilion TouchSmart 14 X360 14-cd0051TU (4LR30PA) Laptop (Core i5 8th Gen/8 GB/1 TB 8 GB SSD/Windows 10/2 GB)</v>
      </c>
      <c r="B1507" t="s">
        <v>2155</v>
      </c>
      <c r="C1507" s="1">
        <v>76990</v>
      </c>
      <c r="D1507" s="1">
        <v>47</v>
      </c>
      <c r="E1507" s="2">
        <v>72</v>
      </c>
      <c r="F1507" s="2" t="str" cm="1">
        <f t="array" ref="F1507">_xlfn.IFS(AND(101&gt;E1507, E1507&gt;69), "Top-Tier", AND(70&gt;E1507, E1507&gt;39), "Mid-Tier", 40&gt;E1507, "Low-Tier")</f>
        <v>Top-Tier</v>
      </c>
      <c r="H1507" t="s">
        <v>2145</v>
      </c>
      <c r="I1507" t="s">
        <v>248</v>
      </c>
      <c r="J1507" t="s">
        <v>332</v>
      </c>
      <c r="K1507" t="s">
        <v>439</v>
      </c>
      <c r="L1507" t="s">
        <v>24</v>
      </c>
      <c r="M1507" t="s">
        <v>864</v>
      </c>
      <c r="N1507" t="s">
        <v>31</v>
      </c>
      <c r="Q1507" t="str">
        <f>LEFT(B1507, 2)</f>
        <v>HP</v>
      </c>
      <c r="R1507" t="str">
        <f t="shared" si="90"/>
        <v>Intel Core i7 (13th Gen)</v>
      </c>
      <c r="S1507" t="str">
        <f t="shared" si="89"/>
        <v xml:space="preserve">8 GB </v>
      </c>
    </row>
    <row r="1508" spans="1:19">
      <c r="A1508" t="str">
        <f>LEFT(B1508, LEN(B1508)-15)</f>
        <v>HP Pavilion Plus 14-ew1082TU (A3WE3PA) Laptop (Core Ultra 5/16 GB/512 GB SSD/Windows 11)</v>
      </c>
      <c r="B1508" t="s">
        <v>2156</v>
      </c>
      <c r="C1508" s="1">
        <v>82999</v>
      </c>
      <c r="D1508" s="1">
        <v>34</v>
      </c>
      <c r="E1508" s="2">
        <v>72</v>
      </c>
      <c r="F1508" s="2" t="str" cm="1">
        <f t="array" ref="F1508">_xlfn.IFS(AND(101&gt;E1508, E1508&gt;69), "Top-Tier", AND(70&gt;E1508, E1508&gt;39), "Mid-Tier", 40&gt;E1508, "Low-Tier")</f>
        <v>Top-Tier</v>
      </c>
      <c r="G1508" s="4">
        <v>45444</v>
      </c>
      <c r="H1508" t="s">
        <v>2145</v>
      </c>
      <c r="I1508" t="s">
        <v>33</v>
      </c>
      <c r="J1508" t="s">
        <v>63</v>
      </c>
      <c r="K1508" t="s">
        <v>221</v>
      </c>
      <c r="L1508" t="s">
        <v>24</v>
      </c>
      <c r="M1508" t="s">
        <v>122</v>
      </c>
      <c r="N1508" t="s">
        <v>31</v>
      </c>
      <c r="P1508" s="3">
        <v>84</v>
      </c>
      <c r="Q1508" t="str">
        <f>LEFT(B1508, 2)</f>
        <v>HP</v>
      </c>
      <c r="R1508" t="str">
        <f t="shared" si="90"/>
        <v>Intel Core i7 (13th Gen)</v>
      </c>
      <c r="S1508" t="str">
        <f t="shared" si="89"/>
        <v>16 GB</v>
      </c>
    </row>
    <row r="1509" spans="1:19">
      <c r="A1509" t="str">
        <f>LEFT(B1509, LEN(B1509)-15)</f>
        <v>Lenovo LOQ 15IAX9I (83FQ0009IN) Laptop (Core i5 12th Gen/8 GB/512 GB SSD/Windows 11/4 GB)</v>
      </c>
      <c r="B1509" t="s">
        <v>2157</v>
      </c>
      <c r="C1509" s="1">
        <v>53490</v>
      </c>
      <c r="D1509" s="1">
        <v>14</v>
      </c>
      <c r="E1509" s="2">
        <v>72</v>
      </c>
      <c r="F1509" s="2" t="str" cm="1">
        <f t="array" ref="F1509">_xlfn.IFS(AND(101&gt;E1509, E1509&gt;69), "Top-Tier", AND(70&gt;E1509, E1509&gt;39), "Mid-Tier", 40&gt;E1509, "Low-Tier")</f>
        <v>Top-Tier</v>
      </c>
      <c r="G1509" s="4">
        <v>45292</v>
      </c>
      <c r="H1509" t="s">
        <v>2145</v>
      </c>
      <c r="I1509" t="s">
        <v>33</v>
      </c>
      <c r="J1509" t="s">
        <v>119</v>
      </c>
      <c r="K1509" t="s">
        <v>51</v>
      </c>
      <c r="L1509" t="s">
        <v>24</v>
      </c>
      <c r="N1509" t="s">
        <v>31</v>
      </c>
      <c r="P1509" s="3">
        <v>84</v>
      </c>
      <c r="Q1509" t="str">
        <f>LEFT(B1509, 6)</f>
        <v>Lenovo</v>
      </c>
      <c r="R1509" t="str">
        <f t="shared" si="90"/>
        <v>Intel Core i7 (13th Gen)</v>
      </c>
      <c r="S1509" t="str">
        <f t="shared" si="89"/>
        <v xml:space="preserve">8 GB </v>
      </c>
    </row>
    <row r="1510" spans="1:19">
      <c r="A1510" t="str">
        <f>LEFT(B1510, LEN(B1510)-15)</f>
        <v>Lenovo Ideapad Slim 1i 15IGL7 (82V700BSIN) Laptop (Intel Celeron Dual Core/8 GB/256 GB SSD/Windows 11)</v>
      </c>
      <c r="B1510" t="s">
        <v>2158</v>
      </c>
      <c r="C1510" s="1">
        <v>25490</v>
      </c>
      <c r="D1510" s="1">
        <v>10</v>
      </c>
      <c r="E1510" s="2">
        <v>72</v>
      </c>
      <c r="F1510" s="2" t="str" cm="1">
        <f t="array" ref="F1510">_xlfn.IFS(AND(101&gt;E1510, E1510&gt;69), "Top-Tier", AND(70&gt;E1510, E1510&gt;39), "Mid-Tier", 40&gt;E1510, "Low-Tier")</f>
        <v>Top-Tier</v>
      </c>
      <c r="G1510" s="4">
        <v>45231</v>
      </c>
      <c r="H1510" t="s">
        <v>2145</v>
      </c>
      <c r="I1510" t="s">
        <v>33</v>
      </c>
      <c r="J1510" t="s">
        <v>338</v>
      </c>
      <c r="K1510" t="s">
        <v>1999</v>
      </c>
      <c r="L1510" t="s">
        <v>24</v>
      </c>
      <c r="M1510" t="s">
        <v>52</v>
      </c>
      <c r="N1510" t="s">
        <v>31</v>
      </c>
      <c r="Q1510" t="str">
        <f>LEFT(B1510, 6)</f>
        <v>Lenovo</v>
      </c>
      <c r="R1510" t="str">
        <f t="shared" si="90"/>
        <v>Intel Core i7 (13th Gen)</v>
      </c>
      <c r="S1510" t="str">
        <f t="shared" si="89"/>
        <v xml:space="preserve">8 GB </v>
      </c>
    </row>
    <row r="1511" spans="1:19">
      <c r="A1511" t="str">
        <f>LEFT(B1511, LEN(B1511)-15)</f>
        <v>Acer TravelMate P2 TMP214-53 (UN.VTKSI.173) Laptop (Core i7 11th Gen/16 GB/512 GB SSD/Windows 11)</v>
      </c>
      <c r="B1511" t="s">
        <v>2159</v>
      </c>
      <c r="C1511" s="1">
        <v>39990</v>
      </c>
      <c r="D1511" s="1">
        <v>175</v>
      </c>
      <c r="E1511" s="2">
        <v>72</v>
      </c>
      <c r="F1511" s="2" t="str" cm="1">
        <f t="array" ref="F1511">_xlfn.IFS(AND(101&gt;E1511, E1511&gt;69), "Top-Tier", AND(70&gt;E1511, E1511&gt;39), "Mid-Tier", 40&gt;E1511, "Low-Tier")</f>
        <v>Top-Tier</v>
      </c>
      <c r="G1511" s="4">
        <v>45231</v>
      </c>
      <c r="H1511" t="s">
        <v>2145</v>
      </c>
      <c r="I1511" t="s">
        <v>33</v>
      </c>
      <c r="J1511" t="s">
        <v>34</v>
      </c>
      <c r="K1511" t="s">
        <v>427</v>
      </c>
      <c r="L1511" t="s">
        <v>24</v>
      </c>
      <c r="M1511" t="s">
        <v>52</v>
      </c>
      <c r="N1511" t="s">
        <v>31</v>
      </c>
      <c r="P1511" s="3">
        <v>73</v>
      </c>
      <c r="Q1511" t="str">
        <f>LEFT(B1511, 4)</f>
        <v>Acer</v>
      </c>
      <c r="R1511" t="str">
        <f t="shared" si="90"/>
        <v>Intel Core i7 (13th Gen)</v>
      </c>
      <c r="S1511" t="str">
        <f t="shared" si="89"/>
        <v>16 GB</v>
      </c>
    </row>
    <row r="1512" spans="1:19">
      <c r="A1512" t="str">
        <f>LEFT(B1512, LEN(B1512)-15)</f>
        <v>Zebronics Pro Series Y ZEB-NBC 1S Laptop (Core i3 11th Gen/8 GB/512 GB SSD/Windows 11)</v>
      </c>
      <c r="B1512" t="s">
        <v>2160</v>
      </c>
      <c r="C1512" s="1">
        <v>23999</v>
      </c>
      <c r="D1512" s="1">
        <v>239</v>
      </c>
      <c r="E1512" s="2">
        <v>72</v>
      </c>
      <c r="F1512" s="2" t="str" cm="1">
        <f t="array" ref="F1512">_xlfn.IFS(AND(101&gt;E1512, E1512&gt;69), "Top-Tier", AND(70&gt;E1512, E1512&gt;39), "Mid-Tier", 40&gt;E1512, "Low-Tier")</f>
        <v>Top-Tier</v>
      </c>
      <c r="G1512" s="4">
        <v>45200</v>
      </c>
      <c r="H1512" t="s">
        <v>2145</v>
      </c>
      <c r="I1512" t="s">
        <v>33</v>
      </c>
      <c r="J1512" t="s">
        <v>955</v>
      </c>
      <c r="K1512" t="s">
        <v>51</v>
      </c>
      <c r="L1512" t="s">
        <v>24</v>
      </c>
      <c r="M1512" t="s">
        <v>253</v>
      </c>
      <c r="N1512" t="s">
        <v>31</v>
      </c>
      <c r="P1512" s="3">
        <v>71</v>
      </c>
      <c r="Q1512" t="str">
        <f>LEFT(B1512, 9)</f>
        <v>Zebronics</v>
      </c>
      <c r="R1512" t="str">
        <f t="shared" si="90"/>
        <v>Intel Core i7 (13th Gen)</v>
      </c>
      <c r="S1512" t="str">
        <f t="shared" si="89"/>
        <v xml:space="preserve">8 GB </v>
      </c>
    </row>
    <row r="1513" spans="1:19">
      <c r="A1513" t="str">
        <f>LEFT(B1513, LEN(B1513)-15)</f>
        <v>Acer TravelMate P2 TMP214-53 (UN.VTKSI.174) Laptop (Core i7 11th Gen/16 GB/1 TB SSD/Windows 11)</v>
      </c>
      <c r="B1513" t="s">
        <v>2161</v>
      </c>
      <c r="C1513" s="1">
        <v>49890</v>
      </c>
      <c r="D1513" s="1">
        <v>175</v>
      </c>
      <c r="E1513" s="2">
        <v>72</v>
      </c>
      <c r="F1513" s="2" t="str" cm="1">
        <f t="array" ref="F1513">_xlfn.IFS(AND(101&gt;E1513, E1513&gt;69), "Top-Tier", AND(70&gt;E1513, E1513&gt;39), "Mid-Tier", 40&gt;E1513, "Low-Tier")</f>
        <v>Top-Tier</v>
      </c>
      <c r="G1513" s="4">
        <v>45200</v>
      </c>
      <c r="H1513" t="s">
        <v>2162</v>
      </c>
      <c r="I1513" t="s">
        <v>33</v>
      </c>
      <c r="J1513" t="s">
        <v>184</v>
      </c>
      <c r="K1513" t="s">
        <v>427</v>
      </c>
      <c r="L1513" t="s">
        <v>24</v>
      </c>
      <c r="M1513" t="s">
        <v>52</v>
      </c>
      <c r="N1513" t="s">
        <v>31</v>
      </c>
      <c r="P1513" s="3">
        <v>74</v>
      </c>
      <c r="Q1513" t="str">
        <f>LEFT(B1513, 4)</f>
        <v>Acer</v>
      </c>
      <c r="R1513" t="str">
        <f t="shared" si="90"/>
        <v>Intel Core i7 (13th Gen)</v>
      </c>
      <c r="S1513" t="str">
        <f t="shared" si="89"/>
        <v>16 GB</v>
      </c>
    </row>
    <row r="1514" spans="1:19">
      <c r="A1514" t="str">
        <f>LEFT(B1514, LEN(B1514)-15)</f>
        <v>HP 255 G9 (724N9EA) Laptop (AMD Dual Core Athlon/4 GB/256 GB SSD/Windows 11)</v>
      </c>
      <c r="B1514" t="s">
        <v>2163</v>
      </c>
      <c r="C1514" s="1">
        <v>23990</v>
      </c>
      <c r="D1514" s="1">
        <v>26</v>
      </c>
      <c r="E1514" s="2">
        <v>72</v>
      </c>
      <c r="F1514" s="2" t="str" cm="1">
        <f t="array" ref="F1514">_xlfn.IFS(AND(101&gt;E1514, E1514&gt;69), "Top-Tier", AND(70&gt;E1514, E1514&gt;39), "Mid-Tier", 40&gt;E1514, "Low-Tier")</f>
        <v>Top-Tier</v>
      </c>
      <c r="G1514" s="4">
        <v>45170</v>
      </c>
      <c r="H1514" t="s">
        <v>2164</v>
      </c>
      <c r="I1514" t="s">
        <v>33</v>
      </c>
      <c r="J1514" t="s">
        <v>698</v>
      </c>
      <c r="K1514" t="s">
        <v>560</v>
      </c>
      <c r="L1514" t="s">
        <v>24</v>
      </c>
      <c r="N1514" t="s">
        <v>31</v>
      </c>
      <c r="Q1514" t="str">
        <f>LEFT(B1514, 2)</f>
        <v>HP</v>
      </c>
      <c r="R1514" t="str">
        <f t="shared" si="90"/>
        <v>Intel Core i7 (13th Gen)</v>
      </c>
      <c r="S1514" t="str">
        <f t="shared" si="89"/>
        <v xml:space="preserve">4 GB </v>
      </c>
    </row>
    <row r="1515" spans="1:19">
      <c r="A1515" t="str">
        <f>LEFT(B1515, LEN(B1515)-15)</f>
        <v>Lenovo ThinkBook 15 G4 (21DJA0D9IH) Laptop (Core i5 12th Gen/16 GB/1 TB SSD/Windows 11)</v>
      </c>
      <c r="B1515" t="s">
        <v>2165</v>
      </c>
      <c r="C1515" s="1">
        <v>63990</v>
      </c>
      <c r="D1515" s="1">
        <v>20</v>
      </c>
      <c r="E1515" s="2">
        <v>72</v>
      </c>
      <c r="F1515" s="2" t="str" cm="1">
        <f t="array" ref="F1515">_xlfn.IFS(AND(101&gt;E1515, E1515&gt;69), "Top-Tier", AND(70&gt;E1515, E1515&gt;39), "Mid-Tier", 40&gt;E1515, "Low-Tier")</f>
        <v>Top-Tier</v>
      </c>
      <c r="G1515" s="4">
        <v>45170</v>
      </c>
      <c r="H1515" t="s">
        <v>2166</v>
      </c>
      <c r="I1515" t="s">
        <v>33</v>
      </c>
      <c r="J1515" t="s">
        <v>184</v>
      </c>
      <c r="K1515" t="s">
        <v>217</v>
      </c>
      <c r="L1515" t="s">
        <v>24</v>
      </c>
      <c r="M1515" t="s">
        <v>122</v>
      </c>
      <c r="N1515" t="s">
        <v>31</v>
      </c>
      <c r="P1515" s="3">
        <v>80</v>
      </c>
      <c r="Q1515" t="str">
        <f>LEFT(B1515, 6)</f>
        <v>Lenovo</v>
      </c>
      <c r="R1515" t="str">
        <f t="shared" si="90"/>
        <v>Intel Core i7 (14th Gen)</v>
      </c>
      <c r="S1515" t="str">
        <f t="shared" si="89"/>
        <v>16 GB</v>
      </c>
    </row>
    <row r="1516" spans="1:19">
      <c r="A1516" t="str">
        <f>LEFT(B1516, LEN(B1516)-15)</f>
        <v>Acer Chromebook CB314-3H (NX.K04SI.008) Laptop (Intel Celeron Dual Core/8 GB/64 GB eMMC/Google Chrome)</v>
      </c>
      <c r="B1516" t="s">
        <v>2167</v>
      </c>
      <c r="C1516" s="1">
        <v>16990</v>
      </c>
      <c r="D1516" s="1">
        <v>84</v>
      </c>
      <c r="E1516" s="2">
        <v>72</v>
      </c>
      <c r="F1516" s="2" t="str" cm="1">
        <f t="array" ref="F1516">_xlfn.IFS(AND(101&gt;E1516, E1516&gt;69), "Top-Tier", AND(70&gt;E1516, E1516&gt;39), "Mid-Tier", 40&gt;E1516, "Low-Tier")</f>
        <v>Top-Tier</v>
      </c>
      <c r="G1516" s="4">
        <v>45170</v>
      </c>
      <c r="H1516" t="s">
        <v>2166</v>
      </c>
      <c r="I1516" t="s">
        <v>735</v>
      </c>
      <c r="J1516" t="s">
        <v>736</v>
      </c>
      <c r="K1516" t="s">
        <v>149</v>
      </c>
      <c r="L1516" t="s">
        <v>24</v>
      </c>
      <c r="M1516" t="s">
        <v>253</v>
      </c>
      <c r="Q1516" t="str">
        <f>LEFT(B1516, 4)</f>
        <v>Acer</v>
      </c>
      <c r="R1516" t="str">
        <f t="shared" si="90"/>
        <v>Intel Core i7 (14th Gen)</v>
      </c>
      <c r="S1516" t="str">
        <f t="shared" si="89"/>
        <v xml:space="preserve">8 GB </v>
      </c>
    </row>
    <row r="1517" spans="1:19">
      <c r="A1517" t="str">
        <f>LEFT(B1517, LEN(B1517)-15)</f>
        <v>HP Victus 15-fb0147AX (8F503PA) Laptop (AMD Hexa Core Ryzen 5/8 GB/512 GB SSD/Windows 11/4 GB)</v>
      </c>
      <c r="B1517" t="s">
        <v>2168</v>
      </c>
      <c r="C1517" s="1">
        <v>48853</v>
      </c>
      <c r="D1517" s="1">
        <v>8</v>
      </c>
      <c r="E1517" s="2">
        <v>72</v>
      </c>
      <c r="F1517" s="2" t="str" cm="1">
        <f t="array" ref="F1517">_xlfn.IFS(AND(101&gt;E1517, E1517&gt;69), "Top-Tier", AND(70&gt;E1517, E1517&gt;39), "Mid-Tier", 40&gt;E1517, "Low-Tier")</f>
        <v>Top-Tier</v>
      </c>
      <c r="G1517" s="4">
        <v>45139</v>
      </c>
      <c r="H1517" t="s">
        <v>2166</v>
      </c>
      <c r="I1517" t="s">
        <v>33</v>
      </c>
      <c r="J1517" t="s">
        <v>50</v>
      </c>
      <c r="K1517" t="s">
        <v>51</v>
      </c>
      <c r="L1517" t="s">
        <v>24</v>
      </c>
      <c r="N1517" t="s">
        <v>31</v>
      </c>
      <c r="P1517" s="3">
        <v>82</v>
      </c>
      <c r="Q1517" t="str">
        <f>LEFT(B1517, 2)</f>
        <v>HP</v>
      </c>
      <c r="R1517" t="str">
        <f t="shared" si="90"/>
        <v>Intel Core i7 (14th Gen)</v>
      </c>
      <c r="S1517" t="str">
        <f t="shared" si="89"/>
        <v xml:space="preserve">8 GB </v>
      </c>
    </row>
    <row r="1518" spans="1:19">
      <c r="A1518" t="str">
        <f>LEFT(B1518, LEN(B1518)-15)</f>
        <v>Lenovo S14 Gen 3 (82TW001CIH) Laptop (Core i5 12th Gen/8 GB/512 GB SSD/Windows 11)</v>
      </c>
      <c r="B1518" t="s">
        <v>2169</v>
      </c>
      <c r="C1518" s="1">
        <v>62890</v>
      </c>
      <c r="D1518" s="1">
        <v>43</v>
      </c>
      <c r="E1518" s="2">
        <v>72</v>
      </c>
      <c r="F1518" s="2" t="str" cm="1">
        <f t="array" ref="F1518">_xlfn.IFS(AND(101&gt;E1518, E1518&gt;69), "Top-Tier", AND(70&gt;E1518, E1518&gt;39), "Mid-Tier", 40&gt;E1518, "Low-Tier")</f>
        <v>Top-Tier</v>
      </c>
      <c r="G1518" s="4">
        <v>45108</v>
      </c>
      <c r="H1518" t="s">
        <v>2170</v>
      </c>
      <c r="I1518" t="s">
        <v>33</v>
      </c>
      <c r="J1518" t="s">
        <v>50</v>
      </c>
      <c r="K1518" t="s">
        <v>149</v>
      </c>
      <c r="L1518" t="s">
        <v>24</v>
      </c>
      <c r="N1518" t="s">
        <v>31</v>
      </c>
      <c r="O1518" t="s">
        <v>261</v>
      </c>
      <c r="P1518" s="3">
        <v>73</v>
      </c>
      <c r="Q1518" t="str">
        <f>LEFT(B1518, 6)</f>
        <v>Lenovo</v>
      </c>
      <c r="R1518" t="str">
        <f t="shared" ref="R1518:R1527" si="91">LEFT(H1518, 23)</f>
        <v>Intel Core i7 (7th Gen)</v>
      </c>
      <c r="S1518" t="str">
        <f t="shared" si="89"/>
        <v xml:space="preserve">8 GB </v>
      </c>
    </row>
    <row r="1519" spans="1:19">
      <c r="A1519" t="str">
        <f>LEFT(B1519, LEN(B1519)-15)</f>
        <v>Asus VivoBook 15 X1504VA-NJ524WS Laptop (Core i5 13th Gen/8 GB/512 GB SSD/Windows 11)</v>
      </c>
      <c r="B1519" t="s">
        <v>2171</v>
      </c>
      <c r="C1519" s="1">
        <v>50990</v>
      </c>
      <c r="D1519" s="1">
        <v>14</v>
      </c>
      <c r="E1519" s="2">
        <v>72</v>
      </c>
      <c r="F1519" s="2" t="str" cm="1">
        <f t="array" ref="F1519">_xlfn.IFS(AND(101&gt;E1519, E1519&gt;69), "Top-Tier", AND(70&gt;E1519, E1519&gt;39), "Mid-Tier", 40&gt;E1519, "Low-Tier")</f>
        <v>Top-Tier</v>
      </c>
      <c r="G1519" s="4">
        <v>45047</v>
      </c>
      <c r="H1519" t="s">
        <v>2170</v>
      </c>
      <c r="I1519" t="s">
        <v>33</v>
      </c>
      <c r="J1519" t="s">
        <v>50</v>
      </c>
      <c r="K1519" t="s">
        <v>159</v>
      </c>
      <c r="L1519" t="s">
        <v>24</v>
      </c>
      <c r="M1519" t="s">
        <v>95</v>
      </c>
      <c r="N1519" t="s">
        <v>31</v>
      </c>
      <c r="P1519" s="3">
        <v>75</v>
      </c>
      <c r="Q1519" t="str">
        <f>LEFT(B1519, 4)</f>
        <v>Asus</v>
      </c>
      <c r="R1519" t="str">
        <f t="shared" si="91"/>
        <v>Intel Core i7 (7th Gen)</v>
      </c>
      <c r="S1519" t="str">
        <f t="shared" ref="S1519:S1582" si="92">LEFT(J1519, 5)</f>
        <v xml:space="preserve">8 GB </v>
      </c>
    </row>
    <row r="1520" spans="1:19">
      <c r="A1520" t="str">
        <f>LEFT(B1520, LEN(B1520)-15)</f>
        <v>Asus VivoBook 15 X1504VA-NJ523WS Laptop (Core i5 13th Gen/8 GB/512 GB SSD/Windows 11)</v>
      </c>
      <c r="B1520" t="s">
        <v>2172</v>
      </c>
      <c r="C1520" s="1">
        <v>50990</v>
      </c>
      <c r="D1520" s="1">
        <v>14</v>
      </c>
      <c r="E1520" s="2">
        <v>72</v>
      </c>
      <c r="F1520" s="2" t="str" cm="1">
        <f t="array" ref="F1520">_xlfn.IFS(AND(101&gt;E1520, E1520&gt;69), "Top-Tier", AND(70&gt;E1520, E1520&gt;39), "Mid-Tier", 40&gt;E1520, "Low-Tier")</f>
        <v>Top-Tier</v>
      </c>
      <c r="G1520" s="4">
        <v>45017</v>
      </c>
      <c r="H1520" t="s">
        <v>2173</v>
      </c>
      <c r="I1520" t="s">
        <v>33</v>
      </c>
      <c r="J1520" t="s">
        <v>50</v>
      </c>
      <c r="K1520" t="s">
        <v>51</v>
      </c>
      <c r="L1520" t="s">
        <v>24</v>
      </c>
      <c r="M1520" t="s">
        <v>95</v>
      </c>
      <c r="N1520" t="s">
        <v>31</v>
      </c>
      <c r="P1520" s="3">
        <v>75</v>
      </c>
      <c r="Q1520" t="str">
        <f>LEFT(B1520, 4)</f>
        <v>Asus</v>
      </c>
      <c r="R1520" t="str">
        <f t="shared" si="91"/>
        <v>Intel Core i7 (8th Gen)</v>
      </c>
      <c r="S1520" t="str">
        <f t="shared" si="92"/>
        <v xml:space="preserve">8 GB </v>
      </c>
    </row>
    <row r="1521" spans="1:19">
      <c r="A1521" t="str">
        <f>LEFT(B1521, LEN(B1521)-15)</f>
        <v>Microsoft Surface Pro 9 (QCB-00014) Laptop (Core i5 12th Gen/8 GB/128 GB SSD/Windows 11)</v>
      </c>
      <c r="B1521" t="s">
        <v>2174</v>
      </c>
      <c r="C1521" s="1">
        <v>80999</v>
      </c>
      <c r="D1521" s="1">
        <v>5</v>
      </c>
      <c r="E1521" s="2">
        <v>72</v>
      </c>
      <c r="F1521" s="2" t="str" cm="1">
        <f t="array" ref="F1521">_xlfn.IFS(AND(101&gt;E1521, E1521&gt;69), "Top-Tier", AND(70&gt;E1521, E1521&gt;39), "Mid-Tier", 40&gt;E1521, "Low-Tier")</f>
        <v>Top-Tier</v>
      </c>
      <c r="G1521" s="4">
        <v>44866</v>
      </c>
      <c r="H1521" t="s">
        <v>2173</v>
      </c>
      <c r="I1521" t="s">
        <v>33</v>
      </c>
      <c r="J1521" t="s">
        <v>2175</v>
      </c>
      <c r="K1521" t="s">
        <v>243</v>
      </c>
      <c r="L1521" t="s">
        <v>24</v>
      </c>
      <c r="M1521" t="s">
        <v>241</v>
      </c>
      <c r="P1521" s="3">
        <v>75</v>
      </c>
      <c r="Q1521" t="str">
        <f>LEFT(B1521, 9)</f>
        <v>Microsoft</v>
      </c>
      <c r="R1521" t="str">
        <f t="shared" si="91"/>
        <v>Intel Core i7 (8th Gen)</v>
      </c>
      <c r="S1521" t="str">
        <f t="shared" si="92"/>
        <v xml:space="preserve">8 GB </v>
      </c>
    </row>
    <row r="1522" spans="1:19">
      <c r="A1522" t="str">
        <f>LEFT(B1522, LEN(B1522)-15)</f>
        <v>Microsoft Surface Pro 9 Intel Evo (QEZ-00048) Laptop (Core i5 12th Gen/8 GB/256 GB SSD/Windows 11)</v>
      </c>
      <c r="B1522" t="s">
        <v>2176</v>
      </c>
      <c r="C1522" s="1">
        <v>87999</v>
      </c>
      <c r="D1522" s="1">
        <v>10</v>
      </c>
      <c r="E1522" s="2">
        <v>72</v>
      </c>
      <c r="F1522" s="2" t="str" cm="1">
        <f t="array" ref="F1522">_xlfn.IFS(AND(101&gt;E1522, E1522&gt;69), "Top-Tier", AND(70&gt;E1522, E1522&gt;39), "Mid-Tier", 40&gt;E1522, "Low-Tier")</f>
        <v>Top-Tier</v>
      </c>
      <c r="G1522" s="4">
        <v>44866</v>
      </c>
      <c r="H1522" t="s">
        <v>2173</v>
      </c>
      <c r="I1522" t="s">
        <v>33</v>
      </c>
      <c r="J1522" t="s">
        <v>239</v>
      </c>
      <c r="K1522" t="s">
        <v>240</v>
      </c>
      <c r="L1522" t="s">
        <v>24</v>
      </c>
      <c r="M1522" t="s">
        <v>241</v>
      </c>
      <c r="P1522" s="3">
        <v>75</v>
      </c>
      <c r="Q1522" t="str">
        <f>LEFT(B1522, 9)</f>
        <v>Microsoft</v>
      </c>
      <c r="R1522" t="str">
        <f t="shared" si="91"/>
        <v>Intel Core i7 (8th Gen)</v>
      </c>
      <c r="S1522" t="str">
        <f t="shared" si="92"/>
        <v xml:space="preserve">8 GB </v>
      </c>
    </row>
    <row r="1523" spans="1:19">
      <c r="A1523" t="str">
        <f>LEFT(B1523, LEN(B1523)-15)</f>
        <v>Lenovo Ideapad Gaming 3 15ACH6 (82K200XNIN) Laptop (AMD Hexa Core Ryzen 5/8 GB/512 GB SSD/Windows 10/4 GB)</v>
      </c>
      <c r="B1523" t="s">
        <v>2177</v>
      </c>
      <c r="C1523" s="1">
        <v>69990</v>
      </c>
      <c r="D1523" s="1">
        <v>23</v>
      </c>
      <c r="E1523" s="2">
        <v>72</v>
      </c>
      <c r="F1523" s="2" t="str" cm="1">
        <f t="array" ref="F1523">_xlfn.IFS(AND(101&gt;E1523, E1523&gt;69), "Top-Tier", AND(70&gt;E1523, E1523&gt;39), "Mid-Tier", 40&gt;E1523, "Low-Tier")</f>
        <v>Top-Tier</v>
      </c>
      <c r="G1523" s="4">
        <v>44866</v>
      </c>
      <c r="H1523" t="s">
        <v>2178</v>
      </c>
      <c r="I1523" t="s">
        <v>248</v>
      </c>
      <c r="J1523" t="s">
        <v>50</v>
      </c>
      <c r="K1523" t="s">
        <v>51</v>
      </c>
      <c r="L1523" t="s">
        <v>24</v>
      </c>
      <c r="N1523" t="s">
        <v>31</v>
      </c>
      <c r="O1523" t="s">
        <v>291</v>
      </c>
      <c r="P1523" s="3">
        <v>77</v>
      </c>
      <c r="Q1523" t="str">
        <f>LEFT(B1523, 6)</f>
        <v>Lenovo</v>
      </c>
      <c r="R1523" t="str">
        <f t="shared" si="91"/>
        <v>Intel Core i7 (8th Gen)</v>
      </c>
      <c r="S1523" t="str">
        <f t="shared" si="92"/>
        <v xml:space="preserve">8 GB </v>
      </c>
    </row>
    <row r="1524" spans="1:19">
      <c r="A1524" t="str">
        <f>LEFT(B1524, LEN(B1524)-15)</f>
        <v>Asus ZenBook 13 UX325EA-KG722TS Laptop (Core i7 11th Gen/16 GB/512 GB SSD/Windows 10)</v>
      </c>
      <c r="B1524" t="s">
        <v>2179</v>
      </c>
      <c r="C1524" s="1">
        <v>72990</v>
      </c>
      <c r="D1524" s="1">
        <v>40</v>
      </c>
      <c r="E1524" s="2">
        <v>72</v>
      </c>
      <c r="F1524" s="2" t="str" cm="1">
        <f t="array" ref="F1524">_xlfn.IFS(AND(101&gt;E1524, E1524&gt;69), "Top-Tier", AND(70&gt;E1524, E1524&gt;39), "Mid-Tier", 40&gt;E1524, "Low-Tier")</f>
        <v>Top-Tier</v>
      </c>
      <c r="G1524" s="4">
        <v>44866</v>
      </c>
      <c r="H1524" t="s">
        <v>2178</v>
      </c>
      <c r="I1524" t="s">
        <v>248</v>
      </c>
      <c r="J1524" t="s">
        <v>214</v>
      </c>
      <c r="K1524" t="s">
        <v>290</v>
      </c>
      <c r="L1524" t="s">
        <v>24</v>
      </c>
      <c r="M1524" t="s">
        <v>60</v>
      </c>
      <c r="N1524" t="s">
        <v>31</v>
      </c>
      <c r="O1524" t="s">
        <v>261</v>
      </c>
      <c r="P1524" s="3">
        <v>74</v>
      </c>
      <c r="Q1524" t="str">
        <f>LEFT(B1524, 4)</f>
        <v>Asus</v>
      </c>
      <c r="R1524" t="str">
        <f t="shared" si="91"/>
        <v>Intel Core i7 (8th Gen)</v>
      </c>
      <c r="S1524" t="str">
        <f t="shared" si="92"/>
        <v>16 GB</v>
      </c>
    </row>
    <row r="1525" spans="1:19">
      <c r="A1525" t="str">
        <f>LEFT(B1525, LEN(B1525)-15)</f>
        <v>Lenovo Thinkpad E14 (21E3S05800) Laptop (Core i7 12th Gen/16 GB/1 TB SSD/Windows 11)</v>
      </c>
      <c r="B1525" t="s">
        <v>2180</v>
      </c>
      <c r="C1525" s="1">
        <v>91000</v>
      </c>
      <c r="D1525" s="1">
        <v>27</v>
      </c>
      <c r="E1525" s="2">
        <v>72</v>
      </c>
      <c r="F1525" s="2" t="str" cm="1">
        <f t="array" ref="F1525">_xlfn.IFS(AND(101&gt;E1525, E1525&gt;69), "Top-Tier", AND(70&gt;E1525, E1525&gt;39), "Mid-Tier", 40&gt;E1525, "Low-Tier")</f>
        <v>Top-Tier</v>
      </c>
      <c r="G1525" s="4">
        <v>44805</v>
      </c>
      <c r="H1525" t="s">
        <v>2181</v>
      </c>
      <c r="I1525" t="s">
        <v>33</v>
      </c>
      <c r="J1525" t="s">
        <v>184</v>
      </c>
      <c r="K1525" t="s">
        <v>149</v>
      </c>
      <c r="L1525" t="s">
        <v>24</v>
      </c>
      <c r="M1525" t="s">
        <v>135</v>
      </c>
      <c r="N1525" t="s">
        <v>31</v>
      </c>
      <c r="Q1525" t="str">
        <f>LEFT(B1525, 6)</f>
        <v>Lenovo</v>
      </c>
      <c r="R1525" t="str">
        <f t="shared" si="91"/>
        <v>Intel Core i7 (9th Gen)</v>
      </c>
      <c r="S1525" t="str">
        <f t="shared" si="92"/>
        <v>16 GB</v>
      </c>
    </row>
    <row r="1526" spans="1:19">
      <c r="A1526" t="str">
        <f>LEFT(B1526, LEN(B1526)-15)</f>
        <v>Asus VivoBook 15 X1502ZA-EZ511WS Laptop (Core i5 12th Gen/16 GB/512 GB SSD/Windows 11)</v>
      </c>
      <c r="B1526" t="s">
        <v>2182</v>
      </c>
      <c r="C1526" s="1">
        <v>68499</v>
      </c>
      <c r="D1526" s="1">
        <v>10</v>
      </c>
      <c r="E1526" s="2">
        <v>72</v>
      </c>
      <c r="F1526" s="2" t="str" cm="1">
        <f t="array" ref="F1526">_xlfn.IFS(AND(101&gt;E1526, E1526&gt;69), "Top-Tier", AND(70&gt;E1526, E1526&gt;39), "Mid-Tier", 40&gt;E1526, "Low-Tier")</f>
        <v>Top-Tier</v>
      </c>
      <c r="G1526" s="4">
        <v>44774</v>
      </c>
      <c r="H1526" t="s">
        <v>2181</v>
      </c>
      <c r="I1526" t="s">
        <v>33</v>
      </c>
      <c r="J1526" t="s">
        <v>34</v>
      </c>
      <c r="K1526" t="s">
        <v>159</v>
      </c>
      <c r="L1526" t="s">
        <v>24</v>
      </c>
      <c r="M1526" t="s">
        <v>52</v>
      </c>
      <c r="N1526" t="s">
        <v>31</v>
      </c>
      <c r="P1526" s="3">
        <v>77</v>
      </c>
      <c r="Q1526" t="str">
        <f>LEFT(B1526, 4)</f>
        <v>Asus</v>
      </c>
      <c r="R1526" t="str">
        <f t="shared" si="91"/>
        <v>Intel Core i7 (9th Gen)</v>
      </c>
      <c r="S1526" t="str">
        <f t="shared" si="92"/>
        <v>16 GB</v>
      </c>
    </row>
    <row r="1527" spans="1:19">
      <c r="A1527" t="str">
        <f>LEFT(B1527, LEN(B1527)-15)</f>
        <v>Asus VivoBook 15 X515JA-BQ302W Laptop (Core i3 10th Gen/8 GB/1 TB/Windows 11)</v>
      </c>
      <c r="B1527" t="s">
        <v>2183</v>
      </c>
      <c r="C1527" s="1">
        <v>43990</v>
      </c>
      <c r="D1527" s="1">
        <v>1730</v>
      </c>
      <c r="E1527" s="2">
        <v>72</v>
      </c>
      <c r="F1527" s="2" t="str" cm="1">
        <f t="array" ref="F1527">_xlfn.IFS(AND(101&gt;E1527, E1527&gt;69), "Top-Tier", AND(70&gt;E1527, E1527&gt;39), "Mid-Tier", 40&gt;E1527, "Low-Tier")</f>
        <v>Top-Tier</v>
      </c>
      <c r="G1527" s="4">
        <v>44713</v>
      </c>
      <c r="H1527" t="s">
        <v>2184</v>
      </c>
      <c r="I1527" t="s">
        <v>33</v>
      </c>
      <c r="J1527" t="s">
        <v>332</v>
      </c>
      <c r="K1527" t="s">
        <v>51</v>
      </c>
      <c r="L1527" t="s">
        <v>24</v>
      </c>
      <c r="M1527" t="s">
        <v>52</v>
      </c>
      <c r="N1527" t="s">
        <v>31</v>
      </c>
      <c r="Q1527" t="str">
        <f>LEFT(B1527, 4)</f>
        <v>Asus</v>
      </c>
      <c r="R1527" t="str">
        <f t="shared" si="91"/>
        <v>Intel Core i7 (9th Gen)</v>
      </c>
      <c r="S1527" t="str">
        <f t="shared" si="92"/>
        <v xml:space="preserve">8 GB </v>
      </c>
    </row>
    <row r="1528" spans="1:19">
      <c r="A1528" t="str">
        <f>LEFT(B1528, LEN(B1528)-15)</f>
        <v>Asus Vivobook 16X K3605ZF-RP258WS Laptop (Core i5 12th Gen/16 GB/512 GB SSD/Windows 11/4 GB)</v>
      </c>
      <c r="B1528" t="s">
        <v>2185</v>
      </c>
      <c r="C1528" s="1">
        <v>60490</v>
      </c>
      <c r="D1528" s="1">
        <v>229</v>
      </c>
      <c r="E1528" s="2">
        <v>70</v>
      </c>
      <c r="F1528" s="2" t="str" cm="1">
        <f t="array" ref="F1528">_xlfn.IFS(AND(101&gt;E1528, E1528&gt;69), "Top-Tier", AND(70&gt;E1528, E1528&gt;39), "Mid-Tier", 40&gt;E1528, "Low-Tier")</f>
        <v>Top-Tier</v>
      </c>
      <c r="G1528" s="4">
        <v>45536</v>
      </c>
      <c r="H1528" t="s">
        <v>2186</v>
      </c>
      <c r="I1528" t="s">
        <v>33</v>
      </c>
      <c r="J1528" t="s">
        <v>34</v>
      </c>
      <c r="K1528" t="s">
        <v>155</v>
      </c>
      <c r="L1528" t="s">
        <v>24</v>
      </c>
      <c r="M1528" t="s">
        <v>122</v>
      </c>
      <c r="N1528" t="s">
        <v>31</v>
      </c>
      <c r="P1528" s="3">
        <v>85</v>
      </c>
      <c r="Q1528" t="str">
        <f>LEFT(B1528, 4)</f>
        <v>Asus</v>
      </c>
      <c r="R1528" t="str">
        <f>LEFT(H1528, 24)</f>
        <v>Intel Core i9 (11th Gen)</v>
      </c>
      <c r="S1528" t="str">
        <f t="shared" si="92"/>
        <v>16 GB</v>
      </c>
    </row>
    <row r="1529" spans="1:19">
      <c r="A1529" t="str">
        <f>LEFT(B1529, LEN(B1529)-15)</f>
        <v>Asus Vivobook 16X K3605ZC-RP587WS Laptop (Core i5 12th Gen/16 GB/512 GB SSD/Windows 11/4 GB)</v>
      </c>
      <c r="B1529" t="s">
        <v>2187</v>
      </c>
      <c r="C1529" s="1">
        <v>68999</v>
      </c>
      <c r="D1529" s="1">
        <v>229</v>
      </c>
      <c r="E1529" s="2">
        <v>70</v>
      </c>
      <c r="F1529" s="2" t="str" cm="1">
        <f t="array" ref="F1529">_xlfn.IFS(AND(101&gt;E1529, E1529&gt;69), "Top-Tier", AND(70&gt;E1529, E1529&gt;39), "Mid-Tier", 40&gt;E1529, "Low-Tier")</f>
        <v>Top-Tier</v>
      </c>
      <c r="G1529" s="4">
        <v>45536</v>
      </c>
      <c r="H1529" t="s">
        <v>2188</v>
      </c>
      <c r="I1529" t="s">
        <v>33</v>
      </c>
      <c r="J1529" t="s">
        <v>34</v>
      </c>
      <c r="K1529" t="s">
        <v>155</v>
      </c>
      <c r="L1529" t="s">
        <v>24</v>
      </c>
      <c r="M1529" t="s">
        <v>122</v>
      </c>
      <c r="N1529" t="s">
        <v>31</v>
      </c>
      <c r="P1529" s="3">
        <v>86</v>
      </c>
      <c r="Q1529" t="str">
        <f>LEFT(B1529, 4)</f>
        <v>Asus</v>
      </c>
      <c r="R1529" t="str">
        <f t="shared" ref="R1529:R1575" si="93">LEFT(H1529, 24)</f>
        <v>Intel Core i9 (11th Gen)</v>
      </c>
      <c r="S1529" t="str">
        <f t="shared" si="92"/>
        <v>16 GB</v>
      </c>
    </row>
    <row r="1530" spans="1:19">
      <c r="A1530" t="str">
        <f>LEFT(B1530, LEN(B1530)-15)</f>
        <v>Asus Vivobook 16X K3605ZU-RP304WS Laptop (Core i5 12th Gen/16 GB/512 GB SSD/Windows 11/6 GB)</v>
      </c>
      <c r="B1530" t="s">
        <v>2189</v>
      </c>
      <c r="C1530" s="1">
        <v>84990</v>
      </c>
      <c r="D1530" s="1">
        <v>226</v>
      </c>
      <c r="E1530" s="2">
        <v>70</v>
      </c>
      <c r="F1530" s="2" t="str" cm="1">
        <f t="array" ref="F1530">_xlfn.IFS(AND(101&gt;E1530, E1530&gt;69), "Top-Tier", AND(70&gt;E1530, E1530&gt;39), "Mid-Tier", 40&gt;E1530, "Low-Tier")</f>
        <v>Top-Tier</v>
      </c>
      <c r="G1530" s="4">
        <v>45505</v>
      </c>
      <c r="H1530" t="s">
        <v>2190</v>
      </c>
      <c r="I1530" t="s">
        <v>33</v>
      </c>
      <c r="J1530" t="s">
        <v>34</v>
      </c>
      <c r="K1530" t="s">
        <v>155</v>
      </c>
      <c r="L1530" t="s">
        <v>24</v>
      </c>
      <c r="M1530" t="s">
        <v>122</v>
      </c>
      <c r="N1530" t="s">
        <v>31</v>
      </c>
      <c r="P1530" s="3">
        <v>86</v>
      </c>
      <c r="Q1530" t="str">
        <f>LEFT(B1530, 4)</f>
        <v>Asus</v>
      </c>
      <c r="R1530" t="str">
        <f t="shared" si="93"/>
        <v>Intel Core i9 (12th Gen)</v>
      </c>
      <c r="S1530" t="str">
        <f t="shared" si="92"/>
        <v>16 GB</v>
      </c>
    </row>
    <row r="1531" spans="1:19">
      <c r="A1531" t="str">
        <f>LEFT(B1531, LEN(B1531)-15)</f>
        <v>Asus Vivobook 16X K3605VC-RP412WS Laptop (Core i5 13th Gen/16 GB/512 GB SSD/Windows 11/4 GB)</v>
      </c>
      <c r="B1531" t="s">
        <v>2191</v>
      </c>
      <c r="C1531" s="1">
        <v>72990</v>
      </c>
      <c r="D1531" s="1">
        <v>226</v>
      </c>
      <c r="E1531" s="2">
        <v>70</v>
      </c>
      <c r="F1531" s="2" t="str" cm="1">
        <f t="array" ref="F1531">_xlfn.IFS(AND(101&gt;E1531, E1531&gt;69), "Top-Tier", AND(70&gt;E1531, E1531&gt;39), "Mid-Tier", 40&gt;E1531, "Low-Tier")</f>
        <v>Top-Tier</v>
      </c>
      <c r="G1531" s="4">
        <v>45505</v>
      </c>
      <c r="H1531" t="s">
        <v>2190</v>
      </c>
      <c r="I1531" t="s">
        <v>33</v>
      </c>
      <c r="J1531" t="s">
        <v>34</v>
      </c>
      <c r="K1531" t="s">
        <v>155</v>
      </c>
      <c r="L1531" t="s">
        <v>24</v>
      </c>
      <c r="M1531" t="s">
        <v>122</v>
      </c>
      <c r="N1531" t="s">
        <v>31</v>
      </c>
      <c r="P1531" s="3">
        <v>86</v>
      </c>
      <c r="Q1531" t="str">
        <f>LEFT(B1531, 4)</f>
        <v>Asus</v>
      </c>
      <c r="R1531" t="str">
        <f t="shared" si="93"/>
        <v>Intel Core i9 (12th Gen)</v>
      </c>
      <c r="S1531" t="str">
        <f t="shared" si="92"/>
        <v>16 GB</v>
      </c>
    </row>
    <row r="1532" spans="1:19">
      <c r="A1532" t="str">
        <f>LEFT(B1532, LEN(B1532)-15)</f>
        <v>HP Victus 15-fb3009AX (B86SWPA) Laptop (AMD Hexa Core Ryzen 5/16 GB/512 GB SSD/Windows 11/6 GB)</v>
      </c>
      <c r="B1532" t="s">
        <v>2192</v>
      </c>
      <c r="C1532" s="1">
        <v>67990</v>
      </c>
      <c r="D1532" s="1">
        <v>8</v>
      </c>
      <c r="E1532" s="2">
        <v>70</v>
      </c>
      <c r="F1532" s="2" t="str" cm="1">
        <f t="array" ref="F1532">_xlfn.IFS(AND(101&gt;E1532, E1532&gt;69), "Top-Tier", AND(70&gt;E1532, E1532&gt;39), "Mid-Tier", 40&gt;E1532, "Low-Tier")</f>
        <v>Top-Tier</v>
      </c>
      <c r="G1532" s="4">
        <v>45658</v>
      </c>
      <c r="H1532" t="s">
        <v>2190</v>
      </c>
      <c r="I1532" t="s">
        <v>33</v>
      </c>
      <c r="J1532" t="s">
        <v>54</v>
      </c>
      <c r="K1532" t="s">
        <v>51</v>
      </c>
      <c r="L1532" t="s">
        <v>24</v>
      </c>
      <c r="N1532" t="s">
        <v>31</v>
      </c>
      <c r="Q1532" t="str">
        <f>LEFT(B1532, 2)</f>
        <v>HP</v>
      </c>
      <c r="R1532" t="str">
        <f t="shared" si="93"/>
        <v>Intel Core i9 (12th Gen)</v>
      </c>
      <c r="S1532" t="str">
        <f t="shared" si="92"/>
        <v>16 GB</v>
      </c>
    </row>
    <row r="1533" spans="1:19">
      <c r="A1533" t="str">
        <f>LEFT(B1533, LEN(B1533)-15)</f>
        <v>HP Victus 15-fb3025AX (B83U0PA) Laptop (AMD Octa Core Ryzen 9/16 GB/1 TB SSD/Windows 11/8 GB)</v>
      </c>
      <c r="B1533" t="s">
        <v>2193</v>
      </c>
      <c r="C1533" s="1">
        <v>101990</v>
      </c>
      <c r="D1533" s="1">
        <v>12</v>
      </c>
      <c r="E1533" s="2">
        <v>70</v>
      </c>
      <c r="F1533" s="2" t="str" cm="1">
        <f t="array" ref="F1533">_xlfn.IFS(AND(101&gt;E1533, E1533&gt;69), "Top-Tier", AND(70&gt;E1533, E1533&gt;39), "Mid-Tier", 40&gt;E1533, "Low-Tier")</f>
        <v>Top-Tier</v>
      </c>
      <c r="G1533" s="4">
        <v>45658</v>
      </c>
      <c r="H1533" t="s">
        <v>2190</v>
      </c>
      <c r="I1533" t="s">
        <v>33</v>
      </c>
      <c r="J1533" t="s">
        <v>72</v>
      </c>
      <c r="K1533" t="s">
        <v>51</v>
      </c>
      <c r="L1533" t="s">
        <v>24</v>
      </c>
      <c r="N1533" t="s">
        <v>31</v>
      </c>
      <c r="Q1533" t="str">
        <f>LEFT(B1533, 2)</f>
        <v>HP</v>
      </c>
      <c r="R1533" t="str">
        <f t="shared" si="93"/>
        <v>Intel Core i9 (12th Gen)</v>
      </c>
      <c r="S1533" t="str">
        <f t="shared" si="92"/>
        <v>16 GB</v>
      </c>
    </row>
    <row r="1534" spans="1:19">
      <c r="A1534" t="str">
        <f>LEFT(B1534, LEN(B1534)-15)</f>
        <v>MSI Thin 15 B12UCX-2471IN Laptop (Core i5 12th Gen/16 GB/512 GB SSD/Windows 11/4 GB)</v>
      </c>
      <c r="B1534" t="s">
        <v>2194</v>
      </c>
      <c r="C1534" s="1">
        <v>49899</v>
      </c>
      <c r="D1534" s="1">
        <v>11</v>
      </c>
      <c r="E1534" s="2">
        <v>70</v>
      </c>
      <c r="F1534" s="2" t="str" cm="1">
        <f t="array" ref="F1534">_xlfn.IFS(AND(101&gt;E1534, E1534&gt;69), "Top-Tier", AND(70&gt;E1534, E1534&gt;39), "Mid-Tier", 40&gt;E1534, "Low-Tier")</f>
        <v>Top-Tier</v>
      </c>
      <c r="G1534" s="4">
        <v>45566</v>
      </c>
      <c r="H1534" t="s">
        <v>2190</v>
      </c>
      <c r="I1534" t="s">
        <v>33</v>
      </c>
      <c r="J1534" t="s">
        <v>34</v>
      </c>
      <c r="K1534" t="s">
        <v>51</v>
      </c>
      <c r="L1534" t="s">
        <v>24</v>
      </c>
      <c r="M1534" t="s">
        <v>113</v>
      </c>
      <c r="N1534" t="s">
        <v>31</v>
      </c>
      <c r="P1534" s="3">
        <v>85</v>
      </c>
      <c r="Q1534" t="str">
        <f>LEFT(B1534, 3)</f>
        <v>MSI</v>
      </c>
      <c r="R1534" t="str">
        <f t="shared" si="93"/>
        <v>Intel Core i9 (12th Gen)</v>
      </c>
      <c r="S1534" t="str">
        <f t="shared" si="92"/>
        <v>16 GB</v>
      </c>
    </row>
    <row r="1535" spans="1:19">
      <c r="A1535" t="str">
        <f>LEFT(B1535, LEN(B1535)-15)</f>
        <v>HP Pavilion 15-EH3101AU (840G5PA) Laptop (AMD Octa Core Ryzen 7/16 GB/512 GB SSD/Windows 11)</v>
      </c>
      <c r="B1535" t="s">
        <v>2195</v>
      </c>
      <c r="C1535" s="1">
        <v>53000</v>
      </c>
      <c r="D1535" s="1">
        <v>18</v>
      </c>
      <c r="E1535" s="2">
        <v>70</v>
      </c>
      <c r="F1535" s="2" t="str" cm="1">
        <f t="array" ref="F1535">_xlfn.IFS(AND(101&gt;E1535, E1535&gt;69), "Top-Tier", AND(70&gt;E1535, E1535&gt;39), "Mid-Tier", 40&gt;E1535, "Low-Tier")</f>
        <v>Top-Tier</v>
      </c>
      <c r="G1535" s="4">
        <v>45078</v>
      </c>
      <c r="H1535" t="s">
        <v>2190</v>
      </c>
      <c r="I1535" t="s">
        <v>33</v>
      </c>
      <c r="J1535" t="s">
        <v>34</v>
      </c>
      <c r="K1535" t="s">
        <v>159</v>
      </c>
      <c r="L1535" t="s">
        <v>24</v>
      </c>
      <c r="M1535" t="s">
        <v>95</v>
      </c>
      <c r="N1535" t="s">
        <v>31</v>
      </c>
      <c r="P1535" s="3">
        <v>76</v>
      </c>
      <c r="Q1535" t="str">
        <f>LEFT(B1535, 2)</f>
        <v>HP</v>
      </c>
      <c r="R1535" t="str">
        <f t="shared" si="93"/>
        <v>Intel Core i9 (12th Gen)</v>
      </c>
      <c r="S1535" t="str">
        <f t="shared" si="92"/>
        <v>16 GB</v>
      </c>
    </row>
    <row r="1536" spans="1:19">
      <c r="A1536" t="str">
        <f>LEFT(B1536, LEN(B1536)-15)</f>
        <v>Lenovo Ideapad Slim 3i (81WE007YIN) Laptop (Core i5 10th Gen/4 GB/1 TB/Windows 10)</v>
      </c>
      <c r="B1536" t="s">
        <v>2196</v>
      </c>
      <c r="C1536" s="1">
        <v>42990</v>
      </c>
      <c r="D1536" s="1">
        <v>411</v>
      </c>
      <c r="E1536" s="2">
        <v>70</v>
      </c>
      <c r="F1536" s="2" t="str" cm="1">
        <f t="array" ref="F1536">_xlfn.IFS(AND(101&gt;E1536, E1536&gt;69), "Top-Tier", AND(70&gt;E1536, E1536&gt;39), "Mid-Tier", 40&gt;E1536, "Low-Tier")</f>
        <v>Top-Tier</v>
      </c>
      <c r="G1536" s="4">
        <v>44044</v>
      </c>
      <c r="H1536" t="s">
        <v>2197</v>
      </c>
      <c r="I1536" t="s">
        <v>248</v>
      </c>
      <c r="J1536" t="s">
        <v>542</v>
      </c>
      <c r="K1536" t="s">
        <v>249</v>
      </c>
      <c r="L1536" t="s">
        <v>24</v>
      </c>
      <c r="M1536" t="s">
        <v>52</v>
      </c>
      <c r="N1536" t="s">
        <v>31</v>
      </c>
      <c r="Q1536" t="str">
        <f>LEFT(B1536, 6)</f>
        <v>Lenovo</v>
      </c>
      <c r="R1536" t="str">
        <f t="shared" si="93"/>
        <v>Intel Core i9 (12th Gen)</v>
      </c>
      <c r="S1536" t="str">
        <f t="shared" si="92"/>
        <v xml:space="preserve">4 GB </v>
      </c>
    </row>
    <row r="1537" spans="1:19">
      <c r="A1537" t="str">
        <f>LEFT(B1537, LEN(B1537)-15)</f>
        <v>Asus ROG Zephyrus G14 GA403UV-QS086WS Laptop (AMD Octa Core Ryzen 9/16 GB/1 TB SSD/Windows 11/8 GB)</v>
      </c>
      <c r="B1537" t="s">
        <v>2198</v>
      </c>
      <c r="C1537" s="1">
        <v>149990</v>
      </c>
      <c r="D1537" s="1">
        <v>6</v>
      </c>
      <c r="E1537" s="2">
        <v>70</v>
      </c>
      <c r="F1537" s="2" t="str" cm="1">
        <f t="array" ref="F1537">_xlfn.IFS(AND(101&gt;E1537, E1537&gt;69), "Top-Tier", AND(70&gt;E1537, E1537&gt;39), "Mid-Tier", 40&gt;E1537, "Low-Tier")</f>
        <v>Top-Tier</v>
      </c>
      <c r="G1537" s="4">
        <v>45505</v>
      </c>
      <c r="H1537" t="s">
        <v>2197</v>
      </c>
      <c r="I1537" t="s">
        <v>33</v>
      </c>
      <c r="J1537" t="s">
        <v>42</v>
      </c>
      <c r="K1537" t="s">
        <v>81</v>
      </c>
      <c r="L1537" t="s">
        <v>24</v>
      </c>
      <c r="M1537" t="s">
        <v>1571</v>
      </c>
      <c r="N1537" t="s">
        <v>31</v>
      </c>
      <c r="Q1537" t="str">
        <f>LEFT(B1537, 4)</f>
        <v>Asus</v>
      </c>
      <c r="R1537" t="str">
        <f t="shared" si="93"/>
        <v>Intel Core i9 (12th Gen)</v>
      </c>
      <c r="S1537" t="str">
        <f t="shared" si="92"/>
        <v>16 GB</v>
      </c>
    </row>
    <row r="1538" spans="1:19">
      <c r="A1538" t="str">
        <f>LEFT(B1538, LEN(B1538)-15)</f>
        <v>Lenovo Yoga 7 14IML9 (83DJ00AKIN) Laptop (Core Ultra 5/16 GB/512 GB SSD/Windows 11)</v>
      </c>
      <c r="B1538" t="s">
        <v>2199</v>
      </c>
      <c r="C1538" s="1">
        <v>85990</v>
      </c>
      <c r="D1538" s="1">
        <v>6</v>
      </c>
      <c r="E1538" s="2">
        <v>70</v>
      </c>
      <c r="F1538" s="2" t="str" cm="1">
        <f t="array" ref="F1538">_xlfn.IFS(AND(101&gt;E1538, E1538&gt;69), "Top-Tier", AND(70&gt;E1538, E1538&gt;39), "Mid-Tier", 40&gt;E1538, "Low-Tier")</f>
        <v>Top-Tier</v>
      </c>
      <c r="G1538" s="4">
        <v>45474</v>
      </c>
      <c r="H1538" t="s">
        <v>2200</v>
      </c>
      <c r="I1538" t="s">
        <v>33</v>
      </c>
      <c r="J1538" t="s">
        <v>63</v>
      </c>
      <c r="K1538" t="s">
        <v>59</v>
      </c>
      <c r="L1538" t="s">
        <v>24</v>
      </c>
      <c r="M1538" t="s">
        <v>1191</v>
      </c>
      <c r="N1538" t="s">
        <v>31</v>
      </c>
      <c r="P1538" s="3">
        <v>83</v>
      </c>
      <c r="Q1538" t="str">
        <f>LEFT(B1538, 6)</f>
        <v>Lenovo</v>
      </c>
      <c r="R1538" t="str">
        <f t="shared" si="93"/>
        <v>Intel Core i9 (12th Gen)</v>
      </c>
      <c r="S1538" t="str">
        <f t="shared" si="92"/>
        <v>16 GB</v>
      </c>
    </row>
    <row r="1539" spans="1:19">
      <c r="A1539" t="str">
        <f>LEFT(B1539, LEN(B1539)-15)</f>
        <v>MSI Modern 14 C12MO-1213IN Laptop (Core i3 12th Gen/8 GB/512 GB SSD/Windows 11)</v>
      </c>
      <c r="B1539" t="s">
        <v>2201</v>
      </c>
      <c r="C1539" s="1">
        <v>31990</v>
      </c>
      <c r="D1539" s="1">
        <v>13</v>
      </c>
      <c r="E1539" s="2">
        <v>70</v>
      </c>
      <c r="F1539" s="2" t="str" cm="1">
        <f t="array" ref="F1539">_xlfn.IFS(AND(101&gt;E1539, E1539&gt;69), "Top-Tier", AND(70&gt;E1539, E1539&gt;39), "Mid-Tier", 40&gt;E1539, "Low-Tier")</f>
        <v>Top-Tier</v>
      </c>
      <c r="G1539" s="4">
        <v>45474</v>
      </c>
      <c r="H1539" t="s">
        <v>2200</v>
      </c>
      <c r="I1539" t="s">
        <v>33</v>
      </c>
      <c r="J1539" t="s">
        <v>50</v>
      </c>
      <c r="K1539" t="s">
        <v>149</v>
      </c>
      <c r="L1539" t="s">
        <v>24</v>
      </c>
      <c r="M1539" t="s">
        <v>428</v>
      </c>
      <c r="N1539" t="s">
        <v>31</v>
      </c>
      <c r="P1539" s="3">
        <v>77</v>
      </c>
      <c r="Q1539" t="str">
        <f>LEFT(B1539, 3)</f>
        <v>MSI</v>
      </c>
      <c r="R1539" t="str">
        <f t="shared" si="93"/>
        <v>Intel Core i9 (12th Gen)</v>
      </c>
      <c r="S1539" t="str">
        <f t="shared" si="92"/>
        <v xml:space="preserve">8 GB </v>
      </c>
    </row>
    <row r="1540" spans="1:19">
      <c r="A1540" t="str">
        <f>LEFT(B1540, LEN(B1540)-15)</f>
        <v>HP Victus 15-fa1276TX (9W6U6PA) Laptop (Core i7 13th Gen/16 GB/512 GB SSD/Windows 11/8 GB)</v>
      </c>
      <c r="B1540" t="s">
        <v>2202</v>
      </c>
      <c r="C1540" s="1">
        <v>124319</v>
      </c>
      <c r="D1540" s="1">
        <v>19</v>
      </c>
      <c r="E1540" s="2">
        <v>70</v>
      </c>
      <c r="F1540" s="2" t="str" cm="1">
        <f t="array" ref="F1540">_xlfn.IFS(AND(101&gt;E1540, E1540&gt;69), "Top-Tier", AND(70&gt;E1540, E1540&gt;39), "Mid-Tier", 40&gt;E1540, "Low-Tier")</f>
        <v>Top-Tier</v>
      </c>
      <c r="G1540" s="4">
        <v>45444</v>
      </c>
      <c r="H1540" t="s">
        <v>2203</v>
      </c>
      <c r="I1540" t="s">
        <v>33</v>
      </c>
      <c r="J1540" t="s">
        <v>34</v>
      </c>
      <c r="K1540" t="s">
        <v>51</v>
      </c>
      <c r="L1540" t="s">
        <v>24</v>
      </c>
      <c r="N1540" t="s">
        <v>31</v>
      </c>
      <c r="Q1540" t="str">
        <f>LEFT(B1540, 2)</f>
        <v>HP</v>
      </c>
      <c r="R1540" t="str">
        <f t="shared" si="93"/>
        <v>Intel Core i9 (12th Gen)</v>
      </c>
      <c r="S1540" t="str">
        <f t="shared" si="92"/>
        <v>16 GB</v>
      </c>
    </row>
    <row r="1541" spans="1:19">
      <c r="A1541" t="str">
        <f>LEFT(B1541, LEN(B1541)-15)</f>
        <v>Acer Aspire Lite AL15-41 (UN.31ZSI.011) Laptop (AMD Octa Core Ryzen 7/16 GB/1 TB SSD/Windows 11)</v>
      </c>
      <c r="B1541" t="s">
        <v>2204</v>
      </c>
      <c r="C1541" s="1">
        <v>42990</v>
      </c>
      <c r="D1541" s="1">
        <v>12</v>
      </c>
      <c r="E1541" s="2">
        <v>70</v>
      </c>
      <c r="F1541" s="2" t="str" cm="1">
        <f t="array" ref="F1541">_xlfn.IFS(AND(101&gt;E1541, E1541&gt;69), "Top-Tier", AND(70&gt;E1541, E1541&gt;39), "Mid-Tier", 40&gt;E1541, "Low-Tier")</f>
        <v>Top-Tier</v>
      </c>
      <c r="G1541" s="4">
        <v>45444</v>
      </c>
      <c r="H1541" t="s">
        <v>2205</v>
      </c>
      <c r="I1541" t="s">
        <v>33</v>
      </c>
      <c r="J1541" t="s">
        <v>184</v>
      </c>
      <c r="K1541" t="s">
        <v>741</v>
      </c>
      <c r="L1541" t="s">
        <v>24</v>
      </c>
      <c r="M1541" t="s">
        <v>864</v>
      </c>
      <c r="N1541" t="s">
        <v>31</v>
      </c>
      <c r="P1541" s="3">
        <v>74</v>
      </c>
      <c r="Q1541" t="str">
        <f>LEFT(B1541, 4)</f>
        <v>Acer</v>
      </c>
      <c r="R1541" t="str">
        <f t="shared" si="93"/>
        <v>Intel Core i9 (13th Gen)</v>
      </c>
      <c r="S1541" t="str">
        <f t="shared" si="92"/>
        <v>16 GB</v>
      </c>
    </row>
    <row r="1542" spans="1:19">
      <c r="A1542" t="str">
        <f>LEFT(B1542, LEN(B1542)-15)</f>
        <v>Acer Aspire Lite AL15-52 (UN.431SI.332) Laptop (Core i5 12th Gen/8 GB/512 GB SSD/Windows 11)</v>
      </c>
      <c r="B1542" t="s">
        <v>2206</v>
      </c>
      <c r="C1542" s="1">
        <v>42670</v>
      </c>
      <c r="D1542" s="1">
        <v>40</v>
      </c>
      <c r="E1542" s="2">
        <v>70</v>
      </c>
      <c r="F1542" s="2" t="str" cm="1">
        <f t="array" ref="F1542">_xlfn.IFS(AND(101&gt;E1542, E1542&gt;69), "Top-Tier", AND(70&gt;E1542, E1542&gt;39), "Mid-Tier", 40&gt;E1542, "Low-Tier")</f>
        <v>Top-Tier</v>
      </c>
      <c r="G1542" s="4">
        <v>45352</v>
      </c>
      <c r="H1542" t="s">
        <v>2207</v>
      </c>
      <c r="I1542" t="s">
        <v>33</v>
      </c>
      <c r="J1542" t="s">
        <v>119</v>
      </c>
      <c r="K1542" t="s">
        <v>51</v>
      </c>
      <c r="L1542" t="s">
        <v>24</v>
      </c>
      <c r="M1542" t="s">
        <v>52</v>
      </c>
      <c r="N1542" t="s">
        <v>31</v>
      </c>
      <c r="P1542" s="3">
        <v>78</v>
      </c>
      <c r="Q1542" t="str">
        <f>LEFT(B1542, 4)</f>
        <v>Acer</v>
      </c>
      <c r="R1542" t="str">
        <f t="shared" si="93"/>
        <v>Intel Core i9 (13th Gen)</v>
      </c>
      <c r="S1542" t="str">
        <f t="shared" si="92"/>
        <v xml:space="preserve">8 GB </v>
      </c>
    </row>
    <row r="1543" spans="1:19">
      <c r="A1543" t="str">
        <f>LEFT(B1543, LEN(B1543)-15)</f>
        <v>Lenovo ThinkBook 15 Gen 5 (21JFA02NIN) Laptop (AMD Octa Core Ryzen 7/16 GB/512 GB SSD/Windows 11)</v>
      </c>
      <c r="B1543" t="s">
        <v>2208</v>
      </c>
      <c r="C1543" s="1">
        <v>47810</v>
      </c>
      <c r="D1543" s="1">
        <v>17</v>
      </c>
      <c r="E1543" s="2">
        <v>70</v>
      </c>
      <c r="F1543" s="2" t="str" cm="1">
        <f t="array" ref="F1543">_xlfn.IFS(AND(101&gt;E1543, E1543&gt;69), "Top-Tier", AND(70&gt;E1543, E1543&gt;39), "Mid-Tier", 40&gt;E1543, "Low-Tier")</f>
        <v>Top-Tier</v>
      </c>
      <c r="G1543" s="4">
        <v>45323</v>
      </c>
      <c r="H1543" t="s">
        <v>2209</v>
      </c>
      <c r="I1543" t="s">
        <v>33</v>
      </c>
      <c r="J1543" t="s">
        <v>34</v>
      </c>
      <c r="K1543" t="s">
        <v>51</v>
      </c>
      <c r="L1543" t="s">
        <v>24</v>
      </c>
      <c r="M1543" t="s">
        <v>122</v>
      </c>
      <c r="N1543" t="s">
        <v>31</v>
      </c>
      <c r="P1543" s="3">
        <v>76</v>
      </c>
      <c r="Q1543" t="str">
        <f>LEFT(B1543, 6)</f>
        <v>Lenovo</v>
      </c>
      <c r="R1543" t="str">
        <f t="shared" si="93"/>
        <v>Intel Core i9 (13th Gen)</v>
      </c>
      <c r="S1543" t="str">
        <f t="shared" si="92"/>
        <v>16 GB</v>
      </c>
    </row>
    <row r="1544" spans="1:19">
      <c r="A1544" t="str">
        <f>LEFT(B1544, LEN(B1544)-15)</f>
        <v>Acer Aspire Lite AL15-52 (UN.431SI.334) Laptop (Core i5 12th Gen/16 GB/512 GB SSD/Windows 11)</v>
      </c>
      <c r="B1544" t="s">
        <v>2210</v>
      </c>
      <c r="C1544" s="1">
        <v>42990</v>
      </c>
      <c r="D1544" s="1">
        <v>40</v>
      </c>
      <c r="E1544" s="2">
        <v>70</v>
      </c>
      <c r="F1544" s="2" t="str" cm="1">
        <f t="array" ref="F1544">_xlfn.IFS(AND(101&gt;E1544, E1544&gt;69), "Top-Tier", AND(70&gt;E1544, E1544&gt;39), "Mid-Tier", 40&gt;E1544, "Low-Tier")</f>
        <v>Top-Tier</v>
      </c>
      <c r="G1544" s="4">
        <v>45200</v>
      </c>
      <c r="H1544" t="s">
        <v>2211</v>
      </c>
      <c r="I1544" t="s">
        <v>33</v>
      </c>
      <c r="J1544" t="s">
        <v>34</v>
      </c>
      <c r="K1544" t="s">
        <v>741</v>
      </c>
      <c r="L1544" t="s">
        <v>24</v>
      </c>
      <c r="M1544" t="s">
        <v>52</v>
      </c>
      <c r="N1544" t="s">
        <v>31</v>
      </c>
      <c r="P1544" s="3">
        <v>78</v>
      </c>
      <c r="Q1544" t="str">
        <f>LEFT(B1544, 4)</f>
        <v>Acer</v>
      </c>
      <c r="R1544" t="str">
        <f t="shared" si="93"/>
        <v>Intel Core i9 (13th Gen)</v>
      </c>
      <c r="S1544" t="str">
        <f t="shared" si="92"/>
        <v>16 GB</v>
      </c>
    </row>
    <row r="1545" spans="1:19">
      <c r="A1545" t="str">
        <f>LEFT(B1545, LEN(B1545)-15)</f>
        <v>Dell Alienware m18 R1 (ANM18I0UCFG002CRB1) Laptop (Core i9 13th Gen/32 GB/1 TB SSD/Windows 11/12 GB)</v>
      </c>
      <c r="B1545" t="s">
        <v>2212</v>
      </c>
      <c r="C1545" s="1">
        <v>367905</v>
      </c>
      <c r="D1545" s="1">
        <v>4</v>
      </c>
      <c r="E1545" s="2">
        <v>70</v>
      </c>
      <c r="F1545" s="2" t="str" cm="1">
        <f t="array" ref="F1545">_xlfn.IFS(AND(101&gt;E1545, E1545&gt;69), "Top-Tier", AND(70&gt;E1545, E1545&gt;39), "Mid-Tier", 40&gt;E1545, "Low-Tier")</f>
        <v>Top-Tier</v>
      </c>
      <c r="G1545" s="4">
        <v>45047</v>
      </c>
      <c r="H1545" t="s">
        <v>2211</v>
      </c>
      <c r="I1545" t="s">
        <v>33</v>
      </c>
      <c r="J1545" t="s">
        <v>144</v>
      </c>
      <c r="K1545" t="s">
        <v>2213</v>
      </c>
      <c r="L1545" t="s">
        <v>24</v>
      </c>
      <c r="N1545" t="s">
        <v>31</v>
      </c>
      <c r="Q1545" t="str">
        <f>LEFT(B1545, 4)</f>
        <v>Dell</v>
      </c>
      <c r="R1545" t="str">
        <f t="shared" si="93"/>
        <v>Intel Core i9 (13th Gen)</v>
      </c>
      <c r="S1545" t="str">
        <f t="shared" si="92"/>
        <v>32 GB</v>
      </c>
    </row>
    <row r="1546" spans="1:19">
      <c r="A1546" t="str">
        <f>LEFT(B1546, LEN(B1546)-15)</f>
        <v>Asus VivoBook Go E1404FA-NK522WS Laptop (AMD Quad Core Ryzen 5/8 GB/512 GB SSD/Windows 11)</v>
      </c>
      <c r="B1546" t="s">
        <v>2214</v>
      </c>
      <c r="C1546" s="1">
        <v>35990</v>
      </c>
      <c r="D1546" s="1">
        <v>16</v>
      </c>
      <c r="E1546" s="2">
        <v>70</v>
      </c>
      <c r="F1546" s="2" t="str" cm="1">
        <f t="array" ref="F1546">_xlfn.IFS(AND(101&gt;E1546, E1546&gt;69), "Top-Tier", AND(70&gt;E1546, E1546&gt;39), "Mid-Tier", 40&gt;E1546, "Low-Tier")</f>
        <v>Top-Tier</v>
      </c>
      <c r="G1546" s="4">
        <v>44986</v>
      </c>
      <c r="H1546" t="s">
        <v>2211</v>
      </c>
      <c r="I1546" t="s">
        <v>33</v>
      </c>
      <c r="J1546" t="s">
        <v>162</v>
      </c>
      <c r="K1546" t="s">
        <v>149</v>
      </c>
      <c r="L1546" t="s">
        <v>24</v>
      </c>
      <c r="M1546" t="s">
        <v>95</v>
      </c>
      <c r="N1546" t="s">
        <v>31</v>
      </c>
      <c r="P1546" s="3">
        <v>71</v>
      </c>
      <c r="Q1546" t="str">
        <f>LEFT(B1546, 4)</f>
        <v>Asus</v>
      </c>
      <c r="R1546" t="str">
        <f t="shared" si="93"/>
        <v>Intel Core i9 (13th Gen)</v>
      </c>
      <c r="S1546" t="str">
        <f t="shared" si="92"/>
        <v xml:space="preserve">8 GB </v>
      </c>
    </row>
    <row r="1547" spans="1:19">
      <c r="A1547" t="str">
        <f>LEFT(B1547, LEN(B1547)-15)</f>
        <v>Lenovo Ideapad Slim 1 (82VG009MIN1) Laptop (AMD Quad Core Ryzen 3/8 GB/512 GB SSD/Windows 11)</v>
      </c>
      <c r="B1547" t="s">
        <v>2215</v>
      </c>
      <c r="C1547" s="1">
        <v>30400</v>
      </c>
      <c r="D1547" s="1">
        <v>16</v>
      </c>
      <c r="E1547" s="2">
        <v>70</v>
      </c>
      <c r="F1547" s="2" t="str" cm="1">
        <f t="array" ref="F1547">_xlfn.IFS(AND(101&gt;E1547, E1547&gt;69), "Top-Tier", AND(70&gt;E1547, E1547&gt;39), "Mid-Tier", 40&gt;E1547, "Low-Tier")</f>
        <v>Top-Tier</v>
      </c>
      <c r="G1547" s="4">
        <v>44958</v>
      </c>
      <c r="H1547" t="s">
        <v>2211</v>
      </c>
      <c r="I1547" t="s">
        <v>33</v>
      </c>
      <c r="J1547" t="s">
        <v>162</v>
      </c>
      <c r="K1547" t="s">
        <v>51</v>
      </c>
      <c r="L1547" t="s">
        <v>24</v>
      </c>
      <c r="M1547" t="s">
        <v>74</v>
      </c>
      <c r="N1547" t="s">
        <v>31</v>
      </c>
      <c r="Q1547" t="str">
        <f>LEFT(B1547, 6)</f>
        <v>Lenovo</v>
      </c>
      <c r="R1547" t="str">
        <f t="shared" si="93"/>
        <v>Intel Core i9 (13th Gen)</v>
      </c>
      <c r="S1547" t="str">
        <f t="shared" si="92"/>
        <v xml:space="preserve">8 GB </v>
      </c>
    </row>
    <row r="1548" spans="1:19">
      <c r="A1548" t="str">
        <f>LEFT(B1548, LEN(B1548)-15)</f>
        <v>Lenovo Yoga 9i (83B1002GIN) Laptop (Core i7 13th Gen/16 GB/1 TB SSD/Windows 11)</v>
      </c>
      <c r="B1548" t="s">
        <v>2216</v>
      </c>
      <c r="C1548" s="1">
        <v>138590</v>
      </c>
      <c r="D1548" s="1">
        <v>2</v>
      </c>
      <c r="E1548" s="2">
        <v>70</v>
      </c>
      <c r="F1548" s="2" t="str" cm="1">
        <f t="array" ref="F1548">_xlfn.IFS(AND(101&gt;E1548, E1548&gt;69), "Top-Tier", AND(70&gt;E1548, E1548&gt;39), "Mid-Tier", 40&gt;E1548, "Low-Tier")</f>
        <v>Top-Tier</v>
      </c>
      <c r="G1548" s="4">
        <v>44927</v>
      </c>
      <c r="H1548" t="s">
        <v>2211</v>
      </c>
      <c r="I1548" t="s">
        <v>33</v>
      </c>
      <c r="J1548" t="s">
        <v>167</v>
      </c>
      <c r="K1548" t="s">
        <v>974</v>
      </c>
      <c r="L1548" t="s">
        <v>24</v>
      </c>
      <c r="M1548" t="s">
        <v>232</v>
      </c>
      <c r="P1548" s="3">
        <v>81</v>
      </c>
      <c r="Q1548" t="str">
        <f>LEFT(B1548, 6)</f>
        <v>Lenovo</v>
      </c>
      <c r="R1548" t="str">
        <f t="shared" si="93"/>
        <v>Intel Core i9 (13th Gen)</v>
      </c>
      <c r="S1548" t="str">
        <f t="shared" si="92"/>
        <v>16 GB</v>
      </c>
    </row>
    <row r="1549" spans="1:19">
      <c r="A1549" t="str">
        <f>LEFT(B1549, LEN(B1549)-15)</f>
        <v>HP 245 G8 (62G68PA) Laptop (AMD Dual Core Ryzen 3/8 GB/1 TB/Windows 11)</v>
      </c>
      <c r="B1549" t="s">
        <v>2217</v>
      </c>
      <c r="C1549" s="1">
        <v>28490</v>
      </c>
      <c r="D1549" s="1">
        <v>96</v>
      </c>
      <c r="E1549" s="2">
        <v>70</v>
      </c>
      <c r="F1549" s="2" t="str" cm="1">
        <f t="array" ref="F1549">_xlfn.IFS(AND(101&gt;E1549, E1549&gt;69), "Top-Tier", AND(70&gt;E1549, E1549&gt;39), "Mid-Tier", 40&gt;E1549, "Low-Tier")</f>
        <v>Top-Tier</v>
      </c>
      <c r="G1549" s="4">
        <v>44896</v>
      </c>
      <c r="H1549" t="s">
        <v>2211</v>
      </c>
      <c r="I1549" t="s">
        <v>33</v>
      </c>
      <c r="J1549" t="s">
        <v>332</v>
      </c>
      <c r="K1549" t="s">
        <v>149</v>
      </c>
      <c r="L1549" t="s">
        <v>24</v>
      </c>
      <c r="M1549" t="s">
        <v>52</v>
      </c>
      <c r="N1549" t="s">
        <v>31</v>
      </c>
      <c r="Q1549" t="str">
        <f>LEFT(B1549, 2)</f>
        <v>HP</v>
      </c>
      <c r="R1549" t="str">
        <f t="shared" si="93"/>
        <v>Intel Core i9 (13th Gen)</v>
      </c>
      <c r="S1549" t="str">
        <f t="shared" si="92"/>
        <v xml:space="preserve">8 GB </v>
      </c>
    </row>
    <row r="1550" spans="1:19">
      <c r="A1550" t="str">
        <f>LEFT(B1550, LEN(B1550)-15)</f>
        <v>Microsoft Surface Pro 9 Intel Evo (QLP-00014) Laptop (Core i7 12th Gen/32 GB/1 TB SSD/Windows 11)</v>
      </c>
      <c r="B1550" t="s">
        <v>2218</v>
      </c>
      <c r="C1550" s="1">
        <v>261990</v>
      </c>
      <c r="D1550" s="1">
        <v>2</v>
      </c>
      <c r="E1550" s="2">
        <v>70</v>
      </c>
      <c r="F1550" s="2" t="str" cm="1">
        <f t="array" ref="F1550">_xlfn.IFS(AND(101&gt;E1550, E1550&gt;69), "Top-Tier", AND(70&gt;E1550, E1550&gt;39), "Mid-Tier", 40&gt;E1550, "Low-Tier")</f>
        <v>Top-Tier</v>
      </c>
      <c r="G1550" s="4">
        <v>44866</v>
      </c>
      <c r="H1550" t="s">
        <v>2211</v>
      </c>
      <c r="I1550" t="s">
        <v>33</v>
      </c>
      <c r="J1550" t="s">
        <v>457</v>
      </c>
      <c r="K1550" t="s">
        <v>243</v>
      </c>
      <c r="L1550" t="s">
        <v>24</v>
      </c>
      <c r="M1550" t="s">
        <v>241</v>
      </c>
      <c r="P1550" s="3">
        <v>80</v>
      </c>
      <c r="Q1550" t="str">
        <f>LEFT(B1550, 9)</f>
        <v>Microsoft</v>
      </c>
      <c r="R1550" t="str">
        <f t="shared" si="93"/>
        <v>Intel Core i9 (13th Gen)</v>
      </c>
      <c r="S1550" t="str">
        <f t="shared" si="92"/>
        <v>32 GB</v>
      </c>
    </row>
    <row r="1551" spans="1:19">
      <c r="A1551" t="str">
        <f>LEFT(B1551, LEN(B1551)-15)</f>
        <v>Dell Inspiron 15 3511 (D560612WIN9BE) Laptop (Core i3 10th Gen/8 GB/1 TB/Windows 10)</v>
      </c>
      <c r="B1551" t="s">
        <v>2219</v>
      </c>
      <c r="C1551" s="1">
        <v>53657</v>
      </c>
      <c r="D1551" s="1">
        <v>141</v>
      </c>
      <c r="E1551" s="2">
        <v>70</v>
      </c>
      <c r="F1551" s="2" t="str" cm="1">
        <f t="array" ref="F1551">_xlfn.IFS(AND(101&gt;E1551, E1551&gt;69), "Top-Tier", AND(70&gt;E1551, E1551&gt;39), "Mid-Tier", 40&gt;E1551, "Low-Tier")</f>
        <v>Top-Tier</v>
      </c>
      <c r="G1551" s="4">
        <v>44866</v>
      </c>
      <c r="H1551" t="s">
        <v>2211</v>
      </c>
      <c r="I1551" t="s">
        <v>248</v>
      </c>
      <c r="J1551" t="s">
        <v>332</v>
      </c>
      <c r="K1551" t="s">
        <v>249</v>
      </c>
      <c r="L1551" t="s">
        <v>24</v>
      </c>
      <c r="M1551" t="s">
        <v>135</v>
      </c>
      <c r="N1551" t="s">
        <v>31</v>
      </c>
      <c r="Q1551" t="str">
        <f>LEFT(B1551, 4)</f>
        <v>Dell</v>
      </c>
      <c r="R1551" t="str">
        <f t="shared" si="93"/>
        <v>Intel Core i9 (13th Gen)</v>
      </c>
      <c r="S1551" t="str">
        <f t="shared" si="92"/>
        <v xml:space="preserve">8 GB </v>
      </c>
    </row>
    <row r="1552" spans="1:19">
      <c r="A1552" t="str">
        <f>LEFT(B1552, LEN(B1552)-15)</f>
        <v>Gigabyte AERO 5 XE4 (RP5MXE4) Laptop (Core i7 12th Gen/16 GB/1 TB SSD/Windows 11/8 GB)</v>
      </c>
      <c r="B1552" t="s">
        <v>2220</v>
      </c>
      <c r="C1552" s="1">
        <v>193990</v>
      </c>
      <c r="D1552" s="1">
        <v>2</v>
      </c>
      <c r="E1552" s="2">
        <v>70</v>
      </c>
      <c r="F1552" s="2" t="str" cm="1">
        <f t="array" ref="F1552">_xlfn.IFS(AND(101&gt;E1552, E1552&gt;69), "Top-Tier", AND(70&gt;E1552, E1552&gt;39), "Mid-Tier", 40&gt;E1552, "Low-Tier")</f>
        <v>Top-Tier</v>
      </c>
      <c r="G1552" s="4">
        <v>44866</v>
      </c>
      <c r="H1552" t="s">
        <v>2211</v>
      </c>
      <c r="I1552" t="s">
        <v>33</v>
      </c>
      <c r="J1552" t="s">
        <v>184</v>
      </c>
      <c r="K1552" t="s">
        <v>2221</v>
      </c>
      <c r="L1552" t="s">
        <v>24</v>
      </c>
      <c r="N1552" t="s">
        <v>31</v>
      </c>
      <c r="P1552" s="3">
        <v>86</v>
      </c>
      <c r="Q1552" t="str">
        <f>LEFT(B1552, 8)</f>
        <v>Gigabyte</v>
      </c>
      <c r="R1552" t="str">
        <f t="shared" si="93"/>
        <v>Intel Core i9 (13th Gen)</v>
      </c>
      <c r="S1552" t="str">
        <f t="shared" si="92"/>
        <v>16 GB</v>
      </c>
    </row>
    <row r="1553" spans="1:19">
      <c r="A1553" t="str">
        <f>LEFT(B1553, LEN(B1553)-15)</f>
        <v>Dell Inspiron 15 3520 (D560868WIN9S) Laptop (Core i5 12th Gen/16 GB/512 GB SSD/Windows 11/2 GB)</v>
      </c>
      <c r="B1553" t="s">
        <v>2222</v>
      </c>
      <c r="C1553" s="1">
        <v>67125</v>
      </c>
      <c r="D1553" s="1">
        <v>16</v>
      </c>
      <c r="E1553" s="2">
        <v>70</v>
      </c>
      <c r="F1553" s="2" t="str" cm="1">
        <f t="array" ref="F1553">_xlfn.IFS(AND(101&gt;E1553, E1553&gt;69), "Top-Tier", AND(70&gt;E1553, E1553&gt;39), "Mid-Tier", 40&gt;E1553, "Low-Tier")</f>
        <v>Top-Tier</v>
      </c>
      <c r="G1553" s="4">
        <v>44835</v>
      </c>
      <c r="H1553" t="s">
        <v>2211</v>
      </c>
      <c r="I1553" t="s">
        <v>33</v>
      </c>
      <c r="J1553" t="s">
        <v>34</v>
      </c>
      <c r="K1553" t="s">
        <v>51</v>
      </c>
      <c r="L1553" t="s">
        <v>24</v>
      </c>
      <c r="M1553" t="s">
        <v>1713</v>
      </c>
      <c r="N1553" t="s">
        <v>31</v>
      </c>
      <c r="P1553" s="3">
        <v>77</v>
      </c>
      <c r="Q1553" t="str">
        <f>LEFT(B1553, 4)</f>
        <v>Dell</v>
      </c>
      <c r="R1553" t="str">
        <f t="shared" si="93"/>
        <v>Intel Core i9 (13th Gen)</v>
      </c>
      <c r="S1553" t="str">
        <f t="shared" si="92"/>
        <v>16 GB</v>
      </c>
    </row>
    <row r="1554" spans="1:19">
      <c r="A1554" t="str">
        <f>LEFT(B1554, LEN(B1554)-15)</f>
        <v>Asus VivoBook 14 X415JA-BV302WS Laptop (Core i3 10th Gen/8 GB/1 TB/Windows 11)</v>
      </c>
      <c r="B1554" t="s">
        <v>2223</v>
      </c>
      <c r="C1554" s="1">
        <v>23990</v>
      </c>
      <c r="D1554" s="1">
        <v>1173</v>
      </c>
      <c r="E1554" s="2">
        <v>70</v>
      </c>
      <c r="F1554" s="2" t="str" cm="1">
        <f t="array" ref="F1554">_xlfn.IFS(AND(101&gt;E1554, E1554&gt;69), "Top-Tier", AND(70&gt;E1554, E1554&gt;39), "Mid-Tier", 40&gt;E1554, "Low-Tier")</f>
        <v>Top-Tier</v>
      </c>
      <c r="G1554" s="4">
        <v>44805</v>
      </c>
      <c r="H1554" t="s">
        <v>2211</v>
      </c>
      <c r="I1554" t="s">
        <v>33</v>
      </c>
      <c r="J1554" t="s">
        <v>332</v>
      </c>
      <c r="K1554" t="s">
        <v>224</v>
      </c>
      <c r="L1554" t="s">
        <v>24</v>
      </c>
      <c r="M1554" t="s">
        <v>253</v>
      </c>
      <c r="N1554" t="s">
        <v>31</v>
      </c>
      <c r="Q1554" t="str">
        <f>LEFT(B1554, 4)</f>
        <v>Asus</v>
      </c>
      <c r="R1554" t="str">
        <f t="shared" si="93"/>
        <v>Intel Core i9 (13th Gen)</v>
      </c>
      <c r="S1554" t="str">
        <f t="shared" si="92"/>
        <v xml:space="preserve">8 GB </v>
      </c>
    </row>
    <row r="1555" spans="1:19">
      <c r="A1555" t="str">
        <f>LEFT(B1555, LEN(B1555)-15)</f>
        <v>Asus Zenbook Flip 14 OLED UP5401ZA-KN711WS Laptop (Core i7 12th Gen/16 GB/1 TB SSD/Windows 11)</v>
      </c>
      <c r="B1555" t="s">
        <v>2224</v>
      </c>
      <c r="C1555" s="1">
        <v>105441</v>
      </c>
      <c r="D1555" s="1">
        <v>2</v>
      </c>
      <c r="E1555" s="2">
        <v>70</v>
      </c>
      <c r="F1555" s="2" t="str" cm="1">
        <f t="array" ref="F1555">_xlfn.IFS(AND(101&gt;E1555, E1555&gt;69), "Top-Tier", AND(70&gt;E1555, E1555&gt;39), "Mid-Tier", 40&gt;E1555, "Low-Tier")</f>
        <v>Top-Tier</v>
      </c>
      <c r="G1555" s="4">
        <v>44774</v>
      </c>
      <c r="H1555" t="s">
        <v>2211</v>
      </c>
      <c r="I1555" t="s">
        <v>33</v>
      </c>
      <c r="J1555" t="s">
        <v>167</v>
      </c>
      <c r="K1555" t="s">
        <v>640</v>
      </c>
      <c r="L1555" t="s">
        <v>24</v>
      </c>
      <c r="M1555" t="s">
        <v>1077</v>
      </c>
      <c r="N1555" t="s">
        <v>31</v>
      </c>
      <c r="O1555" t="s">
        <v>152</v>
      </c>
      <c r="P1555" s="3">
        <v>80</v>
      </c>
      <c r="Q1555" t="str">
        <f>LEFT(B1555, 4)</f>
        <v>Asus</v>
      </c>
      <c r="R1555" t="str">
        <f t="shared" si="93"/>
        <v>Intel Core i9 (13th Gen)</v>
      </c>
      <c r="S1555" t="str">
        <f t="shared" si="92"/>
        <v>16 GB</v>
      </c>
    </row>
    <row r="1556" spans="1:19">
      <c r="A1556" t="str">
        <f>LEFT(B1556, LEN(B1556)-15)</f>
        <v>Asus ROG Zephyrus G15 GA503RW-LN066WS Laptop (AMD Octa Core Ryzen 9/16 GB/1 TB SSD/Windows 11/8 GB)</v>
      </c>
      <c r="B1556" t="s">
        <v>2225</v>
      </c>
      <c r="C1556" s="1">
        <v>137032</v>
      </c>
      <c r="D1556" s="1">
        <v>19</v>
      </c>
      <c r="E1556" s="2">
        <v>70</v>
      </c>
      <c r="F1556" s="2" t="str" cm="1">
        <f t="array" ref="F1556">_xlfn.IFS(AND(101&gt;E1556, E1556&gt;69), "Top-Tier", AND(70&gt;E1556, E1556&gt;39), "Mid-Tier", 40&gt;E1556, "Low-Tier")</f>
        <v>Top-Tier</v>
      </c>
      <c r="G1556" s="4">
        <v>44743</v>
      </c>
      <c r="H1556" t="s">
        <v>2211</v>
      </c>
      <c r="I1556" t="s">
        <v>33</v>
      </c>
      <c r="J1556" t="s">
        <v>72</v>
      </c>
      <c r="K1556" t="s">
        <v>252</v>
      </c>
      <c r="L1556" t="s">
        <v>24</v>
      </c>
      <c r="M1556" t="s">
        <v>253</v>
      </c>
      <c r="N1556" t="s">
        <v>31</v>
      </c>
      <c r="P1556" s="3">
        <v>86</v>
      </c>
      <c r="Q1556" t="str">
        <f>LEFT(B1556, 4)</f>
        <v>Asus</v>
      </c>
      <c r="R1556" t="str">
        <f t="shared" si="93"/>
        <v>Intel Core i9 (13th Gen)</v>
      </c>
      <c r="S1556" t="str">
        <f t="shared" si="92"/>
        <v>16 GB</v>
      </c>
    </row>
    <row r="1557" spans="1:19">
      <c r="A1557" t="str">
        <f>LEFT(B1557, LEN(B1557)-15)</f>
        <v>Lenovo V14 Gen 2 (82KAA057IH) Laptop (Core i3 11th Gen/8 GB/256 GB SSD/DOS)</v>
      </c>
      <c r="B1557" t="s">
        <v>2226</v>
      </c>
      <c r="C1557" s="1">
        <v>31980</v>
      </c>
      <c r="D1557" s="1">
        <v>6</v>
      </c>
      <c r="E1557" s="2">
        <v>70</v>
      </c>
      <c r="F1557" s="2" t="str" cm="1">
        <f t="array" ref="F1557">_xlfn.IFS(AND(101&gt;E1557, E1557&gt;69), "Top-Tier", AND(70&gt;E1557, E1557&gt;39), "Mid-Tier", 40&gt;E1557, "Low-Tier")</f>
        <v>Top-Tier</v>
      </c>
      <c r="G1557" s="4">
        <v>44743</v>
      </c>
      <c r="H1557" t="s">
        <v>2211</v>
      </c>
      <c r="I1557" t="s">
        <v>124</v>
      </c>
      <c r="J1557" t="s">
        <v>338</v>
      </c>
      <c r="K1557" t="s">
        <v>1246</v>
      </c>
      <c r="L1557" t="s">
        <v>24</v>
      </c>
      <c r="M1557" t="s">
        <v>52</v>
      </c>
      <c r="N1557" t="s">
        <v>31</v>
      </c>
      <c r="Q1557" t="str">
        <f>LEFT(B1557, 6)</f>
        <v>Lenovo</v>
      </c>
      <c r="R1557" t="str">
        <f t="shared" si="93"/>
        <v>Intel Core i9 (13th Gen)</v>
      </c>
      <c r="S1557" t="str">
        <f t="shared" si="92"/>
        <v xml:space="preserve">8 GB </v>
      </c>
    </row>
    <row r="1558" spans="1:19">
      <c r="A1558" t="str">
        <f>LEFT(B1558, LEN(B1558)-15)</f>
        <v>Asus Zenbook Flip 14 OLED UP5401ZA-KN701WS Laptop (Core i7 12th Gen/16 GB/512 GB SSD/Windows 11)</v>
      </c>
      <c r="B1558" t="s">
        <v>2227</v>
      </c>
      <c r="C1558" s="1">
        <v>123518</v>
      </c>
      <c r="D1558" s="1">
        <v>11</v>
      </c>
      <c r="E1558" s="2">
        <v>70</v>
      </c>
      <c r="F1558" s="2" t="str" cm="1">
        <f t="array" ref="F1558">_xlfn.IFS(AND(101&gt;E1558, E1558&gt;69), "Top-Tier", AND(70&gt;E1558, E1558&gt;39), "Mid-Tier", 40&gt;E1558, "Low-Tier")</f>
        <v>Top-Tier</v>
      </c>
      <c r="G1558" s="4">
        <v>44713</v>
      </c>
      <c r="H1558" t="s">
        <v>2211</v>
      </c>
      <c r="I1558" t="s">
        <v>33</v>
      </c>
      <c r="J1558" t="s">
        <v>121</v>
      </c>
      <c r="K1558" t="s">
        <v>81</v>
      </c>
      <c r="L1558" t="s">
        <v>24</v>
      </c>
      <c r="M1558" t="s">
        <v>44</v>
      </c>
      <c r="N1558" t="s">
        <v>31</v>
      </c>
      <c r="P1558" s="3">
        <v>79</v>
      </c>
      <c r="Q1558" t="str">
        <f>LEFT(B1558, 4)</f>
        <v>Asus</v>
      </c>
      <c r="R1558" t="str">
        <f t="shared" si="93"/>
        <v>Intel Core i9 (13th Gen)</v>
      </c>
      <c r="S1558" t="str">
        <f t="shared" si="92"/>
        <v>16 GB</v>
      </c>
    </row>
    <row r="1559" spans="1:19">
      <c r="A1559" t="str">
        <f>LEFT(B1559, LEN(B1559)-15)</f>
        <v>HP 15-fd0577TU (BG6E4PA) Laptop (Core i5 13th Gen/16 GB/512 GB SSD/Windows 11)</v>
      </c>
      <c r="B1559" t="s">
        <v>2228</v>
      </c>
      <c r="C1559" s="1">
        <v>56990</v>
      </c>
      <c r="D1559" s="1">
        <v>7</v>
      </c>
      <c r="E1559" s="2">
        <v>68</v>
      </c>
      <c r="F1559" s="2" t="str" cm="1">
        <f t="array" ref="F1559">_xlfn.IFS(AND(101&gt;E1559, E1559&gt;69), "Top-Tier", AND(70&gt;E1559, E1559&gt;39), "Mid-Tier", 40&gt;E1559, "Low-Tier")</f>
        <v>Mid-Tier</v>
      </c>
      <c r="G1559" s="4">
        <v>45748</v>
      </c>
      <c r="H1559" t="s">
        <v>2211</v>
      </c>
      <c r="I1559" t="s">
        <v>33</v>
      </c>
      <c r="J1559" t="s">
        <v>34</v>
      </c>
      <c r="K1559" t="s">
        <v>159</v>
      </c>
      <c r="L1559" t="s">
        <v>24</v>
      </c>
      <c r="M1559" t="s">
        <v>99</v>
      </c>
      <c r="N1559" t="s">
        <v>31</v>
      </c>
      <c r="P1559" s="3">
        <v>79</v>
      </c>
      <c r="Q1559" t="str">
        <f>LEFT(B1559, 2)</f>
        <v>HP</v>
      </c>
      <c r="R1559" t="str">
        <f t="shared" si="93"/>
        <v>Intel Core i9 (13th Gen)</v>
      </c>
      <c r="S1559" t="str">
        <f t="shared" si="92"/>
        <v>16 GB</v>
      </c>
    </row>
    <row r="1560" spans="1:19">
      <c r="A1560" t="str">
        <f>LEFT(B1560, LEN(B1560)-15)</f>
        <v>Lenovo IdeaPad 3 15IJL6 (82N4004QHA) Laptop (Intel Celeron Dual Core/8 GB/128 GB eMMC/Google Chrome)</v>
      </c>
      <c r="B1560" t="s">
        <v>2229</v>
      </c>
      <c r="C1560" s="1">
        <v>21990</v>
      </c>
      <c r="D1560" s="1">
        <v>104</v>
      </c>
      <c r="E1560" s="2">
        <v>68</v>
      </c>
      <c r="F1560" s="2" t="str" cm="1">
        <f t="array" ref="F1560">_xlfn.IFS(AND(101&gt;E1560, E1560&gt;69), "Top-Tier", AND(70&gt;E1560, E1560&gt;39), "Mid-Tier", 40&gt;E1560, "Low-Tier")</f>
        <v>Mid-Tier</v>
      </c>
      <c r="G1560" s="4">
        <v>45536</v>
      </c>
      <c r="H1560" t="s">
        <v>2211</v>
      </c>
      <c r="I1560" t="s">
        <v>735</v>
      </c>
      <c r="J1560" t="s">
        <v>736</v>
      </c>
      <c r="K1560" t="s">
        <v>217</v>
      </c>
      <c r="L1560" t="s">
        <v>24</v>
      </c>
      <c r="M1560" t="s">
        <v>122</v>
      </c>
      <c r="N1560" t="s">
        <v>31</v>
      </c>
      <c r="Q1560" t="str">
        <f>LEFT(B1560, 6)</f>
        <v>Lenovo</v>
      </c>
      <c r="R1560" t="str">
        <f t="shared" si="93"/>
        <v>Intel Core i9 (13th Gen)</v>
      </c>
      <c r="S1560" t="str">
        <f t="shared" si="92"/>
        <v xml:space="preserve">8 GB </v>
      </c>
    </row>
    <row r="1561" spans="1:19">
      <c r="A1561" t="str">
        <f>LEFT(B1561, LEN(B1561)-15)</f>
        <v>Lenovo Ideapad Slim 3i (82C1002EHA) Laptop (Celeron Dual Core/4 GB/64 GB SSD/Google Chrome)</v>
      </c>
      <c r="B1561" t="s">
        <v>2230</v>
      </c>
      <c r="C1561" s="1">
        <v>17500</v>
      </c>
      <c r="D1561" s="1">
        <v>241</v>
      </c>
      <c r="E1561" s="2">
        <v>68</v>
      </c>
      <c r="F1561" s="2" t="str" cm="1">
        <f t="array" ref="F1561">_xlfn.IFS(AND(101&gt;E1561, E1561&gt;69), "Top-Tier", AND(70&gt;E1561, E1561&gt;39), "Mid-Tier", 40&gt;E1561, "Low-Tier")</f>
        <v>Mid-Tier</v>
      </c>
      <c r="G1561" s="4">
        <v>44866</v>
      </c>
      <c r="H1561" t="s">
        <v>2211</v>
      </c>
      <c r="I1561" t="s">
        <v>735</v>
      </c>
      <c r="J1561" t="s">
        <v>1526</v>
      </c>
      <c r="K1561" t="s">
        <v>439</v>
      </c>
      <c r="L1561" t="s">
        <v>24</v>
      </c>
      <c r="M1561" t="s">
        <v>529</v>
      </c>
      <c r="Q1561" t="str">
        <f>LEFT(B1561, 6)</f>
        <v>Lenovo</v>
      </c>
      <c r="R1561" t="str">
        <f t="shared" si="93"/>
        <v>Intel Core i9 (13th Gen)</v>
      </c>
      <c r="S1561" t="str">
        <f t="shared" si="92"/>
        <v xml:space="preserve">4 GB </v>
      </c>
    </row>
    <row r="1562" spans="1:19">
      <c r="A1562" t="str">
        <f>LEFT(B1562, LEN(B1562)-15)</f>
        <v>Lenovo Ideapad 330 (81DC00YEIN) Laptop (Core i3 7th Gen/4 GB/1 TB/Windows 10)</v>
      </c>
      <c r="B1562" t="s">
        <v>2231</v>
      </c>
      <c r="C1562" s="1">
        <v>28990</v>
      </c>
      <c r="D1562" s="1">
        <v>277</v>
      </c>
      <c r="E1562" s="2">
        <v>68</v>
      </c>
      <c r="F1562" s="2" t="str" cm="1">
        <f t="array" ref="F1562">_xlfn.IFS(AND(101&gt;E1562, E1562&gt;69), "Top-Tier", AND(70&gt;E1562, E1562&gt;39), "Mid-Tier", 40&gt;E1562, "Low-Tier")</f>
        <v>Mid-Tier</v>
      </c>
      <c r="H1562" t="s">
        <v>2211</v>
      </c>
      <c r="I1562" t="s">
        <v>248</v>
      </c>
      <c r="J1562" t="s">
        <v>542</v>
      </c>
      <c r="K1562" t="s">
        <v>249</v>
      </c>
      <c r="L1562" t="s">
        <v>24</v>
      </c>
      <c r="N1562" t="s">
        <v>31</v>
      </c>
      <c r="O1562" t="s">
        <v>261</v>
      </c>
      <c r="Q1562" t="str">
        <f>LEFT(B1562, 6)</f>
        <v>Lenovo</v>
      </c>
      <c r="R1562" t="str">
        <f t="shared" si="93"/>
        <v>Intel Core i9 (13th Gen)</v>
      </c>
      <c r="S1562" t="str">
        <f t="shared" si="92"/>
        <v xml:space="preserve">4 GB </v>
      </c>
    </row>
    <row r="1563" spans="1:19">
      <c r="A1563" t="str">
        <f>LEFT(B1563, LEN(B1563)-15)</f>
        <v>Dell G15-5530 (GN5530D83M6002ORB1) Laptop (Core i5 13th Gen/16 GB/512 GB SSD/Windows 11/6 GB)</v>
      </c>
      <c r="B1563" t="s">
        <v>2232</v>
      </c>
      <c r="C1563" s="1">
        <v>71999</v>
      </c>
      <c r="D1563" s="1">
        <v>16</v>
      </c>
      <c r="E1563" s="2">
        <v>68</v>
      </c>
      <c r="F1563" s="2" t="str" cm="1">
        <f t="array" ref="F1563">_xlfn.IFS(AND(101&gt;E1563, E1563&gt;69), "Top-Tier", AND(70&gt;E1563, E1563&gt;39), "Mid-Tier", 40&gt;E1563, "Low-Tier")</f>
        <v>Mid-Tier</v>
      </c>
      <c r="G1563" s="4">
        <v>45017</v>
      </c>
      <c r="H1563" t="s">
        <v>2233</v>
      </c>
      <c r="I1563" t="s">
        <v>33</v>
      </c>
      <c r="J1563" t="s">
        <v>54</v>
      </c>
      <c r="K1563" t="s">
        <v>51</v>
      </c>
      <c r="L1563" t="s">
        <v>24</v>
      </c>
      <c r="N1563" t="s">
        <v>31</v>
      </c>
      <c r="P1563" s="3">
        <v>83</v>
      </c>
      <c r="Q1563" t="str">
        <f>LEFT(B1563, 4)</f>
        <v>Dell</v>
      </c>
      <c r="R1563" t="str">
        <f t="shared" si="93"/>
        <v>Intel Core i9 (13th Gen)</v>
      </c>
      <c r="S1563" t="str">
        <f t="shared" si="92"/>
        <v>16 GB</v>
      </c>
    </row>
    <row r="1564" spans="1:19">
      <c r="A1564" t="str">
        <f>LEFT(B1564, LEN(B1564)-15)</f>
        <v>Dell Alienware m16 R2 (OANM162128501RIN) Laptop (Core Ultra 9/16 GB/1 TB SSD/Windows 11/8 GB)</v>
      </c>
      <c r="B1564" t="s">
        <v>2234</v>
      </c>
      <c r="C1564" s="1">
        <v>196298</v>
      </c>
      <c r="D1564" s="1">
        <v>14</v>
      </c>
      <c r="E1564" s="2">
        <v>68</v>
      </c>
      <c r="F1564" s="2" t="str" cm="1">
        <f t="array" ref="F1564">_xlfn.IFS(AND(101&gt;E1564, E1564&gt;69), "Top-Tier", AND(70&gt;E1564, E1564&gt;39), "Mid-Tier", 40&gt;E1564, "Low-Tier")</f>
        <v>Mid-Tier</v>
      </c>
      <c r="G1564" s="4">
        <v>45444</v>
      </c>
      <c r="H1564" t="s">
        <v>2233</v>
      </c>
      <c r="I1564" t="s">
        <v>33</v>
      </c>
      <c r="J1564" t="s">
        <v>72</v>
      </c>
      <c r="K1564" t="s">
        <v>547</v>
      </c>
      <c r="L1564" t="s">
        <v>24</v>
      </c>
      <c r="N1564" t="s">
        <v>31</v>
      </c>
      <c r="Q1564" t="str">
        <f>LEFT(B1564, 4)</f>
        <v>Dell</v>
      </c>
      <c r="R1564" t="str">
        <f t="shared" si="93"/>
        <v>Intel Core i9 (13th Gen)</v>
      </c>
      <c r="S1564" t="str">
        <f t="shared" si="92"/>
        <v>16 GB</v>
      </c>
    </row>
    <row r="1565" spans="1:19">
      <c r="A1565" t="str">
        <f>LEFT(B1565, LEN(B1565)-15)</f>
        <v>HP 250 G9 (8Y2Y9PA) Laptop (Intel Celeron Dual Core/8 GB/256 GB SSD/DOS)</v>
      </c>
      <c r="B1565" t="s">
        <v>2235</v>
      </c>
      <c r="C1565" s="1">
        <v>22390</v>
      </c>
      <c r="D1565" s="1">
        <v>57</v>
      </c>
      <c r="E1565" s="2">
        <v>68</v>
      </c>
      <c r="F1565" s="2" t="str" cm="1">
        <f t="array" ref="F1565">_xlfn.IFS(AND(101&gt;E1565, E1565&gt;69), "Top-Tier", AND(70&gt;E1565, E1565&gt;39), "Mid-Tier", 40&gt;E1565, "Low-Tier")</f>
        <v>Mid-Tier</v>
      </c>
      <c r="G1565" s="4">
        <v>45352</v>
      </c>
      <c r="H1565" t="s">
        <v>2233</v>
      </c>
      <c r="I1565" t="s">
        <v>124</v>
      </c>
      <c r="J1565" t="s">
        <v>338</v>
      </c>
      <c r="K1565" t="s">
        <v>560</v>
      </c>
      <c r="L1565" t="s">
        <v>24</v>
      </c>
      <c r="N1565" t="s">
        <v>31</v>
      </c>
      <c r="Q1565" t="str">
        <f>LEFT(B1565, 2)</f>
        <v>HP</v>
      </c>
      <c r="R1565" t="str">
        <f t="shared" si="93"/>
        <v>Intel Core i9 (13th Gen)</v>
      </c>
      <c r="S1565" t="str">
        <f t="shared" si="92"/>
        <v xml:space="preserve">8 GB </v>
      </c>
    </row>
    <row r="1566" spans="1:19">
      <c r="A1566" t="str">
        <f>LEFT(B1566, LEN(B1566)-15)</f>
        <v>HP 15s-fq5190tu (7W476PA) Laptop (Core i7 12th Gen/16 GB/512 GB SSD/Windows 11)</v>
      </c>
      <c r="B1566" t="s">
        <v>2236</v>
      </c>
      <c r="C1566" s="1">
        <v>64990</v>
      </c>
      <c r="D1566" s="1">
        <v>49</v>
      </c>
      <c r="E1566" s="2">
        <v>68</v>
      </c>
      <c r="F1566" s="2" t="str" cm="1">
        <f t="array" ref="F1566">_xlfn.IFS(AND(101&gt;E1566, E1566&gt;69), "Top-Tier", AND(70&gt;E1566, E1566&gt;39), "Mid-Tier", 40&gt;E1566, "Low-Tier")</f>
        <v>Mid-Tier</v>
      </c>
      <c r="G1566" s="4">
        <v>45323</v>
      </c>
      <c r="H1566" t="s">
        <v>2233</v>
      </c>
      <c r="I1566" t="s">
        <v>33</v>
      </c>
      <c r="J1566" t="s">
        <v>34</v>
      </c>
      <c r="K1566" t="s">
        <v>51</v>
      </c>
      <c r="L1566" t="s">
        <v>24</v>
      </c>
      <c r="N1566" t="s">
        <v>31</v>
      </c>
      <c r="P1566" s="3">
        <v>73</v>
      </c>
      <c r="Q1566" t="str">
        <f>LEFT(B1566, 2)</f>
        <v>HP</v>
      </c>
      <c r="R1566" t="str">
        <f t="shared" si="93"/>
        <v>Intel Core i9 (13th Gen)</v>
      </c>
      <c r="S1566" t="str">
        <f t="shared" si="92"/>
        <v>16 GB</v>
      </c>
    </row>
    <row r="1567" spans="1:19">
      <c r="A1567" t="str">
        <f>LEFT(B1567, LEN(B1567)-15)</f>
        <v>Lenovo V15 ITL G2 (82KB00EUIN) Laptop (Core i3 11th Gen/4 GB/1 TB/DOS)</v>
      </c>
      <c r="B1567" t="s">
        <v>2237</v>
      </c>
      <c r="C1567" s="1">
        <v>33990</v>
      </c>
      <c r="D1567" s="1">
        <v>182</v>
      </c>
      <c r="E1567" s="2">
        <v>68</v>
      </c>
      <c r="F1567" s="2" t="str" cm="1">
        <f t="array" ref="F1567">_xlfn.IFS(AND(101&gt;E1567, E1567&gt;69), "Top-Tier", AND(70&gt;E1567, E1567&gt;39), "Mid-Tier", 40&gt;E1567, "Low-Tier")</f>
        <v>Mid-Tier</v>
      </c>
      <c r="G1567" s="4">
        <v>45170</v>
      </c>
      <c r="H1567" t="s">
        <v>2233</v>
      </c>
      <c r="I1567" t="s">
        <v>124</v>
      </c>
      <c r="J1567" t="s">
        <v>542</v>
      </c>
      <c r="K1567" t="s">
        <v>480</v>
      </c>
      <c r="L1567" t="s">
        <v>24</v>
      </c>
      <c r="M1567" t="s">
        <v>52</v>
      </c>
      <c r="N1567" t="s">
        <v>31</v>
      </c>
      <c r="O1567" t="s">
        <v>261</v>
      </c>
      <c r="Q1567" t="str">
        <f>LEFT(B1567, 6)</f>
        <v>Lenovo</v>
      </c>
      <c r="R1567" t="str">
        <f t="shared" si="93"/>
        <v>Intel Core i9 (13th Gen)</v>
      </c>
      <c r="S1567" t="str">
        <f t="shared" si="92"/>
        <v xml:space="preserve">4 GB </v>
      </c>
    </row>
    <row r="1568" spans="1:19">
      <c r="A1568" t="str">
        <f>LEFT(B1568, LEN(B1568)-15)</f>
        <v>Acer Swift Go 14 SFG14-41 (NX.KG3SI.004) Laptop (AMD Hexa Core Ryzen 5/8 GB/512 GB SSD/Windows 11)</v>
      </c>
      <c r="B1568" t="s">
        <v>2238</v>
      </c>
      <c r="C1568" s="1">
        <v>47999</v>
      </c>
      <c r="D1568" s="1">
        <v>5</v>
      </c>
      <c r="E1568" s="2">
        <v>68</v>
      </c>
      <c r="F1568" s="2" t="str" cm="1">
        <f t="array" ref="F1568">_xlfn.IFS(AND(101&gt;E1568, E1568&gt;69), "Top-Tier", AND(70&gt;E1568, E1568&gt;39), "Mid-Tier", 40&gt;E1568, "Low-Tier")</f>
        <v>Mid-Tier</v>
      </c>
      <c r="G1568" s="4">
        <v>44958</v>
      </c>
      <c r="H1568" t="s">
        <v>2233</v>
      </c>
      <c r="I1568" t="s">
        <v>33</v>
      </c>
      <c r="J1568" t="s">
        <v>494</v>
      </c>
      <c r="K1568" t="s">
        <v>354</v>
      </c>
      <c r="L1568" t="s">
        <v>24</v>
      </c>
      <c r="M1568" t="s">
        <v>44</v>
      </c>
      <c r="N1568" t="s">
        <v>31</v>
      </c>
      <c r="P1568" s="3">
        <v>73</v>
      </c>
      <c r="Q1568" t="str">
        <f>LEFT(B1568, 4)</f>
        <v>Acer</v>
      </c>
      <c r="R1568" t="str">
        <f t="shared" si="93"/>
        <v>Intel Core i9 (13th Gen)</v>
      </c>
      <c r="S1568" t="str">
        <f t="shared" si="92"/>
        <v xml:space="preserve">8 GB </v>
      </c>
    </row>
    <row r="1569" spans="1:19">
      <c r="A1569" t="str">
        <f>LEFT(B1569, LEN(B1569)-15)</f>
        <v>Dell Vostro 3425 (D552308WIN9B) Laptop (AMD Quad Core Ryzen 3/8 GB/256 GB SSD/Windows 11)</v>
      </c>
      <c r="B1569" t="s">
        <v>2239</v>
      </c>
      <c r="C1569" s="1">
        <v>31593</v>
      </c>
      <c r="D1569" s="1">
        <v>10</v>
      </c>
      <c r="E1569" s="2">
        <v>68</v>
      </c>
      <c r="F1569" s="2" t="str" cm="1">
        <f t="array" ref="F1569">_xlfn.IFS(AND(101&gt;E1569, E1569&gt;69), "Top-Tier", AND(70&gt;E1569, E1569&gt;39), "Mid-Tier", 40&gt;E1569, "Low-Tier")</f>
        <v>Mid-Tier</v>
      </c>
      <c r="G1569" s="4">
        <v>44927</v>
      </c>
      <c r="H1569" t="s">
        <v>2233</v>
      </c>
      <c r="I1569" t="s">
        <v>33</v>
      </c>
      <c r="J1569" t="s">
        <v>338</v>
      </c>
      <c r="K1569" t="s">
        <v>149</v>
      </c>
      <c r="L1569" t="s">
        <v>24</v>
      </c>
      <c r="M1569" t="s">
        <v>99</v>
      </c>
      <c r="N1569" t="s">
        <v>31</v>
      </c>
      <c r="Q1569" t="str">
        <f>LEFT(B1569, 4)</f>
        <v>Dell</v>
      </c>
      <c r="R1569" t="str">
        <f t="shared" si="93"/>
        <v>Intel Core i9 (13th Gen)</v>
      </c>
      <c r="S1569" t="str">
        <f t="shared" si="92"/>
        <v xml:space="preserve">8 GB </v>
      </c>
    </row>
    <row r="1570" spans="1:19">
      <c r="A1570" t="str">
        <f>LEFT(B1570, LEN(B1570)-15)</f>
        <v>Lenovo V15 (82C700H3IH) Laptop (AMD Dual Core Ryzen 3/4 GB/1 TB/Windows 10)</v>
      </c>
      <c r="B1570" t="s">
        <v>2240</v>
      </c>
      <c r="C1570" s="1">
        <v>30990</v>
      </c>
      <c r="D1570" s="1">
        <v>153</v>
      </c>
      <c r="E1570" s="2">
        <v>68</v>
      </c>
      <c r="F1570" s="2" t="str" cm="1">
        <f t="array" ref="F1570">_xlfn.IFS(AND(101&gt;E1570, E1570&gt;69), "Top-Tier", AND(70&gt;E1570, E1570&gt;39), "Mid-Tier", 40&gt;E1570, "Low-Tier")</f>
        <v>Mid-Tier</v>
      </c>
      <c r="G1570" s="4">
        <v>44866</v>
      </c>
      <c r="H1570" t="s">
        <v>2233</v>
      </c>
      <c r="I1570" t="s">
        <v>248</v>
      </c>
      <c r="J1570" t="s">
        <v>542</v>
      </c>
      <c r="K1570" t="s">
        <v>705</v>
      </c>
      <c r="L1570" t="s">
        <v>24</v>
      </c>
      <c r="M1570" t="s">
        <v>135</v>
      </c>
      <c r="N1570" t="s">
        <v>31</v>
      </c>
      <c r="Q1570" t="str">
        <f>LEFT(B1570, 6)</f>
        <v>Lenovo</v>
      </c>
      <c r="R1570" t="str">
        <f t="shared" si="93"/>
        <v>Intel Core i9 (13th Gen)</v>
      </c>
      <c r="S1570" t="str">
        <f t="shared" si="92"/>
        <v xml:space="preserve">4 GB </v>
      </c>
    </row>
    <row r="1571" spans="1:19">
      <c r="A1571" t="str">
        <f>LEFT(B1571, LEN(B1571)-15)</f>
        <v>Dell G15-5525 (D560896WIN9S) Laptop (AMD Octa Core Ryzen 9/16 GB/1 TB SSD/Windows 11/6 GB)</v>
      </c>
      <c r="B1571" t="s">
        <v>2241</v>
      </c>
      <c r="C1571" s="1">
        <v>84990</v>
      </c>
      <c r="D1571" s="1">
        <v>9</v>
      </c>
      <c r="E1571" s="2">
        <v>68</v>
      </c>
      <c r="F1571" s="2" t="str" cm="1">
        <f t="array" ref="F1571">_xlfn.IFS(AND(101&gt;E1571, E1571&gt;69), "Top-Tier", AND(70&gt;E1571, E1571&gt;39), "Mid-Tier", 40&gt;E1571, "Low-Tier")</f>
        <v>Mid-Tier</v>
      </c>
      <c r="G1571" s="4">
        <v>44835</v>
      </c>
      <c r="H1571" t="s">
        <v>2233</v>
      </c>
      <c r="I1571" t="s">
        <v>33</v>
      </c>
      <c r="J1571" t="s">
        <v>72</v>
      </c>
      <c r="K1571" t="s">
        <v>51</v>
      </c>
      <c r="L1571" t="s">
        <v>24</v>
      </c>
      <c r="N1571" t="s">
        <v>31</v>
      </c>
      <c r="P1571" s="3">
        <v>83</v>
      </c>
      <c r="Q1571" t="str">
        <f>LEFT(B1571, 4)</f>
        <v>Dell</v>
      </c>
      <c r="R1571" t="str">
        <f t="shared" si="93"/>
        <v>Intel Core i9 (13th Gen)</v>
      </c>
      <c r="S1571" t="str">
        <f t="shared" si="92"/>
        <v>16 GB</v>
      </c>
    </row>
    <row r="1572" spans="1:19">
      <c r="A1572" t="str">
        <f>LEFT(B1572, LEN(B1572)-15)</f>
        <v>Lenovo Ideapad Slim 1 15ADA7 (82R1007XIN) Laptop (AMD Dual Core Ryzen 3/8 GB/512 GB SSD/Windows 11)</v>
      </c>
      <c r="B1572" t="s">
        <v>2242</v>
      </c>
      <c r="C1572" s="1">
        <v>30990</v>
      </c>
      <c r="D1572" s="1">
        <v>42</v>
      </c>
      <c r="E1572" s="2">
        <v>68</v>
      </c>
      <c r="F1572" s="2" t="str" cm="1">
        <f t="array" ref="F1572">_xlfn.IFS(AND(101&gt;E1572, E1572&gt;69), "Top-Tier", AND(70&gt;E1572, E1572&gt;39), "Mid-Tier", 40&gt;E1572, "Low-Tier")</f>
        <v>Mid-Tier</v>
      </c>
      <c r="G1572" s="4">
        <v>44743</v>
      </c>
      <c r="H1572" t="s">
        <v>2233</v>
      </c>
      <c r="I1572" t="s">
        <v>33</v>
      </c>
      <c r="J1572" t="s">
        <v>50</v>
      </c>
      <c r="K1572" t="s">
        <v>51</v>
      </c>
      <c r="L1572" t="s">
        <v>24</v>
      </c>
      <c r="M1572" t="s">
        <v>74</v>
      </c>
      <c r="N1572" t="s">
        <v>31</v>
      </c>
      <c r="Q1572" t="str">
        <f>LEFT(B1572, 6)</f>
        <v>Lenovo</v>
      </c>
      <c r="R1572" t="str">
        <f t="shared" si="93"/>
        <v>Intel Core i9 (13th Gen)</v>
      </c>
      <c r="S1572" t="str">
        <f t="shared" si="92"/>
        <v xml:space="preserve">8 GB </v>
      </c>
    </row>
    <row r="1573" spans="1:19">
      <c r="A1573" t="str">
        <f>LEFT(B1573, LEN(B1573)-15)</f>
        <v>Asus ROG Zephyrus G15 GA503RM-HQ111WS Laptop (AMD Octa Core Ryzen 7/16 GB/1 TB SSD/Windows 11/6 GB)</v>
      </c>
      <c r="B1573" t="s">
        <v>2243</v>
      </c>
      <c r="C1573" s="1">
        <v>92990</v>
      </c>
      <c r="D1573" s="1">
        <v>11</v>
      </c>
      <c r="E1573" s="2">
        <v>68</v>
      </c>
      <c r="F1573" s="2" t="str" cm="1">
        <f t="array" ref="F1573">_xlfn.IFS(AND(101&gt;E1573, E1573&gt;69), "Top-Tier", AND(70&gt;E1573, E1573&gt;39), "Mid-Tier", 40&gt;E1573, "Low-Tier")</f>
        <v>Mid-Tier</v>
      </c>
      <c r="G1573" s="4">
        <v>44743</v>
      </c>
      <c r="H1573" t="s">
        <v>2244</v>
      </c>
      <c r="I1573" t="s">
        <v>33</v>
      </c>
      <c r="J1573" t="s">
        <v>72</v>
      </c>
      <c r="K1573" t="s">
        <v>256</v>
      </c>
      <c r="L1573" t="s">
        <v>24</v>
      </c>
      <c r="N1573" t="s">
        <v>31</v>
      </c>
      <c r="P1573" s="3">
        <v>84</v>
      </c>
      <c r="Q1573" t="str">
        <f>LEFT(B1573, 4)</f>
        <v>Asus</v>
      </c>
      <c r="R1573" t="str">
        <f t="shared" si="93"/>
        <v>Intel Core i9 (13th Gen)</v>
      </c>
      <c r="S1573" t="str">
        <f t="shared" si="92"/>
        <v>16 GB</v>
      </c>
    </row>
    <row r="1574" spans="1:19">
      <c r="A1574" t="str">
        <f>LEFT(B1574, LEN(B1574)-15)</f>
        <v>Dell Alienware X14 R1 (D569938WIN9) Laptop (Core i7 12th Gen/16 GB/512 GB SSD/Windows 11/4 GB)</v>
      </c>
      <c r="B1574" t="s">
        <v>2245</v>
      </c>
      <c r="C1574" s="1">
        <v>197635</v>
      </c>
      <c r="D1574" s="1">
        <v>8</v>
      </c>
      <c r="E1574" s="2">
        <v>68</v>
      </c>
      <c r="F1574" s="2" t="str" cm="1">
        <f t="array" ref="F1574">_xlfn.IFS(AND(101&gt;E1574, E1574&gt;69), "Top-Tier", AND(70&gt;E1574, E1574&gt;39), "Mid-Tier", 40&gt;E1574, "Low-Tier")</f>
        <v>Mid-Tier</v>
      </c>
      <c r="G1574" s="4">
        <v>44743</v>
      </c>
      <c r="H1574" t="s">
        <v>2246</v>
      </c>
      <c r="I1574" t="s">
        <v>33</v>
      </c>
      <c r="J1574" t="s">
        <v>121</v>
      </c>
      <c r="K1574" t="s">
        <v>427</v>
      </c>
      <c r="L1574" t="s">
        <v>24</v>
      </c>
      <c r="M1574" t="s">
        <v>105</v>
      </c>
      <c r="N1574" t="s">
        <v>31</v>
      </c>
      <c r="O1574" t="s">
        <v>291</v>
      </c>
      <c r="P1574" s="3">
        <v>83</v>
      </c>
      <c r="Q1574" t="str">
        <f>LEFT(B1574, 4)</f>
        <v>Dell</v>
      </c>
      <c r="R1574" t="str">
        <f t="shared" si="93"/>
        <v>Intel Core i9 (14th Gen)</v>
      </c>
      <c r="S1574" t="str">
        <f t="shared" si="92"/>
        <v>16 GB</v>
      </c>
    </row>
    <row r="1575" spans="1:19">
      <c r="A1575" t="str">
        <f>LEFT(B1575, LEN(B1575)-15)</f>
        <v>Asus VivoBook 15 X515JA-BQ501W Laptop (Core i5 10th Gen/8 GB/1 TB/Windows 11)</v>
      </c>
      <c r="B1575" t="s">
        <v>2247</v>
      </c>
      <c r="C1575" s="1">
        <v>57990</v>
      </c>
      <c r="D1575" s="1">
        <v>99</v>
      </c>
      <c r="E1575" s="2">
        <v>68</v>
      </c>
      <c r="F1575" s="2" t="str" cm="1">
        <f t="array" ref="F1575">_xlfn.IFS(AND(101&gt;E1575, E1575&gt;69), "Top-Tier", AND(70&gt;E1575, E1575&gt;39), "Mid-Tier", 40&gt;E1575, "Low-Tier")</f>
        <v>Mid-Tier</v>
      </c>
      <c r="G1575" s="4">
        <v>44743</v>
      </c>
      <c r="H1575" t="s">
        <v>2246</v>
      </c>
      <c r="I1575" t="s">
        <v>33</v>
      </c>
      <c r="J1575" t="s">
        <v>332</v>
      </c>
      <c r="K1575" t="s">
        <v>51</v>
      </c>
      <c r="L1575" t="s">
        <v>24</v>
      </c>
      <c r="M1575" t="s">
        <v>52</v>
      </c>
      <c r="N1575" t="s">
        <v>31</v>
      </c>
      <c r="Q1575" t="str">
        <f>LEFT(B1575, 4)</f>
        <v>Asus</v>
      </c>
      <c r="R1575" t="str">
        <f t="shared" si="93"/>
        <v>Intel Core i9 (14th Gen)</v>
      </c>
      <c r="S1575" t="str">
        <f t="shared" si="92"/>
        <v xml:space="preserve">8 GB </v>
      </c>
    </row>
    <row r="1576" spans="1:19">
      <c r="A1576" t="str">
        <f>LEFT(B1576, LEN(B1576)-15)</f>
        <v>Asus ROG Strix G16 G615LR-S5190WS Laptop (Core Ultra 9 Series 2 /32 GB/1 TB SSD/Windows 11/12 GB)</v>
      </c>
      <c r="B1576" t="s">
        <v>2248</v>
      </c>
      <c r="C1576" s="1">
        <v>259249</v>
      </c>
      <c r="D1576" s="1">
        <v>3</v>
      </c>
      <c r="E1576" s="2">
        <v>66</v>
      </c>
      <c r="F1576" s="2" t="str" cm="1">
        <f t="array" ref="F1576">_xlfn.IFS(AND(101&gt;E1576, E1576&gt;69), "Top-Tier", AND(70&gt;E1576, E1576&gt;39), "Mid-Tier", 40&gt;E1576, "Low-Tier")</f>
        <v>Mid-Tier</v>
      </c>
      <c r="G1576" s="4">
        <v>45778</v>
      </c>
      <c r="H1576" t="s">
        <v>2249</v>
      </c>
      <c r="I1576" t="s">
        <v>33</v>
      </c>
      <c r="J1576" t="s">
        <v>144</v>
      </c>
      <c r="K1576" t="s">
        <v>117</v>
      </c>
      <c r="L1576" t="s">
        <v>24</v>
      </c>
      <c r="N1576" t="s">
        <v>31</v>
      </c>
      <c r="Q1576" t="str">
        <f>LEFT(B1576, 4)</f>
        <v>Asus</v>
      </c>
      <c r="R1576" t="str">
        <f>LEFT(H1576, 18)</f>
        <v>Intel Core Ultra 5</v>
      </c>
      <c r="S1576" t="str">
        <f t="shared" si="92"/>
        <v>32 GB</v>
      </c>
    </row>
    <row r="1577" spans="1:19">
      <c r="A1577" t="str">
        <f>LEFT(B1577, LEN(B1577)-15)</f>
        <v>HP 15-fc1004AU (AK6C7PA) Laptop (AMD Hexa Core Ryzen 5/8 GB/512 GB SSD/Windows 11)</v>
      </c>
      <c r="B1577" t="s">
        <v>2250</v>
      </c>
      <c r="C1577" s="1">
        <v>42990</v>
      </c>
      <c r="D1577" s="1">
        <v>3</v>
      </c>
      <c r="E1577" s="2">
        <v>66</v>
      </c>
      <c r="F1577" s="2" t="str" cm="1">
        <f t="array" ref="F1577">_xlfn.IFS(AND(101&gt;E1577, E1577&gt;69), "Top-Tier", AND(70&gt;E1577, E1577&gt;39), "Mid-Tier", 40&gt;E1577, "Low-Tier")</f>
        <v>Mid-Tier</v>
      </c>
      <c r="G1577" s="4">
        <v>45566</v>
      </c>
      <c r="H1577" t="s">
        <v>2249</v>
      </c>
      <c r="I1577" t="s">
        <v>33</v>
      </c>
      <c r="J1577" t="s">
        <v>119</v>
      </c>
      <c r="K1577" t="s">
        <v>51</v>
      </c>
      <c r="L1577" t="s">
        <v>24</v>
      </c>
      <c r="M1577" t="s">
        <v>99</v>
      </c>
      <c r="N1577" t="s">
        <v>31</v>
      </c>
      <c r="P1577" s="3">
        <v>80</v>
      </c>
      <c r="Q1577" t="str">
        <f>LEFT(B1577, 2)</f>
        <v>HP</v>
      </c>
      <c r="R1577" t="str">
        <f t="shared" ref="R1577:R1640" si="94">LEFT(H1577, 18)</f>
        <v>Intel Core Ultra 5</v>
      </c>
      <c r="S1577" t="str">
        <f t="shared" si="92"/>
        <v xml:space="preserve">8 GB </v>
      </c>
    </row>
    <row r="1578" spans="1:19">
      <c r="A1578" t="str">
        <f>LEFT(B1578, LEN(B1578)-15)</f>
        <v>Thomson Neo IN-N15V2C4SL128 Laptop (Intel Celeron Dual Core/4 GB/128 GB SSD/Windows 11)</v>
      </c>
      <c r="B1578" t="s">
        <v>2251</v>
      </c>
      <c r="C1578" s="1">
        <v>16990</v>
      </c>
      <c r="D1578" s="1">
        <v>7</v>
      </c>
      <c r="E1578" s="2">
        <v>66</v>
      </c>
      <c r="F1578" s="2" t="str" cm="1">
        <f t="array" ref="F1578">_xlfn.IFS(AND(101&gt;E1578, E1578&gt;69), "Top-Tier", AND(70&gt;E1578, E1578&gt;39), "Mid-Tier", 40&gt;E1578, "Low-Tier")</f>
        <v>Mid-Tier</v>
      </c>
      <c r="G1578" s="4">
        <v>45474</v>
      </c>
      <c r="H1578" t="s">
        <v>2249</v>
      </c>
      <c r="I1578" t="s">
        <v>33</v>
      </c>
      <c r="J1578" t="s">
        <v>2252</v>
      </c>
      <c r="K1578" t="s">
        <v>159</v>
      </c>
      <c r="L1578" t="s">
        <v>24</v>
      </c>
      <c r="N1578" t="s">
        <v>31</v>
      </c>
      <c r="Q1578" t="str">
        <f>LEFT(B1578, 7)</f>
        <v>Thomson</v>
      </c>
      <c r="R1578" t="str">
        <f t="shared" si="94"/>
        <v>Intel Core Ultra 5</v>
      </c>
      <c r="S1578" t="str">
        <f t="shared" si="92"/>
        <v xml:space="preserve">4 GB </v>
      </c>
    </row>
    <row r="1579" spans="1:19">
      <c r="A1579" t="str">
        <f>LEFT(B1579, LEN(B1579)-15)</f>
        <v>Lenovo V15 G2 (82QYA00HIN) Laptop (Intel Celeron Dual Core/8 GB/256 GB SSD/DOS)</v>
      </c>
      <c r="B1579" t="s">
        <v>2253</v>
      </c>
      <c r="C1579" s="1">
        <v>21564</v>
      </c>
      <c r="D1579" s="1">
        <v>27</v>
      </c>
      <c r="E1579" s="2">
        <v>66</v>
      </c>
      <c r="F1579" s="2" t="str" cm="1">
        <f t="array" ref="F1579">_xlfn.IFS(AND(101&gt;E1579, E1579&gt;69), "Top-Tier", AND(70&gt;E1579, E1579&gt;39), "Mid-Tier", 40&gt;E1579, "Low-Tier")</f>
        <v>Mid-Tier</v>
      </c>
      <c r="G1579" s="4">
        <v>45017</v>
      </c>
      <c r="H1579" t="s">
        <v>2249</v>
      </c>
      <c r="I1579" t="s">
        <v>124</v>
      </c>
      <c r="J1579" t="s">
        <v>338</v>
      </c>
      <c r="K1579" t="s">
        <v>159</v>
      </c>
      <c r="L1579" t="s">
        <v>24</v>
      </c>
      <c r="N1579" t="s">
        <v>31</v>
      </c>
      <c r="Q1579" t="str">
        <f>LEFT(B1579, 6)</f>
        <v>Lenovo</v>
      </c>
      <c r="R1579" t="str">
        <f t="shared" si="94"/>
        <v>Intel Core Ultra 5</v>
      </c>
      <c r="S1579" t="str">
        <f t="shared" si="92"/>
        <v xml:space="preserve">8 GB </v>
      </c>
    </row>
    <row r="1580" spans="1:19">
      <c r="A1580" t="str">
        <f>LEFT(B1580, LEN(B1580)-15)</f>
        <v>Lenovo E41-55 (82FJ00B5IH) Laptop (AMD Dual Core Athlon/4 GB/1 TB/DOS)</v>
      </c>
      <c r="B1580" t="s">
        <v>2254</v>
      </c>
      <c r="C1580" s="1">
        <v>18990</v>
      </c>
      <c r="D1580" s="1">
        <v>50</v>
      </c>
      <c r="E1580" s="2">
        <v>66</v>
      </c>
      <c r="F1580" s="2" t="str" cm="1">
        <f t="array" ref="F1580">_xlfn.IFS(AND(101&gt;E1580, E1580&gt;69), "Top-Tier", AND(70&gt;E1580, E1580&gt;39), "Mid-Tier", 40&gt;E1580, "Low-Tier")</f>
        <v>Mid-Tier</v>
      </c>
      <c r="G1580" s="4">
        <v>44896</v>
      </c>
      <c r="H1580" t="s">
        <v>2255</v>
      </c>
      <c r="I1580" t="s">
        <v>124</v>
      </c>
      <c r="J1580" t="s">
        <v>542</v>
      </c>
      <c r="K1580" t="s">
        <v>224</v>
      </c>
      <c r="L1580" t="s">
        <v>24</v>
      </c>
      <c r="M1580" t="s">
        <v>52</v>
      </c>
      <c r="N1580" t="s">
        <v>31</v>
      </c>
      <c r="Q1580" t="str">
        <f>LEFT(B1580, 6)</f>
        <v>Lenovo</v>
      </c>
      <c r="R1580" t="str">
        <f t="shared" si="94"/>
        <v>Intel Core Ultra 5</v>
      </c>
      <c r="S1580" t="str">
        <f t="shared" si="92"/>
        <v xml:space="preserve">4 GB </v>
      </c>
    </row>
    <row r="1581" spans="1:19">
      <c r="A1581" t="str">
        <f>LEFT(B1581, LEN(B1581)-15)</f>
        <v>Lenovo E41-55 (82FJ00B2IH) Laptop (AMD Dual Core Athlon/4 GB/1 TB/DOS)</v>
      </c>
      <c r="B1581" t="s">
        <v>2256</v>
      </c>
      <c r="C1581" s="1">
        <v>18990</v>
      </c>
      <c r="D1581" s="1">
        <v>17</v>
      </c>
      <c r="E1581" s="2">
        <v>66</v>
      </c>
      <c r="F1581" s="2" t="str" cm="1">
        <f t="array" ref="F1581">_xlfn.IFS(AND(101&gt;E1581, E1581&gt;69), "Top-Tier", AND(70&gt;E1581, E1581&gt;39), "Mid-Tier", 40&gt;E1581, "Low-Tier")</f>
        <v>Mid-Tier</v>
      </c>
      <c r="G1581" s="4">
        <v>44896</v>
      </c>
      <c r="H1581" t="s">
        <v>2255</v>
      </c>
      <c r="I1581" t="s">
        <v>124</v>
      </c>
      <c r="J1581" t="s">
        <v>542</v>
      </c>
      <c r="K1581" t="s">
        <v>224</v>
      </c>
      <c r="L1581" t="s">
        <v>24</v>
      </c>
      <c r="M1581" t="s">
        <v>52</v>
      </c>
      <c r="N1581" t="s">
        <v>31</v>
      </c>
      <c r="Q1581" t="str">
        <f>LEFT(B1581, 6)</f>
        <v>Lenovo</v>
      </c>
      <c r="R1581" t="str">
        <f t="shared" si="94"/>
        <v>Intel Core Ultra 5</v>
      </c>
      <c r="S1581" t="str">
        <f t="shared" si="92"/>
        <v xml:space="preserve">4 GB </v>
      </c>
    </row>
    <row r="1582" spans="1:19">
      <c r="A1582" t="str">
        <f>LEFT(B1582, LEN(B1582)-15)</f>
        <v>Dell Inspiron 15 3511 (D560593WIN9SE) Laptop (Core i3 10th Gen/8 GB/1 TB/Windows 10)</v>
      </c>
      <c r="B1582" t="s">
        <v>2257</v>
      </c>
      <c r="C1582" s="1">
        <v>42003</v>
      </c>
      <c r="D1582" s="1">
        <v>127</v>
      </c>
      <c r="E1582" s="2">
        <v>66</v>
      </c>
      <c r="F1582" s="2" t="str" cm="1">
        <f t="array" ref="F1582">_xlfn.IFS(AND(101&gt;E1582, E1582&gt;69), "Top-Tier", AND(70&gt;E1582, E1582&gt;39), "Mid-Tier", 40&gt;E1582, "Low-Tier")</f>
        <v>Mid-Tier</v>
      </c>
      <c r="G1582" s="4">
        <v>44866</v>
      </c>
      <c r="H1582" t="s">
        <v>2255</v>
      </c>
      <c r="I1582" t="s">
        <v>248</v>
      </c>
      <c r="J1582" t="s">
        <v>332</v>
      </c>
      <c r="K1582" t="s">
        <v>249</v>
      </c>
      <c r="L1582" t="s">
        <v>24</v>
      </c>
      <c r="M1582" t="s">
        <v>135</v>
      </c>
      <c r="N1582" t="s">
        <v>31</v>
      </c>
      <c r="Q1582" t="str">
        <f>LEFT(B1582, 4)</f>
        <v>Dell</v>
      </c>
      <c r="R1582" t="str">
        <f t="shared" si="94"/>
        <v>Intel Core Ultra 5</v>
      </c>
      <c r="S1582" t="str">
        <f t="shared" si="92"/>
        <v xml:space="preserve">8 GB </v>
      </c>
    </row>
    <row r="1583" spans="1:19">
      <c r="A1583" t="str">
        <f>LEFT(B1583, LEN(B1583)-15)</f>
        <v>Dell Inspiron 15 3511 (D560581WIN9BE) Laptop (Core i3 11th Gen/8 GB/256 GB SSD/Windows 10)</v>
      </c>
      <c r="B1583" t="s">
        <v>2258</v>
      </c>
      <c r="C1583" s="1">
        <v>36990</v>
      </c>
      <c r="D1583" s="1">
        <v>817</v>
      </c>
      <c r="E1583" s="2">
        <v>66</v>
      </c>
      <c r="F1583" s="2" t="str" cm="1">
        <f t="array" ref="F1583">_xlfn.IFS(AND(101&gt;E1583, E1583&gt;69), "Top-Tier", AND(70&gt;E1583, E1583&gt;39), "Mid-Tier", 40&gt;E1583, "Low-Tier")</f>
        <v>Mid-Tier</v>
      </c>
      <c r="G1583" s="4">
        <v>44866</v>
      </c>
      <c r="H1583" t="s">
        <v>2255</v>
      </c>
      <c r="I1583" t="s">
        <v>248</v>
      </c>
      <c r="J1583" t="s">
        <v>338</v>
      </c>
      <c r="K1583" t="s">
        <v>249</v>
      </c>
      <c r="L1583" t="s">
        <v>24</v>
      </c>
      <c r="M1583" t="s">
        <v>135</v>
      </c>
      <c r="N1583" t="s">
        <v>31</v>
      </c>
      <c r="Q1583" t="str">
        <f>LEFT(B1583, 4)</f>
        <v>Dell</v>
      </c>
      <c r="R1583" t="str">
        <f t="shared" si="94"/>
        <v>Intel Core Ultra 5</v>
      </c>
      <c r="S1583" t="str">
        <f t="shared" ref="S1583:S1646" si="95">LEFT(J1583, 5)</f>
        <v xml:space="preserve">8 GB </v>
      </c>
    </row>
    <row r="1584" spans="1:19">
      <c r="A1584" t="str">
        <f>LEFT(B1584, LEN(B1584)-15)</f>
        <v>Lenovo Ideapad Slim 5 14ABA7 (82SE005SIN) Laptop (AMD Hexa Core Ryzen 5/16 GB/512 GB SSD/Windows 11)</v>
      </c>
      <c r="B1584" t="s">
        <v>2259</v>
      </c>
      <c r="C1584" s="1">
        <v>64999</v>
      </c>
      <c r="D1584" s="1">
        <v>3</v>
      </c>
      <c r="E1584" s="2">
        <v>66</v>
      </c>
      <c r="F1584" s="2" t="str" cm="1">
        <f t="array" ref="F1584">_xlfn.IFS(AND(101&gt;E1584, E1584&gt;69), "Top-Tier", AND(70&gt;E1584, E1584&gt;39), "Mid-Tier", 40&gt;E1584, "Low-Tier")</f>
        <v>Mid-Tier</v>
      </c>
      <c r="G1584" s="4">
        <v>44743</v>
      </c>
      <c r="H1584" t="s">
        <v>2255</v>
      </c>
      <c r="I1584" t="s">
        <v>33</v>
      </c>
      <c r="J1584" t="s">
        <v>34</v>
      </c>
      <c r="K1584" t="s">
        <v>149</v>
      </c>
      <c r="L1584" t="s">
        <v>24</v>
      </c>
      <c r="M1584" t="s">
        <v>203</v>
      </c>
      <c r="N1584" t="s">
        <v>31</v>
      </c>
      <c r="P1584" s="3">
        <v>72</v>
      </c>
      <c r="Q1584" t="str">
        <f>LEFT(B1584, 6)</f>
        <v>Lenovo</v>
      </c>
      <c r="R1584" t="str">
        <f t="shared" si="94"/>
        <v>Intel Core Ultra 5</v>
      </c>
      <c r="S1584" t="str">
        <f t="shared" si="95"/>
        <v>16 GB</v>
      </c>
    </row>
    <row r="1585" spans="1:19">
      <c r="A1585" t="str">
        <f>LEFT(B1585, LEN(B1585)-15)</f>
        <v>Lenovo Ideapad Slim 5i (82SF004WIN) Laptop (Core i5 12th Gen/16 GB/512 GB SSD/Windows 11)</v>
      </c>
      <c r="B1585" t="s">
        <v>2260</v>
      </c>
      <c r="C1585" s="1">
        <v>64340</v>
      </c>
      <c r="D1585" s="1">
        <v>3</v>
      </c>
      <c r="E1585" s="2">
        <v>66</v>
      </c>
      <c r="F1585" s="2" t="str" cm="1">
        <f t="array" ref="F1585">_xlfn.IFS(AND(101&gt;E1585, E1585&gt;69), "Top-Tier", AND(70&gt;E1585, E1585&gt;39), "Mid-Tier", 40&gt;E1585, "Low-Tier")</f>
        <v>Mid-Tier</v>
      </c>
      <c r="G1585" s="4">
        <v>44743</v>
      </c>
      <c r="H1585" t="s">
        <v>2261</v>
      </c>
      <c r="I1585" t="s">
        <v>33</v>
      </c>
      <c r="J1585" t="s">
        <v>34</v>
      </c>
      <c r="K1585" t="s">
        <v>51</v>
      </c>
      <c r="L1585" t="s">
        <v>24</v>
      </c>
      <c r="M1585" t="s">
        <v>203</v>
      </c>
      <c r="N1585" t="s">
        <v>31</v>
      </c>
      <c r="P1585" s="3">
        <v>75</v>
      </c>
      <c r="Q1585" t="str">
        <f>LEFT(B1585, 6)</f>
        <v>Lenovo</v>
      </c>
      <c r="R1585" t="str">
        <f t="shared" si="94"/>
        <v>Intel Core Ultra 5</v>
      </c>
      <c r="S1585" t="str">
        <f t="shared" si="95"/>
        <v>16 GB</v>
      </c>
    </row>
    <row r="1586" spans="1:19">
      <c r="A1586" t="str">
        <f>LEFT(B1586, LEN(B1586)-15)</f>
        <v>Asus ROG Zephyrus Duo 16 GX650RMZ-LS019WS Laptop (AMD Octa Core Ryzen 7/32 GB/2 TB SSD/Windows 11/6 GB)</v>
      </c>
      <c r="B1586" t="s">
        <v>2262</v>
      </c>
      <c r="C1586" s="1">
        <v>239999</v>
      </c>
      <c r="D1586" s="1">
        <v>3</v>
      </c>
      <c r="E1586" s="2">
        <v>66</v>
      </c>
      <c r="F1586" s="2" t="str" cm="1">
        <f t="array" ref="F1586">_xlfn.IFS(AND(101&gt;E1586, E1586&gt;69), "Top-Tier", AND(70&gt;E1586, E1586&gt;39), "Mid-Tier", 40&gt;E1586, "Low-Tier")</f>
        <v>Mid-Tier</v>
      </c>
      <c r="G1586" s="4">
        <v>44743</v>
      </c>
      <c r="H1586" t="s">
        <v>2261</v>
      </c>
      <c r="I1586" t="s">
        <v>33</v>
      </c>
      <c r="J1586" t="s">
        <v>172</v>
      </c>
      <c r="K1586" t="s">
        <v>1417</v>
      </c>
      <c r="L1586" t="s">
        <v>24</v>
      </c>
      <c r="M1586" t="s">
        <v>237</v>
      </c>
      <c r="N1586" t="s">
        <v>31</v>
      </c>
      <c r="P1586" s="3">
        <v>86</v>
      </c>
      <c r="Q1586" t="str">
        <f>LEFT(B1586, 4)</f>
        <v>Asus</v>
      </c>
      <c r="R1586" t="str">
        <f t="shared" si="94"/>
        <v>Intel Core Ultra 5</v>
      </c>
      <c r="S1586" t="str">
        <f t="shared" si="95"/>
        <v>32 GB</v>
      </c>
    </row>
    <row r="1587" spans="1:19">
      <c r="A1587" t="str">
        <f>LEFT(B1587, LEN(B1587)-15)</f>
        <v>Acer Extensa EX215-31 (NX.EFTSI.005) Laptop (Intel Pentium Quad Core/4 GB/1 TB/Windows 11)</v>
      </c>
      <c r="B1587" t="s">
        <v>2263</v>
      </c>
      <c r="C1587" s="1">
        <v>23999</v>
      </c>
      <c r="D1587" s="1">
        <v>119</v>
      </c>
      <c r="E1587" s="2">
        <v>66</v>
      </c>
      <c r="F1587" s="2" t="str" cm="1">
        <f t="array" ref="F1587">_xlfn.IFS(AND(101&gt;E1587, E1587&gt;69), "Top-Tier", AND(70&gt;E1587, E1587&gt;39), "Mid-Tier", 40&gt;E1587, "Low-Tier")</f>
        <v>Mid-Tier</v>
      </c>
      <c r="G1587" s="4">
        <v>44713</v>
      </c>
      <c r="H1587" t="s">
        <v>2264</v>
      </c>
      <c r="I1587" t="s">
        <v>33</v>
      </c>
      <c r="J1587" t="s">
        <v>542</v>
      </c>
      <c r="K1587" t="s">
        <v>51</v>
      </c>
      <c r="L1587" t="s">
        <v>24</v>
      </c>
      <c r="M1587" t="s">
        <v>52</v>
      </c>
      <c r="N1587" t="s">
        <v>31</v>
      </c>
      <c r="Q1587" t="str">
        <f>LEFT(B1587, 4)</f>
        <v>Acer</v>
      </c>
      <c r="R1587" t="str">
        <f t="shared" si="94"/>
        <v>Intel Core Ultra 5</v>
      </c>
      <c r="S1587" t="str">
        <f t="shared" si="95"/>
        <v xml:space="preserve">4 GB </v>
      </c>
    </row>
    <row r="1588" spans="1:19">
      <c r="A1588" t="str">
        <f>LEFT(B1588, LEN(B1588)-15)</f>
        <v>Asus Vivobook Go 15 X1500KA-EJ021W Laptop (Intel Celeron Dual Core/8 GB/512 GB SSD/Windows 11)</v>
      </c>
      <c r="B1588" t="s">
        <v>2265</v>
      </c>
      <c r="C1588" s="1">
        <v>26990</v>
      </c>
      <c r="D1588" s="1">
        <v>4</v>
      </c>
      <c r="E1588" s="2">
        <v>64</v>
      </c>
      <c r="F1588" s="2" t="str" cm="1">
        <f t="array" ref="F1588">_xlfn.IFS(AND(101&gt;E1588, E1588&gt;69), "Top-Tier", AND(70&gt;E1588, E1588&gt;39), "Mid-Tier", 40&gt;E1588, "Low-Tier")</f>
        <v>Mid-Tier</v>
      </c>
      <c r="G1588" s="4">
        <v>45597</v>
      </c>
      <c r="H1588" t="s">
        <v>2264</v>
      </c>
      <c r="I1588" t="s">
        <v>33</v>
      </c>
      <c r="J1588" t="s">
        <v>50</v>
      </c>
      <c r="K1588" t="s">
        <v>51</v>
      </c>
      <c r="L1588" t="s">
        <v>24</v>
      </c>
      <c r="M1588" t="s">
        <v>842</v>
      </c>
      <c r="N1588" t="s">
        <v>31</v>
      </c>
      <c r="Q1588" t="str">
        <f>LEFT(B1588, 4)</f>
        <v>Asus</v>
      </c>
      <c r="R1588" t="str">
        <f t="shared" si="94"/>
        <v>Intel Core Ultra 5</v>
      </c>
      <c r="S1588" t="str">
        <f t="shared" si="95"/>
        <v xml:space="preserve">8 GB </v>
      </c>
    </row>
    <row r="1589" spans="1:19">
      <c r="A1589" t="str">
        <f>LEFT(B1589, LEN(B1589)-15)</f>
        <v>HP 15-fc0156AU (9D3N4PA) Laptop (AMD Quad Core Ryzen 5/16 GB/512 GB SSD/Windows 11)</v>
      </c>
      <c r="B1589" t="s">
        <v>2266</v>
      </c>
      <c r="C1589" s="1">
        <v>41700</v>
      </c>
      <c r="D1589" s="1">
        <v>13</v>
      </c>
      <c r="E1589" s="2">
        <v>64</v>
      </c>
      <c r="F1589" s="2" t="str" cm="1">
        <f t="array" ref="F1589">_xlfn.IFS(AND(101&gt;E1589, E1589&gt;69), "Top-Tier", AND(70&gt;E1589, E1589&gt;39), "Mid-Tier", 40&gt;E1589, "Low-Tier")</f>
        <v>Mid-Tier</v>
      </c>
      <c r="G1589" s="4">
        <v>45444</v>
      </c>
      <c r="H1589" t="s">
        <v>2264</v>
      </c>
      <c r="I1589" t="s">
        <v>33</v>
      </c>
      <c r="J1589" t="s">
        <v>121</v>
      </c>
      <c r="K1589" t="s">
        <v>51</v>
      </c>
      <c r="L1589" t="s">
        <v>24</v>
      </c>
      <c r="M1589" t="s">
        <v>99</v>
      </c>
      <c r="N1589" t="s">
        <v>31</v>
      </c>
      <c r="P1589" s="3">
        <v>77</v>
      </c>
      <c r="Q1589" t="str">
        <f>LEFT(B1589, 2)</f>
        <v>HP</v>
      </c>
      <c r="R1589" t="str">
        <f t="shared" si="94"/>
        <v>Intel Core Ultra 5</v>
      </c>
      <c r="S1589" t="str">
        <f t="shared" si="95"/>
        <v>16 GB</v>
      </c>
    </row>
    <row r="1590" spans="1:19">
      <c r="A1590" t="str">
        <f>LEFT(B1590, LEN(B1590)-15)</f>
        <v>HP 15-fd0220TU (9D3N0PA) Laptop (Core i5 13th Gen/8 GB/512 GB SSD/Windows 11)</v>
      </c>
      <c r="B1590" t="s">
        <v>2267</v>
      </c>
      <c r="C1590" s="1">
        <v>51490</v>
      </c>
      <c r="D1590" s="1">
        <v>38</v>
      </c>
      <c r="E1590" s="2">
        <v>64</v>
      </c>
      <c r="F1590" s="2" t="str" cm="1">
        <f t="array" ref="F1590">_xlfn.IFS(AND(101&gt;E1590, E1590&gt;69), "Top-Tier", AND(70&gt;E1590, E1590&gt;39), "Mid-Tier", 40&gt;E1590, "Low-Tier")</f>
        <v>Mid-Tier</v>
      </c>
      <c r="G1590" s="4">
        <v>45444</v>
      </c>
      <c r="H1590" t="s">
        <v>2264</v>
      </c>
      <c r="I1590" t="s">
        <v>33</v>
      </c>
      <c r="J1590" t="s">
        <v>50</v>
      </c>
      <c r="K1590" t="s">
        <v>51</v>
      </c>
      <c r="L1590" t="s">
        <v>24</v>
      </c>
      <c r="M1590" t="s">
        <v>99</v>
      </c>
      <c r="N1590" t="s">
        <v>31</v>
      </c>
      <c r="P1590" s="3">
        <v>80</v>
      </c>
      <c r="Q1590" t="str">
        <f>LEFT(B1590, 2)</f>
        <v>HP</v>
      </c>
      <c r="R1590" t="str">
        <f t="shared" si="94"/>
        <v>Intel Core Ultra 5</v>
      </c>
      <c r="S1590" t="str">
        <f t="shared" si="95"/>
        <v xml:space="preserve">8 GB </v>
      </c>
    </row>
    <row r="1591" spans="1:19">
      <c r="A1591" t="str">
        <f>LEFT(B1591, LEN(B1591)-15)</f>
        <v>Lenovo LOQ 15IRX9 (83DV007JIN) Laptop (Core i5 13th Gen/16 GB/512 GB SSD/Windows 11/6 GB)</v>
      </c>
      <c r="B1591" t="s">
        <v>2268</v>
      </c>
      <c r="C1591" s="1">
        <v>78190</v>
      </c>
      <c r="D1591" s="1">
        <v>6</v>
      </c>
      <c r="E1591" s="2">
        <v>64</v>
      </c>
      <c r="F1591" s="2" t="str" cm="1">
        <f t="array" ref="F1591">_xlfn.IFS(AND(101&gt;E1591, E1591&gt;69), "Top-Tier", AND(70&gt;E1591, E1591&gt;39), "Mid-Tier", 40&gt;E1591, "Low-Tier")</f>
        <v>Mid-Tier</v>
      </c>
      <c r="G1591" s="4">
        <v>45292</v>
      </c>
      <c r="H1591" t="s">
        <v>2269</v>
      </c>
      <c r="I1591" t="s">
        <v>33</v>
      </c>
      <c r="J1591" t="s">
        <v>54</v>
      </c>
      <c r="K1591" t="s">
        <v>51</v>
      </c>
      <c r="L1591" t="s">
        <v>24</v>
      </c>
      <c r="P1591" s="3">
        <v>81</v>
      </c>
      <c r="Q1591" t="str">
        <f>LEFT(B1591, 6)</f>
        <v>Lenovo</v>
      </c>
      <c r="R1591" t="str">
        <f t="shared" si="94"/>
        <v>Intel Core Ultra 5</v>
      </c>
      <c r="S1591" t="str">
        <f t="shared" si="95"/>
        <v>16 GB</v>
      </c>
    </row>
    <row r="1592" spans="1:19">
      <c r="A1592" t="str">
        <f>LEFT(B1592, LEN(B1592)-15)</f>
        <v>HP 245 G9 (841W7PA) Laptop (AMD Dual Core Ryzen 3/8 GB/512 GB SSD/DOS)</v>
      </c>
      <c r="B1592" t="s">
        <v>2270</v>
      </c>
      <c r="C1592" s="1">
        <v>28990</v>
      </c>
      <c r="D1592" s="1">
        <v>13</v>
      </c>
      <c r="E1592" s="2">
        <v>64</v>
      </c>
      <c r="F1592" s="2" t="str" cm="1">
        <f t="array" ref="F1592">_xlfn.IFS(AND(101&gt;E1592, E1592&gt;69), "Top-Tier", AND(70&gt;E1592, E1592&gt;39), "Mid-Tier", 40&gt;E1592, "Low-Tier")</f>
        <v>Mid-Tier</v>
      </c>
      <c r="G1592" s="4">
        <v>45231</v>
      </c>
      <c r="H1592" t="s">
        <v>2269</v>
      </c>
      <c r="I1592" t="s">
        <v>124</v>
      </c>
      <c r="J1592" t="s">
        <v>50</v>
      </c>
      <c r="K1592" t="s">
        <v>224</v>
      </c>
      <c r="L1592" t="s">
        <v>24</v>
      </c>
      <c r="M1592" t="s">
        <v>52</v>
      </c>
      <c r="N1592" t="s">
        <v>31</v>
      </c>
      <c r="P1592" s="3">
        <v>71</v>
      </c>
      <c r="Q1592" t="str">
        <f>LEFT(B1592, 2)</f>
        <v>HP</v>
      </c>
      <c r="R1592" t="str">
        <f t="shared" si="94"/>
        <v>Intel Core Ultra 5</v>
      </c>
      <c r="S1592" t="str">
        <f t="shared" si="95"/>
        <v xml:space="preserve">8 GB </v>
      </c>
    </row>
    <row r="1593" spans="1:19">
      <c r="A1593" t="str">
        <f>LEFT(B1593, LEN(B1593)-15)</f>
        <v>HP Envy x360 15-ew0041TU (81C90PA) Laptop (Core i5 12th Gen/16 GB/512 GB SSD/Windows 11)</v>
      </c>
      <c r="B1593" t="s">
        <v>2271</v>
      </c>
      <c r="C1593" s="1">
        <v>79000</v>
      </c>
      <c r="D1593" s="1">
        <v>6</v>
      </c>
      <c r="E1593" s="2">
        <v>64</v>
      </c>
      <c r="F1593" s="2" t="str" cm="1">
        <f t="array" ref="F1593">_xlfn.IFS(AND(101&gt;E1593, E1593&gt;69), "Top-Tier", AND(70&gt;E1593, E1593&gt;39), "Mid-Tier", 40&gt;E1593, "Low-Tier")</f>
        <v>Mid-Tier</v>
      </c>
      <c r="G1593" s="4">
        <v>45108</v>
      </c>
      <c r="H1593" t="s">
        <v>2269</v>
      </c>
      <c r="I1593" t="s">
        <v>33</v>
      </c>
      <c r="J1593" t="s">
        <v>34</v>
      </c>
      <c r="K1593" t="s">
        <v>51</v>
      </c>
      <c r="L1593" t="s">
        <v>24</v>
      </c>
      <c r="M1593" t="s">
        <v>732</v>
      </c>
      <c r="N1593" t="s">
        <v>31</v>
      </c>
      <c r="P1593" s="3">
        <v>80</v>
      </c>
      <c r="Q1593" t="str">
        <f>LEFT(B1593, 2)</f>
        <v>HP</v>
      </c>
      <c r="R1593" t="str">
        <f t="shared" si="94"/>
        <v>Intel Core Ultra 5</v>
      </c>
      <c r="S1593" t="str">
        <f t="shared" si="95"/>
        <v>16 GB</v>
      </c>
    </row>
    <row r="1594" spans="1:19">
      <c r="A1594" t="str">
        <f>LEFT(B1594, LEN(B1594)-15)</f>
        <v>Lenovo IdeaPad 3i ChromeBook (82N4004JHA) Laptop (Intel Celeron Dual Core/8 GB/64 GB eMMC/Google Chrome)</v>
      </c>
      <c r="B1594" t="s">
        <v>2272</v>
      </c>
      <c r="C1594" s="1">
        <v>21990</v>
      </c>
      <c r="D1594" s="1">
        <v>8</v>
      </c>
      <c r="E1594" s="2">
        <v>62</v>
      </c>
      <c r="F1594" s="2" t="str" cm="1">
        <f t="array" ref="F1594">_xlfn.IFS(AND(101&gt;E1594, E1594&gt;69), "Top-Tier", AND(70&gt;E1594, E1594&gt;39), "Mid-Tier", 40&gt;E1594, "Low-Tier")</f>
        <v>Mid-Tier</v>
      </c>
      <c r="G1594" s="4">
        <v>45505</v>
      </c>
      <c r="H1594" t="s">
        <v>2269</v>
      </c>
      <c r="I1594" t="s">
        <v>735</v>
      </c>
      <c r="J1594" t="s">
        <v>736</v>
      </c>
      <c r="K1594" t="s">
        <v>217</v>
      </c>
      <c r="L1594" t="s">
        <v>24</v>
      </c>
      <c r="N1594" t="s">
        <v>31</v>
      </c>
      <c r="Q1594" t="str">
        <f>LEFT(B1594, 6)</f>
        <v>Lenovo</v>
      </c>
      <c r="R1594" t="str">
        <f t="shared" si="94"/>
        <v>Intel Core Ultra 5</v>
      </c>
      <c r="S1594" t="str">
        <f t="shared" si="95"/>
        <v xml:space="preserve">8 GB </v>
      </c>
    </row>
    <row r="1595" spans="1:19">
      <c r="A1595" t="str">
        <f>LEFT(B1595, LEN(B1595)-15)</f>
        <v>HP 240 G8 (4K5D5PA) Laptop (Core i3 11th Gen/8 GB/512 GB SSD/DOS)</v>
      </c>
      <c r="B1595" t="s">
        <v>2273</v>
      </c>
      <c r="C1595" s="1">
        <v>30490</v>
      </c>
      <c r="D1595" s="1">
        <v>16</v>
      </c>
      <c r="E1595" s="2">
        <v>62</v>
      </c>
      <c r="F1595" s="2" t="str" cm="1">
        <f t="array" ref="F1595">_xlfn.IFS(AND(101&gt;E1595, E1595&gt;69), "Top-Tier", AND(70&gt;E1595, E1595&gt;39), "Mid-Tier", 40&gt;E1595, "Low-Tier")</f>
        <v>Mid-Tier</v>
      </c>
      <c r="G1595" s="4">
        <v>44896</v>
      </c>
      <c r="H1595" t="s">
        <v>2269</v>
      </c>
      <c r="I1595" t="s">
        <v>124</v>
      </c>
      <c r="J1595" t="s">
        <v>50</v>
      </c>
      <c r="K1595" t="s">
        <v>224</v>
      </c>
      <c r="L1595" t="s">
        <v>24</v>
      </c>
      <c r="M1595" t="s">
        <v>52</v>
      </c>
      <c r="N1595" t="s">
        <v>31</v>
      </c>
      <c r="Q1595" t="str">
        <f>LEFT(B1595, 2)</f>
        <v>HP</v>
      </c>
      <c r="R1595" t="str">
        <f t="shared" si="94"/>
        <v>Intel Core Ultra 5</v>
      </c>
      <c r="S1595" t="str">
        <f t="shared" si="95"/>
        <v xml:space="preserve">8 GB </v>
      </c>
    </row>
    <row r="1596" spans="1:19">
      <c r="A1596" t="str">
        <f>LEFT(B1596, LEN(B1596)-15)</f>
        <v>HP 15-fd0468TU (B61ZJPA) Laptop (Core i7/16 GB/512 GB SSD/Windows 11)</v>
      </c>
      <c r="B1596" t="s">
        <v>2274</v>
      </c>
      <c r="C1596" s="1">
        <v>68490</v>
      </c>
      <c r="D1596" s="1">
        <v>9</v>
      </c>
      <c r="E1596" s="2">
        <v>60</v>
      </c>
      <c r="F1596" s="2" t="str" cm="1">
        <f t="array" ref="F1596">_xlfn.IFS(AND(101&gt;E1596, E1596&gt;69), "Top-Tier", AND(70&gt;E1596, E1596&gt;39), "Mid-Tier", 40&gt;E1596, "Low-Tier")</f>
        <v>Mid-Tier</v>
      </c>
      <c r="G1596" s="4">
        <v>45658</v>
      </c>
      <c r="H1596" t="s">
        <v>2269</v>
      </c>
      <c r="I1596" t="s">
        <v>33</v>
      </c>
      <c r="J1596" t="s">
        <v>34</v>
      </c>
      <c r="K1596" t="s">
        <v>51</v>
      </c>
      <c r="L1596" t="s">
        <v>24</v>
      </c>
      <c r="M1596" t="s">
        <v>99</v>
      </c>
      <c r="N1596" t="s">
        <v>31</v>
      </c>
      <c r="P1596" s="3">
        <v>81</v>
      </c>
      <c r="Q1596" t="str">
        <f>LEFT(B1596, 2)</f>
        <v>HP</v>
      </c>
      <c r="R1596" t="str">
        <f t="shared" si="94"/>
        <v>Intel Core Ultra 5</v>
      </c>
      <c r="S1596" t="str">
        <f t="shared" si="95"/>
        <v>16 GB</v>
      </c>
    </row>
    <row r="1597" spans="1:19">
      <c r="A1597" t="str">
        <f>LEFT(B1597, LEN(B1597)-15)</f>
        <v>HP Spectre x360 16-aa0665TU (9T8K8PA) Laptop (Intel Core Ultra 7/32 GB/2 TB SSD/Windows 11)</v>
      </c>
      <c r="B1597" t="s">
        <v>2275</v>
      </c>
      <c r="C1597" s="1">
        <v>179235</v>
      </c>
      <c r="D1597" s="1">
        <v>2</v>
      </c>
      <c r="E1597" s="2">
        <v>60</v>
      </c>
      <c r="F1597" s="2" t="str" cm="1">
        <f t="array" ref="F1597">_xlfn.IFS(AND(101&gt;E1597, E1597&gt;69), "Top-Tier", AND(70&gt;E1597, E1597&gt;39), "Mid-Tier", 40&gt;E1597, "Low-Tier")</f>
        <v>Mid-Tier</v>
      </c>
      <c r="G1597" s="4">
        <v>45292</v>
      </c>
      <c r="H1597" t="s">
        <v>2269</v>
      </c>
      <c r="I1597" t="s">
        <v>33</v>
      </c>
      <c r="J1597" t="s">
        <v>80</v>
      </c>
      <c r="K1597" t="s">
        <v>1727</v>
      </c>
      <c r="L1597" t="s">
        <v>24</v>
      </c>
      <c r="M1597" t="s">
        <v>824</v>
      </c>
      <c r="N1597" t="s">
        <v>31</v>
      </c>
      <c r="Q1597" t="str">
        <f>LEFT(B1597, 2)</f>
        <v>HP</v>
      </c>
      <c r="R1597" t="str">
        <f t="shared" si="94"/>
        <v>Intel Core Ultra 5</v>
      </c>
      <c r="S1597" t="str">
        <f t="shared" si="95"/>
        <v>32 GB</v>
      </c>
    </row>
    <row r="1598" spans="1:19">
      <c r="A1598" t="str">
        <f>LEFT(B1598, LEN(B1598)-15)</f>
        <v>Lenovo IdeaPad Slim 3 15IRU8 (82X700F0IN) Laptop (Core i3 13th Gen/8 GB/512 GB SSD/Windows 11)</v>
      </c>
      <c r="B1598" t="s">
        <v>2276</v>
      </c>
      <c r="C1598" s="1">
        <v>36990</v>
      </c>
      <c r="D1598" s="1">
        <v>4</v>
      </c>
      <c r="E1598" s="2">
        <v>60</v>
      </c>
      <c r="F1598" s="2" t="str" cm="1">
        <f t="array" ref="F1598">_xlfn.IFS(AND(101&gt;E1598, E1598&gt;69), "Top-Tier", AND(70&gt;E1598, E1598&gt;39), "Mid-Tier", 40&gt;E1598, "Low-Tier")</f>
        <v>Mid-Tier</v>
      </c>
      <c r="G1598" s="4">
        <v>45717</v>
      </c>
      <c r="H1598" t="s">
        <v>2269</v>
      </c>
      <c r="I1598" t="s">
        <v>33</v>
      </c>
      <c r="J1598" t="s">
        <v>162</v>
      </c>
      <c r="K1598" t="s">
        <v>217</v>
      </c>
      <c r="L1598" t="s">
        <v>24</v>
      </c>
      <c r="M1598" t="s">
        <v>95</v>
      </c>
      <c r="N1598" t="s">
        <v>31</v>
      </c>
      <c r="P1598" s="3">
        <v>78</v>
      </c>
      <c r="Q1598" t="str">
        <f>LEFT(B1598, 6)</f>
        <v>Lenovo</v>
      </c>
      <c r="R1598" t="str">
        <f t="shared" si="94"/>
        <v>Intel Core Ultra 5</v>
      </c>
      <c r="S1598" t="str">
        <f t="shared" si="95"/>
        <v xml:space="preserve">8 GB </v>
      </c>
    </row>
    <row r="1599" spans="1:19">
      <c r="A1599" t="str">
        <f>LEFT(B1599, LEN(B1599)-15)</f>
        <v>Asus Zenbook A14 OLED UX3407QA-QD259WS Laptop (Qualcomm Snapdragon Octa Core/16 GB/512 GB SSD/Windows 11)</v>
      </c>
      <c r="B1599" t="s">
        <v>2277</v>
      </c>
      <c r="C1599" s="1">
        <v>92990</v>
      </c>
      <c r="D1599" s="1">
        <v>6</v>
      </c>
      <c r="E1599" s="2">
        <v>60</v>
      </c>
      <c r="F1599" s="2" t="str" cm="1">
        <f t="array" ref="F1599">_xlfn.IFS(AND(101&gt;E1599, E1599&gt;69), "Top-Tier", AND(70&gt;E1599, E1599&gt;39), "Mid-Tier", 40&gt;E1599, "Low-Tier")</f>
        <v>Mid-Tier</v>
      </c>
      <c r="G1599" s="4">
        <v>45689</v>
      </c>
      <c r="H1599" t="s">
        <v>2269</v>
      </c>
      <c r="I1599" t="s">
        <v>33</v>
      </c>
      <c r="J1599" t="s">
        <v>63</v>
      </c>
      <c r="K1599" t="s">
        <v>59</v>
      </c>
      <c r="L1599" t="s">
        <v>24</v>
      </c>
      <c r="M1599" t="s">
        <v>44</v>
      </c>
      <c r="N1599" t="s">
        <v>31</v>
      </c>
      <c r="P1599" s="3">
        <v>83</v>
      </c>
      <c r="Q1599" t="str">
        <f>LEFT(B1599, 4)</f>
        <v>Asus</v>
      </c>
      <c r="R1599" t="str">
        <f t="shared" si="94"/>
        <v>Intel Core Ultra 5</v>
      </c>
      <c r="S1599" t="str">
        <f t="shared" si="95"/>
        <v>16 GB</v>
      </c>
    </row>
    <row r="1600" spans="1:19">
      <c r="A1600" t="str">
        <f>LEFT(B1600, LEN(B1600)-15)</f>
        <v>Asus ROG Zephyrus G16 GU605MV-CO4711WS Laptop (Core Ultra 7/16 GB/1 TB SSD/Windows 11/8 GB)</v>
      </c>
      <c r="B1600" t="s">
        <v>2278</v>
      </c>
      <c r="C1600" s="1">
        <v>174990</v>
      </c>
      <c r="D1600" s="1">
        <v>2</v>
      </c>
      <c r="E1600" s="2">
        <v>60</v>
      </c>
      <c r="F1600" s="2" t="str" cm="1">
        <f t="array" ref="F1600">_xlfn.IFS(AND(101&gt;E1600, E1600&gt;69), "Top-Tier", AND(70&gt;E1600, E1600&gt;39), "Mid-Tier", 40&gt;E1600, "Low-Tier")</f>
        <v>Mid-Tier</v>
      </c>
      <c r="G1600" s="4">
        <v>45658</v>
      </c>
      <c r="H1600" t="s">
        <v>2269</v>
      </c>
      <c r="I1600" t="s">
        <v>33</v>
      </c>
      <c r="J1600" t="s">
        <v>42</v>
      </c>
      <c r="K1600" t="s">
        <v>2279</v>
      </c>
      <c r="L1600" t="s">
        <v>24</v>
      </c>
      <c r="M1600" t="s">
        <v>708</v>
      </c>
      <c r="N1600" t="s">
        <v>31</v>
      </c>
      <c r="P1600" s="3">
        <v>86</v>
      </c>
      <c r="Q1600" t="str">
        <f>LEFT(B1600, 4)</f>
        <v>Asus</v>
      </c>
      <c r="R1600" t="str">
        <f t="shared" si="94"/>
        <v>Intel Core Ultra 5</v>
      </c>
      <c r="S1600" t="str">
        <f t="shared" si="95"/>
        <v>16 GB</v>
      </c>
    </row>
    <row r="1601" spans="1:19">
      <c r="A1601" t="str">
        <f>LEFT(B1601, LEN(B1601)-15)</f>
        <v>HP Omen 16-wf1150TX (B1UV6PA) Laptop (Core i7 14th Gen/16 GB/1 TB SSD/Windows 11/8 GB)</v>
      </c>
      <c r="B1601" t="s">
        <v>2280</v>
      </c>
      <c r="C1601" s="1">
        <v>118000</v>
      </c>
      <c r="D1601" s="1">
        <v>4</v>
      </c>
      <c r="E1601" s="2">
        <v>60</v>
      </c>
      <c r="F1601" s="2" t="str" cm="1">
        <f t="array" ref="F1601">_xlfn.IFS(AND(101&gt;E1601, E1601&gt;69), "Top-Tier", AND(70&gt;E1601, E1601&gt;39), "Mid-Tier", 40&gt;E1601, "Low-Tier")</f>
        <v>Mid-Tier</v>
      </c>
      <c r="G1601" s="4">
        <v>45597</v>
      </c>
      <c r="H1601" t="s">
        <v>2269</v>
      </c>
      <c r="I1601" t="s">
        <v>33</v>
      </c>
      <c r="J1601" t="s">
        <v>72</v>
      </c>
      <c r="K1601" t="s">
        <v>271</v>
      </c>
      <c r="L1601" t="s">
        <v>24</v>
      </c>
      <c r="N1601" t="s">
        <v>31</v>
      </c>
      <c r="Q1601" t="str">
        <f>LEFT(B1601, 2)</f>
        <v>HP</v>
      </c>
      <c r="R1601" t="str">
        <f t="shared" si="94"/>
        <v>Intel Core Ultra 5</v>
      </c>
      <c r="S1601" t="str">
        <f t="shared" si="95"/>
        <v>16 GB</v>
      </c>
    </row>
    <row r="1602" spans="1:19">
      <c r="A1602" t="str">
        <f>LEFT(B1602, LEN(B1602)-15)</f>
        <v>Asus Vivobook 14 Flip OLED TP3407SA-QL025WS Laptop (Core Ultra 7/16 GB/512 GB SSD/Windows 11)</v>
      </c>
      <c r="B1602" t="s">
        <v>2281</v>
      </c>
      <c r="C1602" s="1">
        <v>108990</v>
      </c>
      <c r="D1602" s="1">
        <v>3</v>
      </c>
      <c r="E1602" s="2">
        <v>60</v>
      </c>
      <c r="F1602" s="2" t="str" cm="1">
        <f t="array" ref="F1602">_xlfn.IFS(AND(101&gt;E1602, E1602&gt;69), "Top-Tier", AND(70&gt;E1602, E1602&gt;39), "Mid-Tier", 40&gt;E1602, "Low-Tier")</f>
        <v>Mid-Tier</v>
      </c>
      <c r="G1602" s="4">
        <v>45689</v>
      </c>
      <c r="H1602" t="s">
        <v>2269</v>
      </c>
      <c r="I1602" t="s">
        <v>33</v>
      </c>
      <c r="J1602" t="s">
        <v>63</v>
      </c>
      <c r="K1602" t="s">
        <v>59</v>
      </c>
      <c r="L1602" t="s">
        <v>24</v>
      </c>
      <c r="M1602" t="s">
        <v>2004</v>
      </c>
      <c r="N1602" t="s">
        <v>31</v>
      </c>
      <c r="Q1602" t="str">
        <f>LEFT(B1602, 4)</f>
        <v>Asus</v>
      </c>
      <c r="R1602" t="str">
        <f t="shared" si="94"/>
        <v>Intel Core Ultra 5</v>
      </c>
      <c r="S1602" t="str">
        <f t="shared" si="95"/>
        <v>16 GB</v>
      </c>
    </row>
    <row r="1603" spans="1:19">
      <c r="A1603" t="str">
        <f>LEFT(B1603, LEN(B1603)-15)</f>
        <v>Lenovo Legion Slim 5 16AHP9 Gen 9 (83DH008HIN) Laptop (AMD Octa Core Ryzen 7/16 GB/1 TB SSD/Windows 11/8 GB)</v>
      </c>
      <c r="B1603" t="s">
        <v>2282</v>
      </c>
      <c r="C1603" s="1">
        <v>142490</v>
      </c>
      <c r="D1603" s="1">
        <v>1</v>
      </c>
      <c r="E1603" s="2">
        <v>60</v>
      </c>
      <c r="F1603" s="2" t="str" cm="1">
        <f t="array" ref="F1603">_xlfn.IFS(AND(101&gt;E1603, E1603&gt;69), "Top-Tier", AND(70&gt;E1603, E1603&gt;39), "Mid-Tier", 40&gt;E1603, "Low-Tier")</f>
        <v>Mid-Tier</v>
      </c>
      <c r="G1603" s="4">
        <v>45658</v>
      </c>
      <c r="H1603" t="s">
        <v>2283</v>
      </c>
      <c r="I1603" t="s">
        <v>33</v>
      </c>
      <c r="J1603" t="s">
        <v>72</v>
      </c>
      <c r="K1603" t="s">
        <v>117</v>
      </c>
      <c r="L1603" t="s">
        <v>24</v>
      </c>
      <c r="M1603" t="s">
        <v>176</v>
      </c>
      <c r="N1603" t="s">
        <v>31</v>
      </c>
      <c r="Q1603" t="str">
        <f>LEFT(B1603, 6)</f>
        <v>Lenovo</v>
      </c>
      <c r="R1603" t="str">
        <f t="shared" si="94"/>
        <v>Intel Core Ultra 7</v>
      </c>
      <c r="S1603" t="str">
        <f t="shared" si="95"/>
        <v>16 GB</v>
      </c>
    </row>
    <row r="1604" spans="1:19">
      <c r="A1604" t="str">
        <f>LEFT(B1604, LEN(B1604)-15)</f>
        <v>Lenovo IdeaPad Pro 5 14IMH9 (83D2004XIN) Laptop (Core Ultra 9/32 GB/1 TB SSD/Windows 11)</v>
      </c>
      <c r="B1604" t="s">
        <v>2284</v>
      </c>
      <c r="C1604" s="1">
        <v>109199</v>
      </c>
      <c r="D1604" s="1">
        <v>1</v>
      </c>
      <c r="E1604" s="2">
        <v>60</v>
      </c>
      <c r="F1604" s="2" t="str" cm="1">
        <f t="array" ref="F1604">_xlfn.IFS(AND(101&gt;E1604, E1604&gt;69), "Top-Tier", AND(70&gt;E1604, E1604&gt;39), "Mid-Tier", 40&gt;E1604, "Low-Tier")</f>
        <v>Mid-Tier</v>
      </c>
      <c r="G1604" s="4">
        <v>45658</v>
      </c>
      <c r="H1604" t="s">
        <v>2283</v>
      </c>
      <c r="I1604" t="s">
        <v>33</v>
      </c>
      <c r="J1604" t="s">
        <v>58</v>
      </c>
      <c r="K1604" t="s">
        <v>81</v>
      </c>
      <c r="L1604" t="s">
        <v>24</v>
      </c>
      <c r="M1604" t="s">
        <v>44</v>
      </c>
      <c r="N1604" t="s">
        <v>31</v>
      </c>
      <c r="Q1604" t="str">
        <f>LEFT(B1604, 6)</f>
        <v>Lenovo</v>
      </c>
      <c r="R1604" t="str">
        <f t="shared" si="94"/>
        <v>Intel Core Ultra 7</v>
      </c>
      <c r="S1604" t="str">
        <f t="shared" si="95"/>
        <v>32 GB</v>
      </c>
    </row>
    <row r="1605" spans="1:19">
      <c r="A1605" t="str">
        <f>LEFT(B1605, LEN(B1605)-15)</f>
        <v>MSI Modern 15 B12MO-1008IN Laptop (Core i3 12th Gen/8 GB/512 GB SSD/Windows 11)</v>
      </c>
      <c r="B1605" t="s">
        <v>2285</v>
      </c>
      <c r="C1605" s="1">
        <v>31990</v>
      </c>
      <c r="D1605" s="1">
        <v>9</v>
      </c>
      <c r="E1605" s="2">
        <v>60</v>
      </c>
      <c r="F1605" s="2" t="str" cm="1">
        <f t="array" ref="F1605">_xlfn.IFS(AND(101&gt;E1605, E1605&gt;69), "Top-Tier", AND(70&gt;E1605, E1605&gt;39), "Mid-Tier", 40&gt;E1605, "Low-Tier")</f>
        <v>Mid-Tier</v>
      </c>
      <c r="G1605" s="4">
        <v>45474</v>
      </c>
      <c r="H1605" t="s">
        <v>2283</v>
      </c>
      <c r="I1605" t="s">
        <v>33</v>
      </c>
      <c r="J1605" t="s">
        <v>50</v>
      </c>
      <c r="K1605" t="s">
        <v>51</v>
      </c>
      <c r="L1605" t="s">
        <v>24</v>
      </c>
      <c r="M1605" t="s">
        <v>52</v>
      </c>
      <c r="N1605" t="s">
        <v>31</v>
      </c>
      <c r="P1605" s="3">
        <v>77</v>
      </c>
      <c r="Q1605" t="str">
        <f>LEFT(B1605, 3)</f>
        <v>MSI</v>
      </c>
      <c r="R1605" t="str">
        <f t="shared" si="94"/>
        <v>Intel Core Ultra 7</v>
      </c>
      <c r="S1605" t="str">
        <f t="shared" si="95"/>
        <v xml:space="preserve">8 GB </v>
      </c>
    </row>
    <row r="1606" spans="1:19">
      <c r="A1606" t="str">
        <f>LEFT(B1606, LEN(B1606)-15)</f>
        <v>Lenovo ThinkBook (20SLA047IH) Laptop (Core i3 10th Gen/4 GB/1 TB/Windows 10)</v>
      </c>
      <c r="B1606" t="s">
        <v>2286</v>
      </c>
      <c r="C1606" s="1">
        <v>36990</v>
      </c>
      <c r="D1606" s="1">
        <v>43</v>
      </c>
      <c r="E1606" s="2">
        <v>60</v>
      </c>
      <c r="F1606" s="2" t="str" cm="1">
        <f t="array" ref="F1606">_xlfn.IFS(AND(101&gt;E1606, E1606&gt;69), "Top-Tier", AND(70&gt;E1606, E1606&gt;39), "Mid-Tier", 40&gt;E1606, "Low-Tier")</f>
        <v>Mid-Tier</v>
      </c>
      <c r="G1606" s="4">
        <v>44166</v>
      </c>
      <c r="H1606" t="s">
        <v>2283</v>
      </c>
      <c r="I1606" t="s">
        <v>248</v>
      </c>
      <c r="J1606" t="s">
        <v>542</v>
      </c>
      <c r="K1606" t="s">
        <v>439</v>
      </c>
      <c r="L1606" t="s">
        <v>24</v>
      </c>
      <c r="M1606" t="s">
        <v>95</v>
      </c>
      <c r="N1606" t="s">
        <v>31</v>
      </c>
      <c r="O1606" t="s">
        <v>152</v>
      </c>
      <c r="Q1606" t="str">
        <f>LEFT(B1606, 6)</f>
        <v>Lenovo</v>
      </c>
      <c r="R1606" t="str">
        <f t="shared" si="94"/>
        <v>Intel Core Ultra 7</v>
      </c>
      <c r="S1606" t="str">
        <f t="shared" si="95"/>
        <v xml:space="preserve">4 GB </v>
      </c>
    </row>
    <row r="1607" spans="1:19">
      <c r="A1607" t="str">
        <f>LEFT(B1607, LEN(B1607)-15)</f>
        <v>Apple MacBook Pro M4 MX2J3HN/A Ultrabook (Apple M4 Pro/24 GB/1 TB SSD/macOS Sequoia)</v>
      </c>
      <c r="B1607" t="s">
        <v>2287</v>
      </c>
      <c r="C1607" s="1">
        <v>229990</v>
      </c>
      <c r="D1607" s="1">
        <v>1</v>
      </c>
      <c r="E1607" s="2">
        <v>60</v>
      </c>
      <c r="F1607" s="2" t="str" cm="1">
        <f t="array" ref="F1607">_xlfn.IFS(AND(101&gt;E1607, E1607&gt;69), "Top-Tier", AND(70&gt;E1607, E1607&gt;39), "Mid-Tier", 40&gt;E1607, "Low-Tier")</f>
        <v>Mid-Tier</v>
      </c>
      <c r="G1607" s="4">
        <v>45597</v>
      </c>
      <c r="H1607" t="s">
        <v>2283</v>
      </c>
      <c r="I1607" t="s">
        <v>21</v>
      </c>
      <c r="J1607" t="s">
        <v>47</v>
      </c>
      <c r="K1607" t="s">
        <v>29</v>
      </c>
      <c r="L1607" t="s">
        <v>24</v>
      </c>
      <c r="M1607" t="s">
        <v>30</v>
      </c>
      <c r="N1607" t="s">
        <v>31</v>
      </c>
      <c r="Q1607" t="str">
        <f>LEFT(B1607, 5)</f>
        <v>Apple</v>
      </c>
      <c r="R1607" t="str">
        <f t="shared" si="94"/>
        <v>Intel Core Ultra 7</v>
      </c>
      <c r="S1607" t="str">
        <f t="shared" si="95"/>
        <v>24 GB</v>
      </c>
    </row>
    <row r="1608" spans="1:19">
      <c r="A1608" t="str">
        <f>LEFT(B1608, LEN(B1608)-15)</f>
        <v>MSI Modern 15 H C13M-218IN Laptop (Core i5 13th Gen/16 GB/512 GB SSD/Windows 11)</v>
      </c>
      <c r="B1608" t="s">
        <v>2288</v>
      </c>
      <c r="C1608" s="1">
        <v>51990</v>
      </c>
      <c r="D1608" s="1">
        <v>1</v>
      </c>
      <c r="E1608" s="2">
        <v>60</v>
      </c>
      <c r="F1608" s="2" t="str" cm="1">
        <f t="array" ref="F1608">_xlfn.IFS(AND(101&gt;E1608, E1608&gt;69), "Top-Tier", AND(70&gt;E1608, E1608&gt;39), "Mid-Tier", 40&gt;E1608, "Low-Tier")</f>
        <v>Mid-Tier</v>
      </c>
      <c r="G1608" s="4">
        <v>45474</v>
      </c>
      <c r="H1608" t="s">
        <v>2283</v>
      </c>
      <c r="I1608" t="s">
        <v>33</v>
      </c>
      <c r="J1608" t="s">
        <v>34</v>
      </c>
      <c r="K1608" t="s">
        <v>51</v>
      </c>
      <c r="L1608" t="s">
        <v>24</v>
      </c>
      <c r="M1608" t="s">
        <v>52</v>
      </c>
      <c r="N1608" t="s">
        <v>31</v>
      </c>
      <c r="P1608" s="3">
        <v>80</v>
      </c>
      <c r="Q1608" t="str">
        <f>LEFT(B1608, 3)</f>
        <v>MSI</v>
      </c>
      <c r="R1608" t="str">
        <f t="shared" si="94"/>
        <v>Intel Core Ultra 7</v>
      </c>
      <c r="S1608" t="str">
        <f t="shared" si="95"/>
        <v>16 GB</v>
      </c>
    </row>
    <row r="1609" spans="1:19">
      <c r="A1609" t="str">
        <f>LEFT(B1609, LEN(B1609)-15)</f>
        <v>Microsoft Surface 7 (ZHH-00048) Laptop (Snapdragon X Elite/16 GB/512 GB SSD/Windows 11)</v>
      </c>
      <c r="B1609" t="s">
        <v>2289</v>
      </c>
      <c r="C1609" s="1">
        <v>159990</v>
      </c>
      <c r="D1609" s="1">
        <v>2</v>
      </c>
      <c r="E1609" s="2">
        <v>60</v>
      </c>
      <c r="F1609" s="2" t="str" cm="1">
        <f t="array" ref="F1609">_xlfn.IFS(AND(101&gt;E1609, E1609&gt;69), "Top-Tier", AND(70&gt;E1609, E1609&gt;39), "Mid-Tier", 40&gt;E1609, "Low-Tier")</f>
        <v>Mid-Tier</v>
      </c>
      <c r="G1609" s="4">
        <v>45474</v>
      </c>
      <c r="H1609" t="s">
        <v>2283</v>
      </c>
      <c r="I1609" t="s">
        <v>33</v>
      </c>
      <c r="J1609" t="s">
        <v>63</v>
      </c>
      <c r="K1609" t="s">
        <v>78</v>
      </c>
      <c r="L1609" t="s">
        <v>24</v>
      </c>
      <c r="P1609" s="3">
        <v>81</v>
      </c>
      <c r="Q1609" t="str">
        <f>LEFT(B1609, 9)</f>
        <v>Microsoft</v>
      </c>
      <c r="R1609" t="str">
        <f t="shared" si="94"/>
        <v>Intel Core Ultra 7</v>
      </c>
      <c r="S1609" t="str">
        <f t="shared" si="95"/>
        <v>16 GB</v>
      </c>
    </row>
    <row r="1610" spans="1:19">
      <c r="A1610" t="str">
        <f>LEFT(B1610, LEN(B1610)-15)</f>
        <v>Asus Zenbook 14 OLED UX3405MA-PZ962WS Laptop (Core Ultra 9/32 GB/1 TB SSD/Windows 11)</v>
      </c>
      <c r="B1610" t="s">
        <v>2290</v>
      </c>
      <c r="C1610" s="1">
        <v>144990</v>
      </c>
      <c r="D1610" s="1">
        <v>5</v>
      </c>
      <c r="E1610" s="2">
        <v>60</v>
      </c>
      <c r="F1610" s="2" t="str" cm="1">
        <f t="array" ref="F1610">_xlfn.IFS(AND(101&gt;E1610, E1610&gt;69), "Top-Tier", AND(70&gt;E1610, E1610&gt;39), "Mid-Tier", 40&gt;E1610, "Low-Tier")</f>
        <v>Mid-Tier</v>
      </c>
      <c r="G1610" s="4">
        <v>45444</v>
      </c>
      <c r="H1610" t="s">
        <v>2291</v>
      </c>
      <c r="I1610" t="s">
        <v>33</v>
      </c>
      <c r="J1610" t="s">
        <v>58</v>
      </c>
      <c r="K1610" t="s">
        <v>81</v>
      </c>
      <c r="L1610" t="s">
        <v>24</v>
      </c>
      <c r="M1610" t="s">
        <v>108</v>
      </c>
      <c r="N1610" t="s">
        <v>31</v>
      </c>
      <c r="P1610" s="3">
        <v>87</v>
      </c>
      <c r="Q1610" t="str">
        <f>LEFT(B1610, 4)</f>
        <v>Asus</v>
      </c>
      <c r="R1610" t="str">
        <f t="shared" si="94"/>
        <v>Intel Core Ultra 7</v>
      </c>
      <c r="S1610" t="str">
        <f t="shared" si="95"/>
        <v>32 GB</v>
      </c>
    </row>
    <row r="1611" spans="1:19">
      <c r="A1611" t="str">
        <f>LEFT(B1611, LEN(B1611)-15)</f>
        <v>Lenovo Ideapad Gaming 3 (82SB00QJIN) Laptop (AMD Hexa Core Ryzen 5/16 GB/512 GB SSD/Windows 11/4 GB)</v>
      </c>
      <c r="B1611" t="s">
        <v>2292</v>
      </c>
      <c r="C1611" s="1">
        <v>56900</v>
      </c>
      <c r="D1611" s="1">
        <v>2</v>
      </c>
      <c r="E1611" s="2">
        <v>60</v>
      </c>
      <c r="F1611" s="2" t="str" cm="1">
        <f t="array" ref="F1611">_xlfn.IFS(AND(101&gt;E1611, E1611&gt;69), "Top-Tier", AND(70&gt;E1611, E1611&gt;39), "Mid-Tier", 40&gt;E1611, "Low-Tier")</f>
        <v>Mid-Tier</v>
      </c>
      <c r="G1611" s="4">
        <v>45200</v>
      </c>
      <c r="H1611" t="s">
        <v>2291</v>
      </c>
      <c r="I1611" t="s">
        <v>33</v>
      </c>
      <c r="J1611" t="s">
        <v>54</v>
      </c>
      <c r="K1611" t="s">
        <v>51</v>
      </c>
      <c r="L1611" t="s">
        <v>24</v>
      </c>
      <c r="N1611" t="s">
        <v>31</v>
      </c>
      <c r="Q1611" t="str">
        <f>LEFT(B1611, 6)</f>
        <v>Lenovo</v>
      </c>
      <c r="R1611" t="str">
        <f t="shared" si="94"/>
        <v>Intel Core Ultra 7</v>
      </c>
      <c r="S1611" t="str">
        <f t="shared" si="95"/>
        <v>16 GB</v>
      </c>
    </row>
    <row r="1612" spans="1:19">
      <c r="A1612" t="str">
        <f>LEFT(B1612, LEN(B1612)-15)</f>
        <v>Lenovo ThinkBook 15 (21DJA04NIH) Laptop (Core i7 12th Gen/16 GB/512 GB SSD/Windows 11)</v>
      </c>
      <c r="B1612" t="s">
        <v>2293</v>
      </c>
      <c r="C1612" s="1">
        <v>67999</v>
      </c>
      <c r="D1612" s="1">
        <v>5</v>
      </c>
      <c r="E1612" s="2">
        <v>60</v>
      </c>
      <c r="F1612" s="2" t="str" cm="1">
        <f t="array" ref="F1612">_xlfn.IFS(AND(101&gt;E1612, E1612&gt;69), "Top-Tier", AND(70&gt;E1612, E1612&gt;39), "Mid-Tier", 40&gt;E1612, "Low-Tier")</f>
        <v>Mid-Tier</v>
      </c>
      <c r="G1612" s="4">
        <v>45200</v>
      </c>
      <c r="H1612" t="s">
        <v>2294</v>
      </c>
      <c r="I1612" t="s">
        <v>33</v>
      </c>
      <c r="J1612" t="s">
        <v>34</v>
      </c>
      <c r="K1612" t="s">
        <v>51</v>
      </c>
      <c r="L1612" t="s">
        <v>24</v>
      </c>
      <c r="M1612" t="s">
        <v>122</v>
      </c>
      <c r="N1612" t="s">
        <v>31</v>
      </c>
      <c r="P1612" s="3">
        <v>79</v>
      </c>
      <c r="Q1612" t="str">
        <f>LEFT(B1612, 6)</f>
        <v>Lenovo</v>
      </c>
      <c r="R1612" t="str">
        <f t="shared" si="94"/>
        <v>Intel Core Ultra 7</v>
      </c>
      <c r="S1612" t="str">
        <f t="shared" si="95"/>
        <v>16 GB</v>
      </c>
    </row>
    <row r="1613" spans="1:19">
      <c r="A1613" t="str">
        <f>LEFT(B1613, LEN(B1613)-15)</f>
        <v>MSI Pulse 17 B13VGK-652IN Laptop (Core i9 13th Gen/16 GB/1 TB SSD/Windows 11/8 GB)</v>
      </c>
      <c r="B1613" t="s">
        <v>2295</v>
      </c>
      <c r="C1613" s="1">
        <v>157999</v>
      </c>
      <c r="D1613" s="1">
        <v>4</v>
      </c>
      <c r="E1613" s="2">
        <v>60</v>
      </c>
      <c r="F1613" s="2" t="str" cm="1">
        <f t="array" ref="F1613">_xlfn.IFS(AND(101&gt;E1613, E1613&gt;69), "Top-Tier", AND(70&gt;E1613, E1613&gt;39), "Mid-Tier", 40&gt;E1613, "Low-Tier")</f>
        <v>Mid-Tier</v>
      </c>
      <c r="G1613" s="4">
        <v>45139</v>
      </c>
      <c r="H1613" t="s">
        <v>2294</v>
      </c>
      <c r="I1613" t="s">
        <v>33</v>
      </c>
      <c r="J1613" t="s">
        <v>72</v>
      </c>
      <c r="K1613" t="s">
        <v>565</v>
      </c>
      <c r="L1613" t="s">
        <v>24</v>
      </c>
      <c r="N1613" t="s">
        <v>31</v>
      </c>
      <c r="Q1613" t="str">
        <f>LEFT(B1613, 3)</f>
        <v>MSI</v>
      </c>
      <c r="R1613" t="str">
        <f t="shared" si="94"/>
        <v>Intel Core Ultra 7</v>
      </c>
      <c r="S1613" t="str">
        <f t="shared" si="95"/>
        <v>16 GB</v>
      </c>
    </row>
    <row r="1614" spans="1:19">
      <c r="A1614" t="str">
        <f>LEFT(B1614, LEN(B1614)-15)</f>
        <v>Dell Inspiron 14 5430 (IN54304D6P9M01ORS1) Laptop (Core i7 13th Gen/16 GB/512 GB SSD/Windows 11)</v>
      </c>
      <c r="B1614" t="s">
        <v>2296</v>
      </c>
      <c r="C1614" s="1">
        <v>93990</v>
      </c>
      <c r="D1614" s="1">
        <v>2</v>
      </c>
      <c r="E1614" s="2">
        <v>60</v>
      </c>
      <c r="F1614" s="2" t="str" cm="1">
        <f t="array" ref="F1614">_xlfn.IFS(AND(101&gt;E1614, E1614&gt;69), "Top-Tier", AND(70&gt;E1614, E1614&gt;39), "Mid-Tier", 40&gt;E1614, "Low-Tier")</f>
        <v>Mid-Tier</v>
      </c>
      <c r="G1614" s="4">
        <v>45078</v>
      </c>
      <c r="H1614" t="s">
        <v>2294</v>
      </c>
      <c r="I1614" t="s">
        <v>33</v>
      </c>
      <c r="J1614" t="s">
        <v>121</v>
      </c>
      <c r="K1614" t="s">
        <v>1616</v>
      </c>
      <c r="L1614" t="s">
        <v>24</v>
      </c>
      <c r="N1614" t="s">
        <v>31</v>
      </c>
      <c r="P1614" s="3">
        <v>73</v>
      </c>
      <c r="Q1614" t="str">
        <f>LEFT(B1614, 4)</f>
        <v>Dell</v>
      </c>
      <c r="R1614" t="str">
        <f t="shared" si="94"/>
        <v>Intel Core Ultra 7</v>
      </c>
      <c r="S1614" t="str">
        <f t="shared" si="95"/>
        <v>16 GB</v>
      </c>
    </row>
    <row r="1615" spans="1:19">
      <c r="A1615" t="str">
        <f>LEFT(B1615, LEN(B1615)-15)</f>
        <v>HP ProBook 445 G8 (7K2J9PA) Laptop (AMD Octa Core Ryzen 7/8 GB/512 GB SSD/DOS)</v>
      </c>
      <c r="B1615" t="s">
        <v>2297</v>
      </c>
      <c r="C1615" s="1">
        <v>49990</v>
      </c>
      <c r="D1615" s="1">
        <v>2</v>
      </c>
      <c r="E1615" s="2">
        <v>60</v>
      </c>
      <c r="F1615" s="2" t="str" cm="1">
        <f t="array" ref="F1615">_xlfn.IFS(AND(101&gt;E1615, E1615&gt;69), "Top-Tier", AND(70&gt;E1615, E1615&gt;39), "Mid-Tier", 40&gt;E1615, "Low-Tier")</f>
        <v>Mid-Tier</v>
      </c>
      <c r="G1615" s="4">
        <v>45047</v>
      </c>
      <c r="H1615" t="s">
        <v>2294</v>
      </c>
      <c r="I1615" t="s">
        <v>124</v>
      </c>
      <c r="J1615" t="s">
        <v>50</v>
      </c>
      <c r="K1615" t="s">
        <v>149</v>
      </c>
      <c r="L1615" t="s">
        <v>24</v>
      </c>
      <c r="M1615" t="s">
        <v>52</v>
      </c>
      <c r="N1615" t="s">
        <v>31</v>
      </c>
      <c r="P1615" s="3">
        <v>74</v>
      </c>
      <c r="Q1615" t="str">
        <f>LEFT(B1615, 2)</f>
        <v>HP</v>
      </c>
      <c r="R1615" t="str">
        <f t="shared" si="94"/>
        <v>Intel Core Ultra 7</v>
      </c>
      <c r="S1615" t="str">
        <f t="shared" si="95"/>
        <v xml:space="preserve">8 GB </v>
      </c>
    </row>
    <row r="1616" spans="1:19">
      <c r="A1616" t="str">
        <f>LEFT(B1616, LEN(B1616)-15)</f>
        <v>MSI Katana 17 B13UCXK-256IN Laptop (Core i7 13th Gen/16 GB/512 GB SSD/Windows 11/4 GB)</v>
      </c>
      <c r="B1616" t="s">
        <v>2298</v>
      </c>
      <c r="C1616" s="1">
        <v>69990</v>
      </c>
      <c r="D1616" s="1">
        <v>8</v>
      </c>
      <c r="E1616" s="2">
        <v>60</v>
      </c>
      <c r="F1616" s="2" t="str" cm="1">
        <f t="array" ref="F1616">_xlfn.IFS(AND(101&gt;E1616, E1616&gt;69), "Top-Tier", AND(70&gt;E1616, E1616&gt;39), "Mid-Tier", 40&gt;E1616, "Low-Tier")</f>
        <v>Mid-Tier</v>
      </c>
      <c r="G1616" s="4">
        <v>44958</v>
      </c>
      <c r="H1616" t="s">
        <v>2294</v>
      </c>
      <c r="I1616" t="s">
        <v>33</v>
      </c>
      <c r="J1616" t="s">
        <v>54</v>
      </c>
      <c r="K1616" t="s">
        <v>395</v>
      </c>
      <c r="L1616" t="s">
        <v>24</v>
      </c>
      <c r="N1616" t="s">
        <v>31</v>
      </c>
      <c r="P1616" s="3">
        <v>81</v>
      </c>
      <c r="Q1616" t="str">
        <f>LEFT(B1616, 3)</f>
        <v>MSI</v>
      </c>
      <c r="R1616" t="str">
        <f t="shared" si="94"/>
        <v>Intel Core Ultra 7</v>
      </c>
      <c r="S1616" t="str">
        <f t="shared" si="95"/>
        <v>16 GB</v>
      </c>
    </row>
    <row r="1617" spans="1:19">
      <c r="A1617" t="str">
        <f>LEFT(B1617, LEN(B1617)-15)</f>
        <v>Dell Inspiron 16 7620 (D560906WIN9S) Laptop (Core i7 12th Gen/16 GB/512 GB SSD/Windows 11/2 GB)</v>
      </c>
      <c r="B1617" t="s">
        <v>2299</v>
      </c>
      <c r="C1617" s="1">
        <v>98991</v>
      </c>
      <c r="D1617" s="1">
        <v>8</v>
      </c>
      <c r="E1617" s="2">
        <v>60</v>
      </c>
      <c r="F1617" s="2" t="str" cm="1">
        <f t="array" ref="F1617">_xlfn.IFS(AND(101&gt;E1617, E1617&gt;69), "Top-Tier", AND(70&gt;E1617, E1617&gt;39), "Mid-Tier", 40&gt;E1617, "Low-Tier")</f>
        <v>Mid-Tier</v>
      </c>
      <c r="G1617" s="4">
        <v>44835</v>
      </c>
      <c r="H1617" t="s">
        <v>2294</v>
      </c>
      <c r="I1617" t="s">
        <v>33</v>
      </c>
      <c r="J1617" t="s">
        <v>34</v>
      </c>
      <c r="K1617" t="s">
        <v>1110</v>
      </c>
      <c r="L1617" t="s">
        <v>24</v>
      </c>
      <c r="M1617" t="s">
        <v>74</v>
      </c>
      <c r="N1617" t="s">
        <v>31</v>
      </c>
      <c r="P1617" s="3">
        <v>78</v>
      </c>
      <c r="Q1617" t="str">
        <f>LEFT(B1617, 4)</f>
        <v>Dell</v>
      </c>
      <c r="R1617" t="str">
        <f t="shared" si="94"/>
        <v>Intel Core Ultra 7</v>
      </c>
      <c r="S1617" t="str">
        <f t="shared" si="95"/>
        <v>16 GB</v>
      </c>
    </row>
    <row r="1618" spans="1:19">
      <c r="A1618" t="str">
        <f>LEFT(B1618, LEN(B1618)-15)</f>
        <v>Dell XPS 13 9315 (D560076WIN9S) Laptop (Core i5 12th Gen/16 GB/512 GB SSD/Windows 11)</v>
      </c>
      <c r="B1618" t="s">
        <v>2300</v>
      </c>
      <c r="C1618" s="1">
        <v>129999</v>
      </c>
      <c r="D1618" s="1">
        <v>1</v>
      </c>
      <c r="E1618" s="2">
        <v>60</v>
      </c>
      <c r="F1618" s="2" t="str" cm="1">
        <f t="array" ref="F1618">_xlfn.IFS(AND(101&gt;E1618, E1618&gt;69), "Top-Tier", AND(70&gt;E1618, E1618&gt;39), "Mid-Tier", 40&gt;E1618, "Low-Tier")</f>
        <v>Mid-Tier</v>
      </c>
      <c r="G1618" s="4">
        <v>44805</v>
      </c>
      <c r="H1618" t="s">
        <v>2294</v>
      </c>
      <c r="I1618" t="s">
        <v>33</v>
      </c>
      <c r="J1618" t="s">
        <v>214</v>
      </c>
      <c r="K1618" t="s">
        <v>243</v>
      </c>
      <c r="L1618" t="s">
        <v>24</v>
      </c>
      <c r="M1618" t="s">
        <v>2301</v>
      </c>
      <c r="P1618" s="3">
        <v>78</v>
      </c>
      <c r="Q1618" t="str">
        <f>LEFT(B1618, 4)</f>
        <v>Dell</v>
      </c>
      <c r="R1618" t="str">
        <f t="shared" si="94"/>
        <v>Intel Core Ultra 7</v>
      </c>
      <c r="S1618" t="str">
        <f t="shared" si="95"/>
        <v>16 GB</v>
      </c>
    </row>
    <row r="1619" spans="1:19">
      <c r="A1619" t="str">
        <f>LEFT(B1619, LEN(B1619)-15)</f>
        <v>Asus ProArt Studiobook Pro 16 OLED H7600ZW-L911WS Laptop (Core i9 12th Gen/32 GB/1 TB SSD/Windows 11/8 GB)</v>
      </c>
      <c r="B1619" t="s">
        <v>2302</v>
      </c>
      <c r="C1619" s="1">
        <v>161991</v>
      </c>
      <c r="D1619" s="1">
        <v>2</v>
      </c>
      <c r="E1619" s="2">
        <v>60</v>
      </c>
      <c r="F1619" s="2" t="str" cm="1">
        <f t="array" ref="F1619">_xlfn.IFS(AND(101&gt;E1619, E1619&gt;69), "Top-Tier", AND(70&gt;E1619, E1619&gt;39), "Mid-Tier", 40&gt;E1619, "Low-Tier")</f>
        <v>Mid-Tier</v>
      </c>
      <c r="G1619" s="4">
        <v>44774</v>
      </c>
      <c r="H1619" t="s">
        <v>2294</v>
      </c>
      <c r="I1619" t="s">
        <v>33</v>
      </c>
      <c r="J1619" t="s">
        <v>144</v>
      </c>
      <c r="K1619" t="s">
        <v>266</v>
      </c>
      <c r="L1619" t="s">
        <v>24</v>
      </c>
      <c r="M1619" t="s">
        <v>237</v>
      </c>
      <c r="N1619" t="s">
        <v>31</v>
      </c>
      <c r="Q1619" t="str">
        <f>LEFT(B1619, 4)</f>
        <v>Asus</v>
      </c>
      <c r="R1619" t="str">
        <f t="shared" si="94"/>
        <v>Intel Core Ultra 7</v>
      </c>
      <c r="S1619" t="str">
        <f t="shared" si="95"/>
        <v>32 GB</v>
      </c>
    </row>
    <row r="1620" spans="1:19">
      <c r="A1620" t="str">
        <f>LEFT(B1620, LEN(B1620)-15)</f>
        <v>HP Omen 16-n0054AX (6J390PA) Laptop (AMD Octa Core Ryzen 7/16 GB/1 TB SSD/Windows 11/6 GB)</v>
      </c>
      <c r="B1620" t="s">
        <v>2303</v>
      </c>
      <c r="C1620" s="1">
        <v>114900</v>
      </c>
      <c r="D1620" s="1">
        <v>1</v>
      </c>
      <c r="E1620" s="2">
        <v>60</v>
      </c>
      <c r="F1620" s="2" t="str" cm="1">
        <f t="array" ref="F1620">_xlfn.IFS(AND(101&gt;E1620, E1620&gt;69), "Top-Tier", AND(70&gt;E1620, E1620&gt;39), "Mid-Tier", 40&gt;E1620, "Low-Tier")</f>
        <v>Mid-Tier</v>
      </c>
      <c r="G1620" s="4">
        <v>44774</v>
      </c>
      <c r="H1620" t="s">
        <v>2294</v>
      </c>
      <c r="I1620" t="s">
        <v>33</v>
      </c>
      <c r="J1620" t="s">
        <v>72</v>
      </c>
      <c r="K1620" t="s">
        <v>271</v>
      </c>
      <c r="L1620" t="s">
        <v>24</v>
      </c>
      <c r="N1620" t="s">
        <v>31</v>
      </c>
      <c r="P1620" s="3">
        <v>85</v>
      </c>
      <c r="Q1620" t="str">
        <f>LEFT(B1620, 2)</f>
        <v>HP</v>
      </c>
      <c r="R1620" t="str">
        <f t="shared" si="94"/>
        <v>Intel Core Ultra 7</v>
      </c>
      <c r="S1620" t="str">
        <f t="shared" si="95"/>
        <v>16 GB</v>
      </c>
    </row>
    <row r="1621" spans="1:19">
      <c r="A1621" t="str">
        <f>LEFT(B1621, LEN(B1621)-15)</f>
        <v>Asus ROG Zephyrus M16 GU603ZM-K8034WS Laptop (Core i7 12th Gen/16 GB/512 GB SSD/Windows 11/6 GB)</v>
      </c>
      <c r="B1621" t="s">
        <v>2304</v>
      </c>
      <c r="C1621" s="1">
        <v>159990</v>
      </c>
      <c r="D1621" s="1">
        <v>1</v>
      </c>
      <c r="E1621" s="2">
        <v>60</v>
      </c>
      <c r="F1621" s="2" t="str" cm="1">
        <f t="array" ref="F1621">_xlfn.IFS(AND(101&gt;E1621, E1621&gt;69), "Top-Tier", AND(70&gt;E1621, E1621&gt;39), "Mid-Tier", 40&gt;E1621, "Low-Tier")</f>
        <v>Mid-Tier</v>
      </c>
      <c r="G1621" s="4">
        <v>44774</v>
      </c>
      <c r="H1621" t="s">
        <v>2294</v>
      </c>
      <c r="I1621" t="s">
        <v>33</v>
      </c>
      <c r="J1621" t="s">
        <v>54</v>
      </c>
      <c r="K1621" t="s">
        <v>117</v>
      </c>
      <c r="L1621" t="s">
        <v>24</v>
      </c>
      <c r="M1621" t="s">
        <v>253</v>
      </c>
      <c r="N1621" t="s">
        <v>31</v>
      </c>
      <c r="P1621" s="3">
        <v>85</v>
      </c>
      <c r="Q1621" t="str">
        <f>LEFT(B1621, 4)</f>
        <v>Asus</v>
      </c>
      <c r="R1621" t="str">
        <f t="shared" si="94"/>
        <v>Intel Core Ultra 7</v>
      </c>
      <c r="S1621" t="str">
        <f t="shared" si="95"/>
        <v>16 GB</v>
      </c>
    </row>
    <row r="1622" spans="1:19">
      <c r="A1622" t="str">
        <f>LEFT(B1622, LEN(B1622)-15)</f>
        <v>Asus ROG Strix Scar 15 G533ZXZ-LN116WS Laptop (Core i9 12th Gen/32 GB/1 TB SSD/Windows 11/16 GB)</v>
      </c>
      <c r="B1622" t="s">
        <v>2305</v>
      </c>
      <c r="C1622" s="1">
        <v>166220</v>
      </c>
      <c r="D1622" s="1">
        <v>4</v>
      </c>
      <c r="E1622" s="2">
        <v>60</v>
      </c>
      <c r="F1622" s="2" t="str" cm="1">
        <f t="array" ref="F1622">_xlfn.IFS(AND(101&gt;E1622, E1622&gt;69), "Top-Tier", AND(70&gt;E1622, E1622&gt;39), "Mid-Tier", 40&gt;E1622, "Low-Tier")</f>
        <v>Mid-Tier</v>
      </c>
      <c r="G1622" s="4">
        <v>44774</v>
      </c>
      <c r="H1622" t="s">
        <v>2294</v>
      </c>
      <c r="I1622" t="s">
        <v>33</v>
      </c>
      <c r="J1622" t="s">
        <v>144</v>
      </c>
      <c r="K1622" t="s">
        <v>252</v>
      </c>
      <c r="N1622" t="s">
        <v>31</v>
      </c>
      <c r="O1622" t="s">
        <v>254</v>
      </c>
      <c r="P1622" s="3">
        <v>87</v>
      </c>
      <c r="Q1622" t="str">
        <f>LEFT(B1622, 4)</f>
        <v>Asus</v>
      </c>
      <c r="R1622" t="str">
        <f t="shared" si="94"/>
        <v>Intel Core Ultra 7</v>
      </c>
      <c r="S1622" t="str">
        <f t="shared" si="95"/>
        <v>32 GB</v>
      </c>
    </row>
    <row r="1623" spans="1:19">
      <c r="A1623" t="str">
        <f>LEFT(B1623, LEN(B1623)-15)</f>
        <v>Lenovo Yoga Slim 7i Pro Intel Evo (82SV0053IN) Laptop (Core i7 12th Gen/16 GB/512 GB SSD/Windows 11)</v>
      </c>
      <c r="B1623" t="s">
        <v>2306</v>
      </c>
      <c r="C1623" s="1">
        <v>99990</v>
      </c>
      <c r="D1623" s="1">
        <v>11</v>
      </c>
      <c r="E1623" s="2">
        <v>60</v>
      </c>
      <c r="F1623" s="2" t="str" cm="1">
        <f t="array" ref="F1623">_xlfn.IFS(AND(101&gt;E1623, E1623&gt;69), "Top-Tier", AND(70&gt;E1623, E1623&gt;39), "Mid-Tier", 40&gt;E1623, "Low-Tier")</f>
        <v>Mid-Tier</v>
      </c>
      <c r="G1623" s="4">
        <v>44743</v>
      </c>
      <c r="H1623" t="s">
        <v>2294</v>
      </c>
      <c r="I1623" t="s">
        <v>33</v>
      </c>
      <c r="J1623" t="s">
        <v>121</v>
      </c>
      <c r="K1623" t="s">
        <v>1091</v>
      </c>
      <c r="L1623" t="s">
        <v>24</v>
      </c>
      <c r="M1623" t="s">
        <v>232</v>
      </c>
      <c r="P1623" s="3">
        <v>79</v>
      </c>
      <c r="Q1623" t="str">
        <f>LEFT(B1623, 6)</f>
        <v>Lenovo</v>
      </c>
      <c r="R1623" t="str">
        <f t="shared" si="94"/>
        <v>Intel Core Ultra 7</v>
      </c>
      <c r="S1623" t="str">
        <f t="shared" si="95"/>
        <v>16 GB</v>
      </c>
    </row>
    <row r="1624" spans="1:19">
      <c r="A1624" t="str">
        <f>LEFT(B1624, LEN(B1624)-15)</f>
        <v>Asus ROG Zephyrus Duo 16 GX650RXZ-LO227WS Laptop (AMD Octa Core Ryzen 9/32 GB/2 TB SSD/Windows 11/16 GB)</v>
      </c>
      <c r="B1624" t="s">
        <v>2307</v>
      </c>
      <c r="C1624" s="1">
        <v>268990</v>
      </c>
      <c r="D1624" s="1">
        <v>1</v>
      </c>
      <c r="E1624" s="2">
        <v>60</v>
      </c>
      <c r="F1624" s="2" t="str" cm="1">
        <f t="array" ref="F1624">_xlfn.IFS(AND(101&gt;E1624, E1624&gt;69), "Top-Tier", AND(70&gt;E1624, E1624&gt;39), "Mid-Tier", 40&gt;E1624, "Low-Tier")</f>
        <v>Mid-Tier</v>
      </c>
      <c r="G1624" s="4">
        <v>44743</v>
      </c>
      <c r="H1624" t="s">
        <v>2294</v>
      </c>
      <c r="I1624" t="s">
        <v>33</v>
      </c>
      <c r="J1624" t="s">
        <v>172</v>
      </c>
      <c r="K1624" t="s">
        <v>547</v>
      </c>
      <c r="L1624" t="s">
        <v>24</v>
      </c>
      <c r="M1624" t="s">
        <v>237</v>
      </c>
      <c r="N1624" t="s">
        <v>31</v>
      </c>
      <c r="P1624" s="3">
        <v>87</v>
      </c>
      <c r="Q1624" t="str">
        <f>LEFT(B1624, 4)</f>
        <v>Asus</v>
      </c>
      <c r="R1624" t="str">
        <f t="shared" si="94"/>
        <v>Intel Core Ultra 7</v>
      </c>
      <c r="S1624" t="str">
        <f t="shared" si="95"/>
        <v>32 GB</v>
      </c>
    </row>
    <row r="1625" spans="1:19">
      <c r="A1625" t="str">
        <f>LEFT(B1625, LEN(B1625)-15)</f>
        <v>Asus ROG Zephyrus G14 GA402RK-L8147WS Laptop (AMD Octa Core Ryzen 9/32 GB/1 TB SSD/Windows 11/8 GB)</v>
      </c>
      <c r="B1625" t="s">
        <v>2308</v>
      </c>
      <c r="C1625" s="1">
        <v>121990</v>
      </c>
      <c r="D1625" s="1">
        <v>3</v>
      </c>
      <c r="E1625" s="2">
        <v>60</v>
      </c>
      <c r="F1625" s="2" t="str" cm="1">
        <f t="array" ref="F1625">_xlfn.IFS(AND(101&gt;E1625, E1625&gt;69), "Top-Tier", AND(70&gt;E1625, E1625&gt;39), "Mid-Tier", 40&gt;E1625, "Low-Tier")</f>
        <v>Mid-Tier</v>
      </c>
      <c r="G1625" s="4">
        <v>44743</v>
      </c>
      <c r="H1625" t="s">
        <v>2294</v>
      </c>
      <c r="I1625" t="s">
        <v>33</v>
      </c>
      <c r="J1625" t="s">
        <v>144</v>
      </c>
      <c r="K1625" t="s">
        <v>221</v>
      </c>
      <c r="L1625" t="s">
        <v>24</v>
      </c>
      <c r="N1625" t="s">
        <v>31</v>
      </c>
      <c r="P1625" s="3">
        <v>84</v>
      </c>
      <c r="Q1625" t="str">
        <f>LEFT(B1625, 4)</f>
        <v>Asus</v>
      </c>
      <c r="R1625" t="str">
        <f t="shared" si="94"/>
        <v>Intel Core Ultra 7</v>
      </c>
      <c r="S1625" t="str">
        <f t="shared" si="95"/>
        <v>32 GB</v>
      </c>
    </row>
    <row r="1626" spans="1:19">
      <c r="A1626" t="str">
        <f>LEFT(B1626, LEN(B1626)-15)</f>
        <v>Asus ROG Strix G17 G713RS-LL023WS Laptop (AMD Octa Core Ryzen 9/16 GB/1 TB SSD/Windows 11/8 GB)</v>
      </c>
      <c r="B1626" t="s">
        <v>2309</v>
      </c>
      <c r="C1626" s="1">
        <v>210990</v>
      </c>
      <c r="D1626" s="1">
        <v>4</v>
      </c>
      <c r="E1626" s="2">
        <v>60</v>
      </c>
      <c r="F1626" s="2" t="str" cm="1">
        <f t="array" ref="F1626">_xlfn.IFS(AND(101&gt;E1626, E1626&gt;69), "Top-Tier", AND(70&gt;E1626, E1626&gt;39), "Mid-Tier", 40&gt;E1626, "Low-Tier")</f>
        <v>Mid-Tier</v>
      </c>
      <c r="G1626" s="4">
        <v>44743</v>
      </c>
      <c r="H1626" t="s">
        <v>2294</v>
      </c>
      <c r="I1626" t="s">
        <v>33</v>
      </c>
      <c r="J1626" t="s">
        <v>72</v>
      </c>
      <c r="K1626" t="s">
        <v>226</v>
      </c>
      <c r="L1626" t="s">
        <v>24</v>
      </c>
      <c r="N1626" t="s">
        <v>31</v>
      </c>
      <c r="P1626" s="3">
        <v>84</v>
      </c>
      <c r="Q1626" t="str">
        <f>LEFT(B1626, 4)</f>
        <v>Asus</v>
      </c>
      <c r="R1626" t="str">
        <f t="shared" si="94"/>
        <v>Intel Core Ultra 7</v>
      </c>
      <c r="S1626" t="str">
        <f t="shared" si="95"/>
        <v>16 GB</v>
      </c>
    </row>
    <row r="1627" spans="1:19">
      <c r="A1627" t="str">
        <f>LEFT(B1627, LEN(B1627)-15)</f>
        <v>Acer Aspire 3 A314-22 (NX.HVVSI.007) Laptop (AMD Dual Core Athlon/4 GB/1 TB/Windows 11)</v>
      </c>
      <c r="B1627" t="s">
        <v>2310</v>
      </c>
      <c r="C1627" s="1">
        <v>18999</v>
      </c>
      <c r="D1627" s="1">
        <v>255</v>
      </c>
      <c r="E1627" s="2">
        <v>58</v>
      </c>
      <c r="F1627" s="2" t="str" cm="1">
        <f t="array" ref="F1627">_xlfn.IFS(AND(101&gt;E1627, E1627&gt;69), "Top-Tier", AND(70&gt;E1627, E1627&gt;39), "Mid-Tier", 40&gt;E1627, "Low-Tier")</f>
        <v>Mid-Tier</v>
      </c>
      <c r="G1627" s="4">
        <v>44774</v>
      </c>
      <c r="H1627" t="s">
        <v>2294</v>
      </c>
      <c r="I1627" t="s">
        <v>33</v>
      </c>
      <c r="J1627" t="s">
        <v>542</v>
      </c>
      <c r="K1627" t="s">
        <v>224</v>
      </c>
      <c r="L1627" t="s">
        <v>24</v>
      </c>
      <c r="M1627" t="s">
        <v>52</v>
      </c>
      <c r="N1627" t="s">
        <v>31</v>
      </c>
      <c r="Q1627" t="str">
        <f>LEFT(B1627, 4)</f>
        <v>Acer</v>
      </c>
      <c r="R1627" t="str">
        <f t="shared" si="94"/>
        <v>Intel Core Ultra 7</v>
      </c>
      <c r="S1627" t="str">
        <f t="shared" si="95"/>
        <v xml:space="preserve">4 GB </v>
      </c>
    </row>
    <row r="1628" spans="1:19">
      <c r="A1628" t="str">
        <f>LEFT(B1628, LEN(B1628)-15)</f>
        <v>Asus Vivobook S 14 Flip TP3402VAO-LZ612WS Laptop (Core i5 13th Gen/16 GB/512 GB SSD/Windows 11)</v>
      </c>
      <c r="B1628" t="s">
        <v>2311</v>
      </c>
      <c r="C1628" s="1">
        <v>69990</v>
      </c>
      <c r="D1628" s="1">
        <v>5</v>
      </c>
      <c r="E1628" s="2">
        <v>56</v>
      </c>
      <c r="F1628" s="2" t="str" cm="1">
        <f t="array" ref="F1628">_xlfn.IFS(AND(101&gt;E1628, E1628&gt;69), "Top-Tier", AND(70&gt;E1628, E1628&gt;39), "Mid-Tier", 40&gt;E1628, "Low-Tier")</f>
        <v>Mid-Tier</v>
      </c>
      <c r="G1628" s="4">
        <v>45748</v>
      </c>
      <c r="H1628" t="s">
        <v>2294</v>
      </c>
      <c r="I1628" t="s">
        <v>33</v>
      </c>
      <c r="J1628" t="s">
        <v>34</v>
      </c>
      <c r="K1628" t="s">
        <v>94</v>
      </c>
      <c r="L1628" t="s">
        <v>24</v>
      </c>
      <c r="M1628" t="s">
        <v>122</v>
      </c>
      <c r="N1628" t="s">
        <v>31</v>
      </c>
      <c r="P1628" s="3">
        <v>73</v>
      </c>
      <c r="Q1628" t="str">
        <f>LEFT(B1628, 4)</f>
        <v>Asus</v>
      </c>
      <c r="R1628" t="str">
        <f t="shared" si="94"/>
        <v>Intel Core Ultra 7</v>
      </c>
      <c r="S1628" t="str">
        <f t="shared" si="95"/>
        <v>16 GB</v>
      </c>
    </row>
    <row r="1629" spans="1:19">
      <c r="A1629" t="str">
        <f>LEFT(B1629, LEN(B1629)-15)</f>
        <v>Asus Vivobook S 14 Flip TP3402VAO-LZ619WS Laptop (Core i5 13th Gen/16 GB/512 GB SSD/Windows 11)</v>
      </c>
      <c r="B1629" t="s">
        <v>2312</v>
      </c>
      <c r="C1629" s="1">
        <v>69990</v>
      </c>
      <c r="D1629" s="1">
        <v>5</v>
      </c>
      <c r="E1629" s="2">
        <v>56</v>
      </c>
      <c r="F1629" s="2" t="str" cm="1">
        <f t="array" ref="F1629">_xlfn.IFS(AND(101&gt;E1629, E1629&gt;69), "Top-Tier", AND(70&gt;E1629, E1629&gt;39), "Mid-Tier", 40&gt;E1629, "Low-Tier")</f>
        <v>Mid-Tier</v>
      </c>
      <c r="G1629" s="4">
        <v>45748</v>
      </c>
      <c r="H1629" t="s">
        <v>2294</v>
      </c>
      <c r="I1629" t="s">
        <v>33</v>
      </c>
      <c r="J1629" t="s">
        <v>34</v>
      </c>
      <c r="K1629" t="s">
        <v>94</v>
      </c>
      <c r="L1629" t="s">
        <v>24</v>
      </c>
      <c r="M1629" t="s">
        <v>122</v>
      </c>
      <c r="N1629" t="s">
        <v>31</v>
      </c>
      <c r="P1629" s="3">
        <v>73</v>
      </c>
      <c r="Q1629" t="str">
        <f>LEFT(B1629, 4)</f>
        <v>Asus</v>
      </c>
      <c r="R1629" t="str">
        <f t="shared" si="94"/>
        <v>Intel Core Ultra 7</v>
      </c>
      <c r="S1629" t="str">
        <f t="shared" si="95"/>
        <v>16 GB</v>
      </c>
    </row>
    <row r="1630" spans="1:19">
      <c r="A1630" t="str">
        <f>LEFT(B1630, LEN(B1630)-15)</f>
        <v>Thomson Neo 15 IN-N15I512-16GR512 Laptop (Core i5 12th Gen/16 GB/512 GB SSD/Windows 11)</v>
      </c>
      <c r="B1630" t="s">
        <v>2313</v>
      </c>
      <c r="C1630" s="1">
        <v>31330</v>
      </c>
      <c r="D1630" s="1">
        <v>3</v>
      </c>
      <c r="E1630" s="2">
        <v>54</v>
      </c>
      <c r="F1630" s="2" t="str" cm="1">
        <f t="array" ref="F1630">_xlfn.IFS(AND(101&gt;E1630, E1630&gt;69), "Top-Tier", AND(70&gt;E1630, E1630&gt;39), "Mid-Tier", 40&gt;E1630, "Low-Tier")</f>
        <v>Mid-Tier</v>
      </c>
      <c r="G1630" s="4">
        <v>45474</v>
      </c>
      <c r="H1630" t="s">
        <v>2294</v>
      </c>
      <c r="I1630" t="s">
        <v>33</v>
      </c>
      <c r="J1630" t="s">
        <v>1986</v>
      </c>
      <c r="K1630" t="s">
        <v>159</v>
      </c>
      <c r="L1630" t="s">
        <v>24</v>
      </c>
      <c r="M1630" t="s">
        <v>52</v>
      </c>
      <c r="N1630" t="s">
        <v>31</v>
      </c>
      <c r="P1630" s="3">
        <v>74</v>
      </c>
      <c r="Q1630" t="str">
        <f>LEFT(B1630, 7)</f>
        <v>Thomson</v>
      </c>
      <c r="R1630" t="str">
        <f t="shared" si="94"/>
        <v>Intel Core Ultra 7</v>
      </c>
      <c r="S1630" t="str">
        <f t="shared" si="95"/>
        <v>16 GB</v>
      </c>
    </row>
    <row r="1631" spans="1:19">
      <c r="A1631" t="str">
        <f>LEFT(B1631, LEN(B1631)-15)</f>
        <v>Lenovo Thinkpad E14 (20TA00J2IG) Laptop (Core i5 11th Gen/16 GB/512 GB SSD/Windows 11)</v>
      </c>
      <c r="B1631" t="s">
        <v>2314</v>
      </c>
      <c r="C1631" s="1">
        <v>69999</v>
      </c>
      <c r="D1631" s="1">
        <v>3</v>
      </c>
      <c r="E1631" s="2">
        <v>54</v>
      </c>
      <c r="F1631" s="2" t="str" cm="1">
        <f t="array" ref="F1631">_xlfn.IFS(AND(101&gt;E1631, E1631&gt;69), "Top-Tier", AND(70&gt;E1631, E1631&gt;39), "Mid-Tier", 40&gt;E1631, "Low-Tier")</f>
        <v>Mid-Tier</v>
      </c>
      <c r="G1631" s="4">
        <v>45078</v>
      </c>
      <c r="H1631" t="s">
        <v>2294</v>
      </c>
      <c r="I1631" t="s">
        <v>33</v>
      </c>
      <c r="J1631" t="s">
        <v>34</v>
      </c>
      <c r="K1631" t="s">
        <v>149</v>
      </c>
      <c r="L1631" t="s">
        <v>24</v>
      </c>
      <c r="N1631" t="s">
        <v>31</v>
      </c>
      <c r="P1631" s="3">
        <v>71</v>
      </c>
      <c r="Q1631" t="str">
        <f>LEFT(B1631, 6)</f>
        <v>Lenovo</v>
      </c>
      <c r="R1631" t="str">
        <f t="shared" si="94"/>
        <v>Intel Core Ultra 7</v>
      </c>
      <c r="S1631" t="str">
        <f t="shared" si="95"/>
        <v>16 GB</v>
      </c>
    </row>
    <row r="1632" spans="1:19">
      <c r="A1632" t="str">
        <f>LEFT(B1632, LEN(B1632)-15)</f>
        <v>Lenovo Yoga Slim 7i Carbon 13IAP7 (82U90080IN) Laptop (Core i7 12th Gen/16 GB/1 TB SSD/Windows 11)</v>
      </c>
      <c r="B1632" t="s">
        <v>2315</v>
      </c>
      <c r="C1632" s="1">
        <v>118990</v>
      </c>
      <c r="D1632" s="1">
        <v>3</v>
      </c>
      <c r="E1632" s="2">
        <v>54</v>
      </c>
      <c r="F1632" s="2" t="str" cm="1">
        <f t="array" ref="F1632">_xlfn.IFS(AND(101&gt;E1632, E1632&gt;69), "Top-Tier", AND(70&gt;E1632, E1632&gt;39), "Mid-Tier", 40&gt;E1632, "Low-Tier")</f>
        <v>Mid-Tier</v>
      </c>
      <c r="G1632" s="4">
        <v>44958</v>
      </c>
      <c r="H1632" t="s">
        <v>2294</v>
      </c>
      <c r="I1632" t="s">
        <v>33</v>
      </c>
      <c r="J1632" t="s">
        <v>167</v>
      </c>
      <c r="K1632" t="s">
        <v>406</v>
      </c>
      <c r="L1632" t="s">
        <v>24</v>
      </c>
      <c r="M1632" t="s">
        <v>968</v>
      </c>
      <c r="P1632" s="3">
        <v>81</v>
      </c>
      <c r="Q1632" t="str">
        <f>LEFT(B1632, 6)</f>
        <v>Lenovo</v>
      </c>
      <c r="R1632" t="str">
        <f t="shared" si="94"/>
        <v>Intel Core Ultra 7</v>
      </c>
      <c r="S1632" t="str">
        <f t="shared" si="95"/>
        <v>16 GB</v>
      </c>
    </row>
    <row r="1633" spans="1:19">
      <c r="A1633" t="str">
        <f>LEFT(B1633, LEN(B1633)-15)</f>
        <v>Asus ZenBook Pro 14 Duo OLED Intel Evo UX8402ZA-LM711WS Laptop (Core i7 12th Gen/16 GB/1 TB SSD/Windows 11)</v>
      </c>
      <c r="B1633" t="s">
        <v>2316</v>
      </c>
      <c r="C1633" s="1">
        <v>158812</v>
      </c>
      <c r="D1633" s="1">
        <v>7</v>
      </c>
      <c r="E1633" s="2">
        <v>54</v>
      </c>
      <c r="F1633" s="2" t="str" cm="1">
        <f t="array" ref="F1633">_xlfn.IFS(AND(101&gt;E1633, E1633&gt;69), "Top-Tier", AND(70&gt;E1633, E1633&gt;39), "Mid-Tier", 40&gt;E1633, "Low-Tier")</f>
        <v>Mid-Tier</v>
      </c>
      <c r="G1633" s="4">
        <v>44774</v>
      </c>
      <c r="H1633" t="s">
        <v>2294</v>
      </c>
      <c r="I1633" t="s">
        <v>33</v>
      </c>
      <c r="J1633" t="s">
        <v>167</v>
      </c>
      <c r="K1633" t="s">
        <v>617</v>
      </c>
      <c r="L1633" t="s">
        <v>24</v>
      </c>
      <c r="M1633" t="s">
        <v>2317</v>
      </c>
      <c r="N1633" t="s">
        <v>31</v>
      </c>
      <c r="P1633" s="3">
        <v>80</v>
      </c>
      <c r="Q1633" t="str">
        <f>LEFT(B1633, 4)</f>
        <v>Asus</v>
      </c>
      <c r="R1633" t="str">
        <f t="shared" si="94"/>
        <v>Intel Core Ultra 7</v>
      </c>
      <c r="S1633" t="str">
        <f t="shared" si="95"/>
        <v>16 GB</v>
      </c>
    </row>
    <row r="1634" spans="1:19">
      <c r="A1634" t="str">
        <f>LEFT(B1634, LEN(B1634)-15)</f>
        <v>Asus Vivobook 16X K3605ZC-RP628WS Laptop (Core i7 12th Gen/16 GB/512 GB SSD/Windows 11/4 GB)</v>
      </c>
      <c r="B1634" t="s">
        <v>2318</v>
      </c>
      <c r="C1634" s="1">
        <v>69990</v>
      </c>
      <c r="D1634" s="1">
        <v>22</v>
      </c>
      <c r="E1634" s="2">
        <v>52</v>
      </c>
      <c r="F1634" s="2" t="str" cm="1">
        <f t="array" ref="F1634">_xlfn.IFS(AND(101&gt;E1634, E1634&gt;69), "Top-Tier", AND(70&gt;E1634, E1634&gt;39), "Mid-Tier", 40&gt;E1634, "Low-Tier")</f>
        <v>Mid-Tier</v>
      </c>
      <c r="G1634" s="4">
        <v>45536</v>
      </c>
      <c r="H1634" t="s">
        <v>2294</v>
      </c>
      <c r="I1634" t="s">
        <v>33</v>
      </c>
      <c r="J1634" t="s">
        <v>34</v>
      </c>
      <c r="K1634" t="s">
        <v>155</v>
      </c>
      <c r="L1634" t="s">
        <v>24</v>
      </c>
      <c r="M1634" t="s">
        <v>122</v>
      </c>
      <c r="N1634" t="s">
        <v>31</v>
      </c>
      <c r="P1634" s="3">
        <v>87</v>
      </c>
      <c r="Q1634" t="str">
        <f>LEFT(B1634, 4)</f>
        <v>Asus</v>
      </c>
      <c r="R1634" t="str">
        <f t="shared" si="94"/>
        <v>Intel Core Ultra 7</v>
      </c>
      <c r="S1634" t="str">
        <f t="shared" si="95"/>
        <v>16 GB</v>
      </c>
    </row>
    <row r="1635" spans="1:19">
      <c r="A1635" t="str">
        <f>LEFT(B1635, LEN(B1635)-15)</f>
        <v>Samsung Galaxy Book 4 Pro NP960XGK-KG1IN Laptop (Core Ultra 5/16 GB/512 GB SSD/Windows 11)</v>
      </c>
      <c r="B1635" t="s">
        <v>2319</v>
      </c>
      <c r="C1635" s="1">
        <v>141990</v>
      </c>
      <c r="D1635" s="1">
        <v>5</v>
      </c>
      <c r="E1635" s="2">
        <v>52</v>
      </c>
      <c r="F1635" s="2" t="str" cm="1">
        <f t="array" ref="F1635">_xlfn.IFS(AND(101&gt;E1635, E1635&gt;69), "Top-Tier", AND(70&gt;E1635, E1635&gt;39), "Mid-Tier", 40&gt;E1635, "Low-Tier")</f>
        <v>Mid-Tier</v>
      </c>
      <c r="G1635" s="4">
        <v>45323</v>
      </c>
      <c r="H1635" t="s">
        <v>2294</v>
      </c>
      <c r="I1635" t="s">
        <v>33</v>
      </c>
      <c r="J1635" t="s">
        <v>63</v>
      </c>
      <c r="K1635" t="s">
        <v>169</v>
      </c>
      <c r="L1635" t="s">
        <v>24</v>
      </c>
      <c r="M1635" t="s">
        <v>317</v>
      </c>
      <c r="N1635" t="s">
        <v>31</v>
      </c>
      <c r="P1635" s="3">
        <v>84</v>
      </c>
      <c r="Q1635" t="str">
        <f>LEFT(B1635, 7)</f>
        <v>Samsung</v>
      </c>
      <c r="R1635" t="str">
        <f t="shared" si="94"/>
        <v>Intel Core Ultra 7</v>
      </c>
      <c r="S1635" t="str">
        <f t="shared" si="95"/>
        <v>16 GB</v>
      </c>
    </row>
    <row r="1636" spans="1:19">
      <c r="A1636" t="str">
        <f>LEFT(B1636, LEN(B1636)-15)</f>
        <v>Asus VivoBook 15 X1504ZA-NJ542WS Laptop (Core i5 12th Gen/16 GB/512 GB SSD/Windows 11)</v>
      </c>
      <c r="B1636" t="s">
        <v>2320</v>
      </c>
      <c r="C1636" s="1">
        <v>45990</v>
      </c>
      <c r="D1636" s="1">
        <v>2</v>
      </c>
      <c r="E1636" s="2">
        <v>50</v>
      </c>
      <c r="F1636" s="2" t="str" cm="1">
        <f t="array" ref="F1636">_xlfn.IFS(AND(101&gt;E1636, E1636&gt;69), "Top-Tier", AND(70&gt;E1636, E1636&gt;39), "Mid-Tier", 40&gt;E1636, "Low-Tier")</f>
        <v>Mid-Tier</v>
      </c>
      <c r="G1636" s="4">
        <v>45170</v>
      </c>
      <c r="H1636" t="s">
        <v>2294</v>
      </c>
      <c r="I1636" t="s">
        <v>33</v>
      </c>
      <c r="J1636" t="s">
        <v>34</v>
      </c>
      <c r="K1636" t="s">
        <v>51</v>
      </c>
      <c r="L1636" t="s">
        <v>24</v>
      </c>
      <c r="M1636" t="s">
        <v>95</v>
      </c>
      <c r="N1636" t="s">
        <v>31</v>
      </c>
      <c r="P1636" s="3">
        <v>74</v>
      </c>
      <c r="Q1636" t="str">
        <f>LEFT(B1636, 4)</f>
        <v>Asus</v>
      </c>
      <c r="R1636" t="str">
        <f t="shared" si="94"/>
        <v>Intel Core Ultra 7</v>
      </c>
      <c r="S1636" t="str">
        <f t="shared" si="95"/>
        <v>16 GB</v>
      </c>
    </row>
    <row r="1637" spans="1:19">
      <c r="A1637" t="str">
        <f>LEFT(B1637, LEN(B1637)-15)</f>
        <v>HP Victus 16-d0314TX (7K8N8PA) Laptop (Core i5 11th Gen/16 GB/512 GB SSD/Windows 11/4 GB)</v>
      </c>
      <c r="B1637" t="s">
        <v>2321</v>
      </c>
      <c r="C1637" s="1">
        <v>50490</v>
      </c>
      <c r="D1637" s="1">
        <v>2</v>
      </c>
      <c r="E1637" s="2">
        <v>50</v>
      </c>
      <c r="F1637" s="2" t="str" cm="1">
        <f t="array" ref="F1637">_xlfn.IFS(AND(101&gt;E1637, E1637&gt;69), "Top-Tier", AND(70&gt;E1637, E1637&gt;39), "Mid-Tier", 40&gt;E1637, "Low-Tier")</f>
        <v>Mid-Tier</v>
      </c>
      <c r="G1637" s="4">
        <v>45108</v>
      </c>
      <c r="H1637" t="s">
        <v>2294</v>
      </c>
      <c r="I1637" t="s">
        <v>33</v>
      </c>
      <c r="J1637" t="s">
        <v>34</v>
      </c>
      <c r="K1637" t="s">
        <v>271</v>
      </c>
      <c r="L1637" t="s">
        <v>24</v>
      </c>
      <c r="N1637" t="s">
        <v>31</v>
      </c>
      <c r="P1637" s="3">
        <v>77</v>
      </c>
      <c r="Q1637" t="str">
        <f>LEFT(B1637, 2)</f>
        <v>HP</v>
      </c>
      <c r="R1637" t="str">
        <f t="shared" si="94"/>
        <v>Intel Core Ultra 7</v>
      </c>
      <c r="S1637" t="str">
        <f t="shared" si="95"/>
        <v>16 GB</v>
      </c>
    </row>
    <row r="1638" spans="1:19">
      <c r="A1638" t="str">
        <f>LEFT(B1638, LEN(B1638)-15)</f>
        <v>Lenovo ThinkBook 15 (21DJ00EXIH) Laptop (Core i5 12th Gen/8 GB/512 GB SSD/Windows 11)</v>
      </c>
      <c r="B1638" t="s">
        <v>2322</v>
      </c>
      <c r="C1638" s="1">
        <v>52990</v>
      </c>
      <c r="D1638" s="1">
        <v>2</v>
      </c>
      <c r="E1638" s="2">
        <v>50</v>
      </c>
      <c r="F1638" s="2" t="str" cm="1">
        <f t="array" ref="F1638">_xlfn.IFS(AND(101&gt;E1638, E1638&gt;69), "Top-Tier", AND(70&gt;E1638, E1638&gt;39), "Mid-Tier", 40&gt;E1638, "Low-Tier")</f>
        <v>Mid-Tier</v>
      </c>
      <c r="G1638" s="4">
        <v>45078</v>
      </c>
      <c r="H1638" t="s">
        <v>2323</v>
      </c>
      <c r="I1638" t="s">
        <v>33</v>
      </c>
      <c r="J1638" t="s">
        <v>50</v>
      </c>
      <c r="K1638" t="s">
        <v>51</v>
      </c>
      <c r="L1638" t="s">
        <v>24</v>
      </c>
      <c r="N1638" t="s">
        <v>31</v>
      </c>
      <c r="P1638" s="3">
        <v>73</v>
      </c>
      <c r="Q1638" t="str">
        <f>LEFT(B1638, 6)</f>
        <v>Lenovo</v>
      </c>
      <c r="R1638" t="str">
        <f t="shared" si="94"/>
        <v>Intel Core Ultra 9</v>
      </c>
      <c r="S1638" t="str">
        <f t="shared" si="95"/>
        <v xml:space="preserve">8 GB </v>
      </c>
    </row>
    <row r="1639" spans="1:19">
      <c r="A1639" t="str">
        <f>LEFT(B1639, LEN(B1639)-15)</f>
        <v>Asus ROG Zephyrus Duo 16 GX650RXZ-LB226WS Laptop (AMD Octa Core Ryzen 9/32 GB/2 TB SSD/Windows 11/16 GB)</v>
      </c>
      <c r="B1639" t="s">
        <v>2324</v>
      </c>
      <c r="C1639" s="1">
        <v>396990</v>
      </c>
      <c r="D1639" s="1">
        <v>13</v>
      </c>
      <c r="E1639" s="2">
        <v>50</v>
      </c>
      <c r="F1639" s="2" t="str" cm="1">
        <f t="array" ref="F1639">_xlfn.IFS(AND(101&gt;E1639, E1639&gt;69), "Top-Tier", AND(70&gt;E1639, E1639&gt;39), "Mid-Tier", 40&gt;E1639, "Low-Tier")</f>
        <v>Mid-Tier</v>
      </c>
      <c r="G1639" s="4">
        <v>44743</v>
      </c>
      <c r="H1639" t="s">
        <v>2323</v>
      </c>
      <c r="I1639" t="s">
        <v>33</v>
      </c>
      <c r="J1639" t="s">
        <v>172</v>
      </c>
      <c r="K1639" t="s">
        <v>2325</v>
      </c>
      <c r="L1639" t="s">
        <v>24</v>
      </c>
      <c r="M1639" t="s">
        <v>237</v>
      </c>
      <c r="N1639" t="s">
        <v>31</v>
      </c>
      <c r="Q1639" t="str">
        <f>LEFT(B1639, 4)</f>
        <v>Asus</v>
      </c>
      <c r="R1639" t="str">
        <f t="shared" si="94"/>
        <v>Intel Core Ultra 9</v>
      </c>
      <c r="S1639" t="str">
        <f t="shared" si="95"/>
        <v>32 GB</v>
      </c>
    </row>
    <row r="1640" spans="1:19">
      <c r="A1640" t="str">
        <f>LEFT(B1640, LEN(B1640)-15)</f>
        <v>Asus Vivobook K15 OLED KM513UA-L712WS Laptop (AMD Octa Core Ryzen 7/16 GB/512 GB SSD/Windows 11)</v>
      </c>
      <c r="B1640" t="s">
        <v>2326</v>
      </c>
      <c r="C1640" s="1">
        <v>66990</v>
      </c>
      <c r="D1640" s="1">
        <v>5</v>
      </c>
      <c r="E1640" s="2">
        <v>48</v>
      </c>
      <c r="F1640" s="2" t="str" cm="1">
        <f t="array" ref="F1640">_xlfn.IFS(AND(101&gt;E1640, E1640&gt;69), "Top-Tier", AND(70&gt;E1640, E1640&gt;39), "Mid-Tier", 40&gt;E1640, "Low-Tier")</f>
        <v>Mid-Tier</v>
      </c>
      <c r="G1640" s="4">
        <v>44866</v>
      </c>
      <c r="H1640" t="s">
        <v>2323</v>
      </c>
      <c r="I1640" t="s">
        <v>33</v>
      </c>
      <c r="J1640" t="s">
        <v>34</v>
      </c>
      <c r="K1640" t="s">
        <v>159</v>
      </c>
      <c r="L1640" t="s">
        <v>24</v>
      </c>
      <c r="M1640" t="s">
        <v>99</v>
      </c>
      <c r="N1640" t="s">
        <v>31</v>
      </c>
      <c r="Q1640" t="str">
        <f>LEFT(B1640, 4)</f>
        <v>Asus</v>
      </c>
      <c r="R1640" t="str">
        <f t="shared" si="94"/>
        <v>Intel Core Ultra 9</v>
      </c>
      <c r="S1640" t="str">
        <f t="shared" si="95"/>
        <v>16 GB</v>
      </c>
    </row>
    <row r="1641" spans="1:19">
      <c r="A1641" t="str">
        <f>LEFT(B1641, LEN(B1641)-15)</f>
        <v>Lenovo V14 (82KA00G8IH) Laptop (Core i3 11th Gen/8 GB/256 GB SSD/Windows 11)</v>
      </c>
      <c r="B1641" t="s">
        <v>2327</v>
      </c>
      <c r="C1641" s="1">
        <v>35590</v>
      </c>
      <c r="D1641" s="1">
        <v>7</v>
      </c>
      <c r="E1641" s="2">
        <v>48</v>
      </c>
      <c r="F1641" s="2" t="str" cm="1">
        <f t="array" ref="F1641">_xlfn.IFS(AND(101&gt;E1641, E1641&gt;69), "Top-Tier", AND(70&gt;E1641, E1641&gt;39), "Mid-Tier", 40&gt;E1641, "Low-Tier")</f>
        <v>Mid-Tier</v>
      </c>
      <c r="G1641" s="4">
        <v>44774</v>
      </c>
      <c r="H1641" t="s">
        <v>2323</v>
      </c>
      <c r="I1641" t="s">
        <v>33</v>
      </c>
      <c r="J1641" t="s">
        <v>338</v>
      </c>
      <c r="K1641" t="s">
        <v>427</v>
      </c>
      <c r="L1641" t="s">
        <v>24</v>
      </c>
      <c r="N1641" t="s">
        <v>31</v>
      </c>
      <c r="Q1641" t="str">
        <f>LEFT(B1641, 6)</f>
        <v>Lenovo</v>
      </c>
      <c r="R1641" t="str">
        <f t="shared" ref="R1641:R1650" si="96">LEFT(H1641, 18)</f>
        <v>Intel Core Ultra 9</v>
      </c>
      <c r="S1641" t="str">
        <f t="shared" si="95"/>
        <v xml:space="preserve">8 GB </v>
      </c>
    </row>
    <row r="1642" spans="1:19">
      <c r="A1642" t="str">
        <f>LEFT(B1642, LEN(B1642)-15)</f>
        <v>Fujitsu CH 4ZR1L82434 Laptop (Core i7 13th Gen/16 GB/512 GB SSD/Windows 11)</v>
      </c>
      <c r="B1642" t="s">
        <v>2328</v>
      </c>
      <c r="C1642" s="1">
        <v>69990</v>
      </c>
      <c r="D1642" s="1">
        <v>3</v>
      </c>
      <c r="E1642" s="2">
        <v>46</v>
      </c>
      <c r="F1642" s="2" t="str" cm="1">
        <f t="array" ref="F1642">_xlfn.IFS(AND(101&gt;E1642, E1642&gt;69), "Top-Tier", AND(70&gt;E1642, E1642&gt;39), "Mid-Tier", 40&gt;E1642, "Low-Tier")</f>
        <v>Mid-Tier</v>
      </c>
      <c r="G1642" s="4">
        <v>45139</v>
      </c>
      <c r="H1642" t="s">
        <v>2329</v>
      </c>
      <c r="I1642" t="s">
        <v>33</v>
      </c>
      <c r="J1642" t="s">
        <v>121</v>
      </c>
      <c r="K1642" t="s">
        <v>290</v>
      </c>
      <c r="L1642" t="s">
        <v>24</v>
      </c>
      <c r="M1642" t="s">
        <v>444</v>
      </c>
      <c r="N1642" t="s">
        <v>31</v>
      </c>
      <c r="P1642" s="3">
        <v>78</v>
      </c>
      <c r="Q1642" t="str">
        <f>LEFT(B1642, 7)</f>
        <v>Fujitsu</v>
      </c>
      <c r="R1642" t="str">
        <f t="shared" si="96"/>
        <v>Intel Core Ultra 9</v>
      </c>
      <c r="S1642" t="str">
        <f t="shared" si="95"/>
        <v>16 GB</v>
      </c>
    </row>
    <row r="1643" spans="1:19">
      <c r="A1643" t="str">
        <f>LEFT(B1643, LEN(B1643)-15)</f>
        <v>Asus ROG Zephyrus G15 GA503RMZ-HQ154WS Laptop (AMD Octa Core Ryzen 7/16 GB/1 TB SSD/Windows 11/6 GB)</v>
      </c>
      <c r="B1643" t="s">
        <v>2330</v>
      </c>
      <c r="C1643" s="1">
        <v>110990</v>
      </c>
      <c r="D1643" s="1">
        <v>3</v>
      </c>
      <c r="E1643" s="2">
        <v>46</v>
      </c>
      <c r="F1643" s="2" t="str" cm="1">
        <f t="array" ref="F1643">_xlfn.IFS(AND(101&gt;E1643, E1643&gt;69), "Top-Tier", AND(70&gt;E1643, E1643&gt;39), "Mid-Tier", 40&gt;E1643, "Low-Tier")</f>
        <v>Mid-Tier</v>
      </c>
      <c r="G1643" s="4">
        <v>44866</v>
      </c>
      <c r="H1643" t="s">
        <v>2329</v>
      </c>
      <c r="I1643" t="s">
        <v>33</v>
      </c>
      <c r="J1643" t="s">
        <v>72</v>
      </c>
      <c r="K1643" t="s">
        <v>256</v>
      </c>
      <c r="L1643" t="s">
        <v>24</v>
      </c>
      <c r="M1643" t="s">
        <v>253</v>
      </c>
      <c r="N1643" t="s">
        <v>31</v>
      </c>
      <c r="P1643" s="3">
        <v>85</v>
      </c>
      <c r="Q1643" t="str">
        <f>LEFT(B1643, 4)</f>
        <v>Asus</v>
      </c>
      <c r="R1643" t="str">
        <f t="shared" si="96"/>
        <v>Intel Core Ultra 9</v>
      </c>
      <c r="S1643" t="str">
        <f t="shared" si="95"/>
        <v>16 GB</v>
      </c>
    </row>
    <row r="1644" spans="1:19">
      <c r="A1644" t="str">
        <f>LEFT(B1644, LEN(B1644)-15)</f>
        <v>Asus ROG Flow X16 GV601RM-M5039WS Laptop (AMD Octa Core Ryzen 9/16 GB/1 TB SSD/Windows 11/6 GB)</v>
      </c>
      <c r="B1644" t="s">
        <v>2331</v>
      </c>
      <c r="C1644" s="1">
        <v>211990</v>
      </c>
      <c r="D1644" s="1">
        <v>3</v>
      </c>
      <c r="E1644" s="2">
        <v>46</v>
      </c>
      <c r="F1644" s="2" t="str" cm="1">
        <f t="array" ref="F1644">_xlfn.IFS(AND(101&gt;E1644, E1644&gt;69), "Top-Tier", AND(70&gt;E1644, E1644&gt;39), "Mid-Tier", 40&gt;E1644, "Low-Tier")</f>
        <v>Mid-Tier</v>
      </c>
      <c r="G1644" s="4">
        <v>44805</v>
      </c>
      <c r="H1644" t="s">
        <v>2329</v>
      </c>
      <c r="I1644" t="s">
        <v>33</v>
      </c>
      <c r="J1644" t="s">
        <v>72</v>
      </c>
      <c r="K1644" t="s">
        <v>117</v>
      </c>
      <c r="L1644" t="s">
        <v>24</v>
      </c>
      <c r="M1644" t="s">
        <v>336</v>
      </c>
      <c r="N1644" t="s">
        <v>31</v>
      </c>
      <c r="P1644" s="3">
        <v>83</v>
      </c>
      <c r="Q1644" t="str">
        <f>LEFT(B1644, 4)</f>
        <v>Asus</v>
      </c>
      <c r="R1644" t="str">
        <f t="shared" si="96"/>
        <v>Intel Core Ultra 9</v>
      </c>
      <c r="S1644" t="str">
        <f t="shared" si="95"/>
        <v>16 GB</v>
      </c>
    </row>
    <row r="1645" spans="1:19">
      <c r="A1645" t="str">
        <f>LEFT(B1645, LEN(B1645)-15)</f>
        <v>Asus TUF Gaming F16 FX607VB-RL087WS Laptop (Core 5 Series 2 /16 GB/512 GB SSD/Windows 11/4 GB)</v>
      </c>
      <c r="B1645" t="s">
        <v>2332</v>
      </c>
      <c r="C1645" s="1">
        <v>70990</v>
      </c>
      <c r="D1645" s="1">
        <v>4</v>
      </c>
      <c r="E1645" s="2">
        <v>44</v>
      </c>
      <c r="F1645" s="2" t="str" cm="1">
        <f t="array" ref="F1645">_xlfn.IFS(AND(101&gt;E1645, E1645&gt;69), "Top-Tier", AND(70&gt;E1645, E1645&gt;39), "Mid-Tier", 40&gt;E1645, "Low-Tier")</f>
        <v>Mid-Tier</v>
      </c>
      <c r="G1645" s="4">
        <v>45717</v>
      </c>
      <c r="H1645" t="s">
        <v>2329</v>
      </c>
      <c r="I1645" t="s">
        <v>33</v>
      </c>
      <c r="J1645" t="s">
        <v>34</v>
      </c>
      <c r="K1645" t="s">
        <v>155</v>
      </c>
      <c r="L1645" t="s">
        <v>24</v>
      </c>
      <c r="N1645" t="s">
        <v>31</v>
      </c>
      <c r="P1645" s="3">
        <v>83</v>
      </c>
      <c r="Q1645" t="str">
        <f>LEFT(B1645, 4)</f>
        <v>Asus</v>
      </c>
      <c r="R1645" t="str">
        <f t="shared" si="96"/>
        <v>Intel Core Ultra 9</v>
      </c>
      <c r="S1645" t="str">
        <f t="shared" si="95"/>
        <v>16 GB</v>
      </c>
    </row>
    <row r="1646" spans="1:19">
      <c r="A1646" t="str">
        <f>LEFT(B1646, LEN(B1646)-15)</f>
        <v>Asus Gaming V16 V3607VU-RP275WS Laptop (Core 7 Series 2 /16 GB/512 GB SSD/Windows 11/6 GB)</v>
      </c>
      <c r="B1646" t="s">
        <v>2333</v>
      </c>
      <c r="C1646" s="1">
        <v>94990</v>
      </c>
      <c r="D1646" s="1">
        <v>4</v>
      </c>
      <c r="E1646" s="2">
        <v>40</v>
      </c>
      <c r="F1646" s="2" t="str" cm="1">
        <f t="array" ref="F1646">_xlfn.IFS(AND(101&gt;E1646, E1646&gt;69), "Top-Tier", AND(70&gt;E1646, E1646&gt;39), "Mid-Tier", 40&gt;E1646, "Low-Tier")</f>
        <v>Mid-Tier</v>
      </c>
      <c r="G1646" s="4">
        <v>45689</v>
      </c>
      <c r="H1646" t="s">
        <v>2329</v>
      </c>
      <c r="I1646" t="s">
        <v>33</v>
      </c>
      <c r="J1646" t="s">
        <v>54</v>
      </c>
      <c r="K1646" t="s">
        <v>1417</v>
      </c>
      <c r="L1646" t="s">
        <v>24</v>
      </c>
      <c r="N1646" t="s">
        <v>31</v>
      </c>
      <c r="Q1646" t="str">
        <f>LEFT(B1646, 4)</f>
        <v>Asus</v>
      </c>
      <c r="R1646" t="str">
        <f t="shared" si="96"/>
        <v>Intel Core Ultra 9</v>
      </c>
      <c r="S1646" t="str">
        <f t="shared" si="95"/>
        <v>16 GB</v>
      </c>
    </row>
    <row r="1647" spans="1:19">
      <c r="A1647" t="str">
        <f>LEFT(B1647, LEN(B1647)-15)</f>
        <v>Asus ProArt PZ13 OLED HT5306QA-LX402WS Laptop (Snapdragon X Plus Octa Core/16 GB/1 TB SSD/Windows 11)</v>
      </c>
      <c r="B1647" t="s">
        <v>2334</v>
      </c>
      <c r="C1647" s="1">
        <v>123905</v>
      </c>
      <c r="D1647" s="1">
        <v>1</v>
      </c>
      <c r="E1647" s="2">
        <v>40</v>
      </c>
      <c r="F1647" s="2" t="str" cm="1">
        <f t="array" ref="F1647">_xlfn.IFS(AND(101&gt;E1647, E1647&gt;69), "Top-Tier", AND(70&gt;E1647, E1647&gt;39), "Mid-Tier", 40&gt;E1647, "Low-Tier")</f>
        <v>Mid-Tier</v>
      </c>
      <c r="G1647" s="4">
        <v>45689</v>
      </c>
      <c r="H1647" t="s">
        <v>2329</v>
      </c>
      <c r="I1647" t="s">
        <v>33</v>
      </c>
      <c r="J1647" t="s">
        <v>42</v>
      </c>
      <c r="K1647" t="s">
        <v>131</v>
      </c>
      <c r="L1647" t="s">
        <v>24</v>
      </c>
      <c r="M1647" t="s">
        <v>2335</v>
      </c>
      <c r="P1647" s="3">
        <v>78</v>
      </c>
      <c r="Q1647" t="str">
        <f>LEFT(B1647, 4)</f>
        <v>Asus</v>
      </c>
      <c r="R1647" t="str">
        <f t="shared" si="96"/>
        <v>Intel Core Ultra 9</v>
      </c>
      <c r="S1647" t="str">
        <f t="shared" ref="S1647:S1681" si="97">LEFT(J1647, 5)</f>
        <v>16 GB</v>
      </c>
    </row>
    <row r="1648" spans="1:19">
      <c r="A1648" t="str">
        <f>LEFT(B1648, LEN(B1648)-15)</f>
        <v>Thomson Neo IN-N14C4SL128 Laptop (Intel Celeron Dual Core/4 GB/128 GB SSD/Windows 11)</v>
      </c>
      <c r="B1648" t="s">
        <v>2336</v>
      </c>
      <c r="C1648" s="1">
        <v>12990</v>
      </c>
      <c r="D1648" s="1">
        <v>4</v>
      </c>
      <c r="E1648" s="2">
        <v>40</v>
      </c>
      <c r="F1648" s="2" t="str" cm="1">
        <f t="array" ref="F1648">_xlfn.IFS(AND(101&gt;E1648, E1648&gt;69), "Top-Tier", AND(70&gt;E1648, E1648&gt;39), "Mid-Tier", 40&gt;E1648, "Low-Tier")</f>
        <v>Mid-Tier</v>
      </c>
      <c r="G1648" s="4">
        <v>45474</v>
      </c>
      <c r="H1648" t="s">
        <v>2329</v>
      </c>
      <c r="I1648" t="s">
        <v>33</v>
      </c>
      <c r="J1648" t="s">
        <v>2252</v>
      </c>
      <c r="K1648" t="s">
        <v>2337</v>
      </c>
      <c r="L1648" t="s">
        <v>24</v>
      </c>
      <c r="M1648" t="s">
        <v>52</v>
      </c>
      <c r="N1648" t="s">
        <v>31</v>
      </c>
      <c r="Q1648" t="str">
        <f>LEFT(B1648, 7)</f>
        <v>Thomson</v>
      </c>
      <c r="R1648" t="str">
        <f t="shared" si="96"/>
        <v>Intel Core Ultra 9</v>
      </c>
      <c r="S1648" t="str">
        <f t="shared" si="97"/>
        <v xml:space="preserve">4 GB </v>
      </c>
    </row>
    <row r="1649" spans="1:19">
      <c r="A1649" t="str">
        <f>LEFT(B1649, LEN(B1649)-15)</f>
        <v>Thomson Neo IN-PX14C4SL128 Laptop (Intel Celeron Dual Core/4 GB/128 GB SSD/Windows 11)</v>
      </c>
      <c r="B1649" t="s">
        <v>2338</v>
      </c>
      <c r="C1649" s="1">
        <v>15790</v>
      </c>
      <c r="D1649" s="1">
        <v>4</v>
      </c>
      <c r="E1649" s="2">
        <v>40</v>
      </c>
      <c r="F1649" s="2" t="str" cm="1">
        <f t="array" ref="F1649">_xlfn.IFS(AND(101&gt;E1649, E1649&gt;69), "Top-Tier", AND(70&gt;E1649, E1649&gt;39), "Mid-Tier", 40&gt;E1649, "Low-Tier")</f>
        <v>Mid-Tier</v>
      </c>
      <c r="G1649" s="4">
        <v>45474</v>
      </c>
      <c r="H1649" t="s">
        <v>2329</v>
      </c>
      <c r="I1649" t="s">
        <v>33</v>
      </c>
      <c r="J1649" t="s">
        <v>2252</v>
      </c>
      <c r="K1649" t="s">
        <v>2337</v>
      </c>
      <c r="L1649" t="s">
        <v>24</v>
      </c>
      <c r="M1649" t="s">
        <v>2079</v>
      </c>
      <c r="N1649" t="s">
        <v>31</v>
      </c>
      <c r="Q1649" t="str">
        <f>LEFT(B1649, 7)</f>
        <v>Thomson</v>
      </c>
      <c r="R1649" t="str">
        <f t="shared" si="96"/>
        <v>Intel Core Ultra 9</v>
      </c>
      <c r="S1649" t="str">
        <f t="shared" si="97"/>
        <v xml:space="preserve">4 GB </v>
      </c>
    </row>
    <row r="1650" spans="1:19">
      <c r="A1650" t="str">
        <f>LEFT(B1650, LEN(B1650)-15)</f>
        <v>Microsoft Surface 5 Intel Evo (QZI-00023) Laptop (Core i5 12th Gen/8 GB/256 GB SSD/Windows 11)</v>
      </c>
      <c r="B1650" t="s">
        <v>2339</v>
      </c>
      <c r="C1650" s="1">
        <v>80999</v>
      </c>
      <c r="D1650" s="1">
        <v>4</v>
      </c>
      <c r="E1650" s="2">
        <v>40</v>
      </c>
      <c r="F1650" s="2" t="str" cm="1">
        <f t="array" ref="F1650">_xlfn.IFS(AND(101&gt;E1650, E1650&gt;69), "Top-Tier", AND(70&gt;E1650, E1650&gt;39), "Mid-Tier", 40&gt;E1650, "Low-Tier")</f>
        <v>Mid-Tier</v>
      </c>
      <c r="G1650" s="4">
        <v>44866</v>
      </c>
      <c r="H1650" t="s">
        <v>2340</v>
      </c>
      <c r="I1650" t="s">
        <v>33</v>
      </c>
      <c r="J1650" t="s">
        <v>239</v>
      </c>
      <c r="K1650" t="s">
        <v>2341</v>
      </c>
      <c r="L1650" t="s">
        <v>24</v>
      </c>
      <c r="M1650" t="s">
        <v>232</v>
      </c>
      <c r="O1650" t="s">
        <v>261</v>
      </c>
      <c r="P1650" s="3">
        <v>73</v>
      </c>
      <c r="Q1650" t="str">
        <f>LEFT(B1650, 9)</f>
        <v>Microsoft</v>
      </c>
      <c r="R1650" t="str">
        <f t="shared" si="96"/>
        <v>Intel Pentium Gold</v>
      </c>
      <c r="S1650" t="str">
        <f t="shared" si="97"/>
        <v xml:space="preserve">8 GB </v>
      </c>
    </row>
    <row r="1651" spans="1:19">
      <c r="A1651" t="str">
        <f>LEFT(B1651, LEN(B1651)-15)</f>
        <v>Asus ROG Flow X13 GV301RE-LJ156WS Laptop (AMD Octa Core Ryzen 9/32 GB/1 TB SSD/Windows 11/4 GB)</v>
      </c>
      <c r="B1651" t="s">
        <v>2342</v>
      </c>
      <c r="C1651" s="1">
        <v>115736</v>
      </c>
      <c r="D1651" s="1">
        <v>1</v>
      </c>
      <c r="E1651" s="2">
        <v>40</v>
      </c>
      <c r="F1651" s="2" t="str" cm="1">
        <f t="array" ref="F1651">_xlfn.IFS(AND(101&gt;E1651, E1651&gt;69), "Top-Tier", AND(70&gt;E1651, E1651&gt;39), "Mid-Tier", 40&gt;E1651, "Low-Tier")</f>
        <v>Mid-Tier</v>
      </c>
      <c r="G1651" s="4">
        <v>44774</v>
      </c>
      <c r="H1651" t="s">
        <v>2343</v>
      </c>
      <c r="I1651" t="s">
        <v>33</v>
      </c>
      <c r="J1651" t="s">
        <v>457</v>
      </c>
      <c r="K1651" t="s">
        <v>1076</v>
      </c>
      <c r="L1651" t="s">
        <v>24</v>
      </c>
      <c r="M1651" t="s">
        <v>1077</v>
      </c>
      <c r="N1651" t="s">
        <v>31</v>
      </c>
      <c r="O1651" t="s">
        <v>152</v>
      </c>
      <c r="P1651" s="3">
        <v>83</v>
      </c>
      <c r="Q1651" t="str">
        <f>LEFT(B1651, 4)</f>
        <v>Asus</v>
      </c>
      <c r="R1651" t="str">
        <f t="shared" ref="R1602:R1655" si="98">LEFT(H1651, 23)</f>
        <v>Intel Pentium Quad-Core</v>
      </c>
      <c r="S1651" t="str">
        <f t="shared" si="97"/>
        <v>32 GB</v>
      </c>
    </row>
    <row r="1652" spans="1:19">
      <c r="A1652" t="str">
        <f>LEFT(B1652, LEN(B1652)-15)</f>
        <v>Asus TUF Gaming A15 FA577RM-HQ032WS Laptop (AMD Octa Core Ryzen 7/16 GB/1 TB SSD/Windows 11/6 GB)</v>
      </c>
      <c r="B1652" t="s">
        <v>2344</v>
      </c>
      <c r="C1652" s="1">
        <v>144990</v>
      </c>
      <c r="D1652" s="1">
        <v>1</v>
      </c>
      <c r="E1652" s="2">
        <v>40</v>
      </c>
      <c r="F1652" s="2" t="str" cm="1">
        <f t="array" ref="F1652">_xlfn.IFS(AND(101&gt;E1652, E1652&gt;69), "Top-Tier", AND(70&gt;E1652, E1652&gt;39), "Mid-Tier", 40&gt;E1652, "Low-Tier")</f>
        <v>Mid-Tier</v>
      </c>
      <c r="G1652" s="4">
        <v>44774</v>
      </c>
      <c r="H1652" t="s">
        <v>2345</v>
      </c>
      <c r="I1652" t="s">
        <v>33</v>
      </c>
      <c r="J1652" t="s">
        <v>72</v>
      </c>
      <c r="K1652" t="s">
        <v>256</v>
      </c>
      <c r="L1652" t="s">
        <v>24</v>
      </c>
      <c r="N1652" t="s">
        <v>31</v>
      </c>
      <c r="P1652" s="3">
        <v>85</v>
      </c>
      <c r="Q1652" t="str">
        <f>LEFT(B1652, 4)</f>
        <v>Asus</v>
      </c>
      <c r="R1652" t="str">
        <f t="shared" si="98"/>
        <v>Intel Pentium Quad-Core</v>
      </c>
      <c r="S1652" t="str">
        <f t="shared" si="97"/>
        <v>16 GB</v>
      </c>
    </row>
    <row r="1653" spans="1:19">
      <c r="A1653" t="str">
        <f>LEFT(B1653, LEN(B1653)-15)</f>
        <v>HP 15-fd0466TU (B61ZGPA) Laptop (Core i5 13th Gen/8 GB/512 GB SSD/Windows 11)</v>
      </c>
      <c r="B1653" t="s">
        <v>2346</v>
      </c>
      <c r="C1653" s="1">
        <v>49299</v>
      </c>
      <c r="D1653" s="1">
        <v>1</v>
      </c>
      <c r="E1653" s="2">
        <v>20</v>
      </c>
      <c r="F1653" s="2" t="str" cm="1">
        <f t="array" ref="F1653">_xlfn.IFS(AND(101&gt;E1653, E1653&gt;69), "Top-Tier", AND(70&gt;E1653, E1653&gt;39), "Mid-Tier", 40&gt;E1653, "Low-Tier")</f>
        <v>Low-Tier</v>
      </c>
      <c r="G1653" s="4">
        <v>45689</v>
      </c>
      <c r="H1653" t="s">
        <v>2347</v>
      </c>
      <c r="I1653" t="s">
        <v>33</v>
      </c>
      <c r="J1653" t="s">
        <v>50</v>
      </c>
      <c r="K1653" t="s">
        <v>51</v>
      </c>
      <c r="L1653" t="s">
        <v>24</v>
      </c>
      <c r="M1653" t="s">
        <v>99</v>
      </c>
      <c r="N1653" t="s">
        <v>31</v>
      </c>
      <c r="P1653" s="3">
        <v>80</v>
      </c>
      <c r="Q1653" t="str">
        <f>LEFT(B1653, 2)</f>
        <v>HP</v>
      </c>
      <c r="R1653" t="str">
        <f t="shared" si="98"/>
        <v>Intel Pentium Quad-Core</v>
      </c>
      <c r="S1653" t="str">
        <f t="shared" si="97"/>
        <v xml:space="preserve">8 GB </v>
      </c>
    </row>
    <row r="1654" spans="1:19">
      <c r="A1654" t="str">
        <f>LEFT(B1654, LEN(B1654)-15)</f>
        <v>HP OmniBook X Flip 14-fm0026TU (B91BPPA) Laptop (Core Ultra 7 Series 2 /16 GB/512 GB SSD/Windows 11)</v>
      </c>
      <c r="B1654" t="s">
        <v>2348</v>
      </c>
      <c r="C1654" s="1">
        <v>120990</v>
      </c>
      <c r="D1654" s="1">
        <v>1</v>
      </c>
      <c r="E1654" s="2">
        <v>20</v>
      </c>
      <c r="F1654" s="2" t="str" cm="1">
        <f t="array" ref="F1654">_xlfn.IFS(AND(101&gt;E1654, E1654&gt;69), "Top-Tier", AND(70&gt;E1654, E1654&gt;39), "Mid-Tier", 40&gt;E1654, "Low-Tier")</f>
        <v>Low-Tier</v>
      </c>
      <c r="G1654" s="4">
        <v>45748</v>
      </c>
      <c r="H1654" t="s">
        <v>2349</v>
      </c>
      <c r="I1654" t="s">
        <v>33</v>
      </c>
      <c r="J1654" t="s">
        <v>63</v>
      </c>
      <c r="K1654" t="s">
        <v>81</v>
      </c>
      <c r="L1654" t="s">
        <v>24</v>
      </c>
      <c r="M1654" t="s">
        <v>2350</v>
      </c>
      <c r="N1654" t="s">
        <v>31</v>
      </c>
      <c r="P1654" s="3">
        <v>87</v>
      </c>
      <c r="Q1654" t="str">
        <f>LEFT(B1654, 2)</f>
        <v>HP</v>
      </c>
      <c r="R1654" t="str">
        <f t="shared" si="98"/>
        <v>Intel Pentium Quad-Core</v>
      </c>
      <c r="S1654" t="str">
        <f t="shared" si="97"/>
        <v>16 GB</v>
      </c>
    </row>
    <row r="1655" spans="1:19">
      <c r="A1655" t="str">
        <f>LEFT(B1655, LEN(B1655)-15)</f>
        <v>Asus Vivobook Go 15 E510KA-EJ9011WS Laptop (Intel Celeron Dual Core/8 GB/512 GB SSD/Windows 11)</v>
      </c>
      <c r="B1655" t="s">
        <v>2351</v>
      </c>
      <c r="C1655" s="1">
        <v>26990</v>
      </c>
      <c r="D1655" s="1">
        <v>2</v>
      </c>
      <c r="E1655" s="2">
        <v>20</v>
      </c>
      <c r="F1655" s="2" t="str" cm="1">
        <f t="array" ref="F1655">_xlfn.IFS(AND(101&gt;E1655, E1655&gt;69), "Top-Tier", AND(70&gt;E1655, E1655&gt;39), "Mid-Tier", 40&gt;E1655, "Low-Tier")</f>
        <v>Low-Tier</v>
      </c>
      <c r="G1655" s="4">
        <v>45658</v>
      </c>
      <c r="H1655" t="s">
        <v>2349</v>
      </c>
      <c r="I1655" t="s">
        <v>33</v>
      </c>
      <c r="J1655" t="s">
        <v>50</v>
      </c>
      <c r="K1655" t="s">
        <v>159</v>
      </c>
      <c r="L1655" t="s">
        <v>24</v>
      </c>
      <c r="M1655" t="s">
        <v>842</v>
      </c>
      <c r="N1655" t="s">
        <v>31</v>
      </c>
      <c r="Q1655" t="str">
        <f>LEFT(B1655, 4)</f>
        <v>Asus</v>
      </c>
      <c r="R1655" t="str">
        <f t="shared" si="98"/>
        <v>Intel Pentium Quad-Core</v>
      </c>
      <c r="S1655" t="str">
        <f t="shared" si="97"/>
        <v xml:space="preserve">8 GB </v>
      </c>
    </row>
    <row r="1656" spans="1:19">
      <c r="A1656" t="str">
        <f>LEFT(B1656, LEN(B1656)-15)</f>
        <v>Lenovo LOQ 15IAX9 (83GS00LNIN) Laptop (Core i5 12th Gen/16 GB/512 GB SSD/Windows 11/6 GB)</v>
      </c>
      <c r="B1656" t="s">
        <v>2352</v>
      </c>
      <c r="C1656" s="1">
        <v>68490</v>
      </c>
      <c r="D1656" s="1">
        <v>1</v>
      </c>
      <c r="E1656" s="2">
        <v>20</v>
      </c>
      <c r="F1656" s="2" t="str" cm="1">
        <f t="array" ref="F1656">_xlfn.IFS(AND(101&gt;E1656, E1656&gt;69), "Top-Tier", AND(70&gt;E1656, E1656&gt;39), "Mid-Tier", 40&gt;E1656, "Low-Tier")</f>
        <v>Low-Tier</v>
      </c>
      <c r="G1656" s="4">
        <v>45627</v>
      </c>
      <c r="H1656" t="s">
        <v>2353</v>
      </c>
      <c r="I1656" t="s">
        <v>33</v>
      </c>
      <c r="J1656" t="s">
        <v>54</v>
      </c>
      <c r="K1656" t="s">
        <v>51</v>
      </c>
      <c r="L1656" t="s">
        <v>24</v>
      </c>
      <c r="N1656" t="s">
        <v>31</v>
      </c>
      <c r="P1656" s="3">
        <v>87</v>
      </c>
      <c r="Q1656" t="str">
        <f>LEFT(B1656, 6)</f>
        <v>Lenovo</v>
      </c>
      <c r="R1656" t="str">
        <f>LEFT(H1656, 19)</f>
        <v xml:space="preserve">MediaTek Octa-core </v>
      </c>
      <c r="S1656" t="str">
        <f t="shared" si="97"/>
        <v>16 GB</v>
      </c>
    </row>
    <row r="1657" spans="1:19">
      <c r="A1657" t="str">
        <f>LEFT(B1657, LEN(B1657)-15)</f>
        <v>MSI Modern 15 B12MO-1007IN Laptop (Core i5 13th Gen/16 GB/512 GB SSD/Windows 11)</v>
      </c>
      <c r="B1657" t="s">
        <v>2354</v>
      </c>
      <c r="C1657" s="1">
        <v>44990</v>
      </c>
      <c r="D1657" s="1">
        <v>1</v>
      </c>
      <c r="E1657" s="2">
        <v>20</v>
      </c>
      <c r="F1657" s="2" t="str" cm="1">
        <f t="array" ref="F1657">_xlfn.IFS(AND(101&gt;E1657, E1657&gt;69), "Top-Tier", AND(70&gt;E1657, E1657&gt;39), "Mid-Tier", 40&gt;E1657, "Low-Tier")</f>
        <v>Low-Tier</v>
      </c>
      <c r="G1657" s="4">
        <v>45474</v>
      </c>
      <c r="H1657" t="s">
        <v>2353</v>
      </c>
      <c r="I1657" t="s">
        <v>33</v>
      </c>
      <c r="J1657" t="s">
        <v>34</v>
      </c>
      <c r="K1657" t="s">
        <v>51</v>
      </c>
      <c r="L1657" t="s">
        <v>24</v>
      </c>
      <c r="N1657" t="s">
        <v>31</v>
      </c>
      <c r="P1657" s="3">
        <v>77</v>
      </c>
      <c r="Q1657" t="str">
        <f>LEFT(B1657, 3)</f>
        <v>MSI</v>
      </c>
      <c r="R1657" t="str">
        <f t="shared" ref="R1657:R1660" si="99">LEFT(H1657, 19)</f>
        <v xml:space="preserve">MediaTek Octa-core </v>
      </c>
      <c r="S1657" t="str">
        <f t="shared" si="97"/>
        <v>16 GB</v>
      </c>
    </row>
    <row r="1658" spans="1:19">
      <c r="A1658" t="str">
        <f>LEFT(B1658, LEN(B1658)-15)</f>
        <v>Microsoft Surface Pro 11 (ZID-00014) Laptop (Snapdragon X Elite/32 GB/1 TB SSD/Windows 11)</v>
      </c>
      <c r="B1658" t="s">
        <v>2355</v>
      </c>
      <c r="C1658" s="1">
        <v>232990</v>
      </c>
      <c r="D1658" s="1">
        <v>1</v>
      </c>
      <c r="E1658" s="2">
        <v>20</v>
      </c>
      <c r="F1658" s="2" t="str" cm="1">
        <f t="array" ref="F1658">_xlfn.IFS(AND(101&gt;E1658, E1658&gt;69), "Top-Tier", AND(70&gt;E1658, E1658&gt;39), "Mid-Tier", 40&gt;E1658, "Low-Tier")</f>
        <v>Low-Tier</v>
      </c>
      <c r="G1658" s="4">
        <v>45474</v>
      </c>
      <c r="H1658" t="s">
        <v>2353</v>
      </c>
      <c r="I1658" t="s">
        <v>33</v>
      </c>
      <c r="J1658" t="s">
        <v>144</v>
      </c>
      <c r="K1658" t="s">
        <v>140</v>
      </c>
      <c r="L1658" t="s">
        <v>24</v>
      </c>
      <c r="P1658" s="3">
        <v>84</v>
      </c>
      <c r="Q1658" t="str">
        <f>LEFT(B1658, 9)</f>
        <v>Microsoft</v>
      </c>
      <c r="R1658" t="str">
        <f t="shared" si="99"/>
        <v xml:space="preserve">MediaTek Octa-core </v>
      </c>
      <c r="S1658" t="str">
        <f t="shared" si="97"/>
        <v>32 GB</v>
      </c>
    </row>
    <row r="1659" spans="1:19">
      <c r="A1659" t="str">
        <f>LEFT(B1659, LEN(B1659)-15)</f>
        <v>Asus VivoBook 15 X1504VAP-NJ541WS Laptop (Core 5 Series 1 /16 GB/512 GB SSD/Windows 11)</v>
      </c>
      <c r="B1659" t="s">
        <v>2356</v>
      </c>
      <c r="C1659" s="1">
        <v>49968</v>
      </c>
      <c r="D1659" s="1">
        <v>1</v>
      </c>
      <c r="E1659" s="2">
        <v>20</v>
      </c>
      <c r="F1659" s="2" t="str" cm="1">
        <f t="array" ref="F1659">_xlfn.IFS(AND(101&gt;E1659, E1659&gt;69), "Top-Tier", AND(70&gt;E1659, E1659&gt;39), "Mid-Tier", 40&gt;E1659, "Low-Tier")</f>
        <v>Low-Tier</v>
      </c>
      <c r="G1659" s="4">
        <v>45474</v>
      </c>
      <c r="H1659" t="s">
        <v>2357</v>
      </c>
      <c r="I1659" t="s">
        <v>33</v>
      </c>
      <c r="J1659" t="s">
        <v>34</v>
      </c>
      <c r="K1659" t="s">
        <v>51</v>
      </c>
      <c r="L1659" t="s">
        <v>24</v>
      </c>
      <c r="M1659" t="s">
        <v>95</v>
      </c>
      <c r="N1659" t="s">
        <v>31</v>
      </c>
      <c r="P1659" s="3">
        <v>79</v>
      </c>
      <c r="Q1659" t="str">
        <f>LEFT(B1659, 4)</f>
        <v>Asus</v>
      </c>
      <c r="R1659" t="str">
        <f t="shared" si="99"/>
        <v xml:space="preserve">MediaTek Octa-core </v>
      </c>
      <c r="S1659" t="str">
        <f t="shared" si="97"/>
        <v>16 GB</v>
      </c>
    </row>
    <row r="1660" spans="1:19">
      <c r="A1660" t="str">
        <f>LEFT(B1660, LEN(B1660)-15)</f>
        <v>Lenovo ThinkPad E14 Gen 5 (21JKS1FT00) Laptop (Core i7 13th Gen/16 GB/512 GB SSD/Windows 11)</v>
      </c>
      <c r="B1660" t="s">
        <v>2358</v>
      </c>
      <c r="C1660" s="1">
        <v>87990</v>
      </c>
      <c r="D1660" s="1">
        <v>2</v>
      </c>
      <c r="E1660" s="2">
        <v>20</v>
      </c>
      <c r="F1660" s="2" t="str" cm="1">
        <f t="array" ref="F1660">_xlfn.IFS(AND(101&gt;E1660, E1660&gt;69), "Top-Tier", AND(70&gt;E1660, E1660&gt;39), "Mid-Tier", 40&gt;E1660, "Low-Tier")</f>
        <v>Low-Tier</v>
      </c>
      <c r="G1660" s="4">
        <v>45444</v>
      </c>
      <c r="H1660" t="s">
        <v>2359</v>
      </c>
      <c r="I1660" t="s">
        <v>33</v>
      </c>
      <c r="J1660" t="s">
        <v>34</v>
      </c>
      <c r="K1660" t="s">
        <v>94</v>
      </c>
      <c r="L1660" t="s">
        <v>24</v>
      </c>
      <c r="N1660" t="s">
        <v>31</v>
      </c>
      <c r="P1660" s="3">
        <v>79</v>
      </c>
      <c r="Q1660" t="str">
        <f>LEFT(B1660, 6)</f>
        <v>Lenovo</v>
      </c>
      <c r="R1660" t="str">
        <f t="shared" si="99"/>
        <v xml:space="preserve">MediaTek Octa-core </v>
      </c>
      <c r="S1660" t="str">
        <f t="shared" si="97"/>
        <v>16 GB</v>
      </c>
    </row>
    <row r="1661" spans="1:19">
      <c r="A1661" t="str">
        <f>LEFT(B1661, LEN(B1661)-15)</f>
        <v>Lenovo LOQ (82XT004KIN) Laptop (AMD Octa Core Ryzen 7/16 GB/512 GB SSD/Windows 11/8 GB)</v>
      </c>
      <c r="B1661" t="s">
        <v>2360</v>
      </c>
      <c r="C1661" s="1">
        <v>98820</v>
      </c>
      <c r="D1661" s="1">
        <v>2</v>
      </c>
      <c r="E1661" s="2">
        <v>20</v>
      </c>
      <c r="F1661" s="2" t="str" cm="1">
        <f t="array" ref="F1661">_xlfn.IFS(AND(101&gt;E1661, E1661&gt;69), "Top-Tier", AND(70&gt;E1661, E1661&gt;39), "Mid-Tier", 40&gt;E1661, "Low-Tier")</f>
        <v>Low-Tier</v>
      </c>
      <c r="G1661" s="4">
        <v>45200</v>
      </c>
      <c r="H1661" t="s">
        <v>2361</v>
      </c>
      <c r="I1661" t="s">
        <v>33</v>
      </c>
      <c r="J1661" t="s">
        <v>54</v>
      </c>
      <c r="K1661" t="s">
        <v>51</v>
      </c>
      <c r="L1661" t="s">
        <v>24</v>
      </c>
      <c r="N1661" t="s">
        <v>31</v>
      </c>
      <c r="P1661" s="3">
        <v>84</v>
      </c>
      <c r="Q1661" t="str">
        <f>LEFT(B1661, 6)</f>
        <v>Lenovo</v>
      </c>
      <c r="R1661" t="str">
        <f>LEFT(H1661, 29)</f>
        <v>Qualcomm Snapdragon Octa-Core</v>
      </c>
      <c r="S1661" t="str">
        <f t="shared" si="97"/>
        <v>16 GB</v>
      </c>
    </row>
    <row r="1662" spans="1:19">
      <c r="A1662" t="str">
        <f>LEFT(B1662, LEN(B1662)-15)</f>
        <v>MSI Stealth 16 Mercedes AMG A13VG-264IN Laptop (Core i9 13th Gen/32 GB/2 TB SSD/Windows 11/8 GB)</v>
      </c>
      <c r="B1662" t="s">
        <v>2362</v>
      </c>
      <c r="C1662" s="1">
        <v>277411</v>
      </c>
      <c r="D1662" s="1">
        <v>1</v>
      </c>
      <c r="E1662" s="2">
        <v>20</v>
      </c>
      <c r="F1662" s="2" t="str" cm="1">
        <f t="array" ref="F1662">_xlfn.IFS(AND(101&gt;E1662, E1662&gt;69), "Top-Tier", AND(70&gt;E1662, E1662&gt;39), "Mid-Tier", 40&gt;E1662, "Low-Tier")</f>
        <v>Low-Tier</v>
      </c>
      <c r="G1662" s="4">
        <v>45108</v>
      </c>
      <c r="H1662" t="s">
        <v>2363</v>
      </c>
      <c r="I1662" t="s">
        <v>33</v>
      </c>
      <c r="J1662" t="s">
        <v>172</v>
      </c>
      <c r="K1662" t="s">
        <v>266</v>
      </c>
      <c r="L1662" t="s">
        <v>24</v>
      </c>
      <c r="M1662" t="s">
        <v>52</v>
      </c>
      <c r="N1662" t="s">
        <v>31</v>
      </c>
      <c r="Q1662" t="str">
        <f>LEFT(B1662, 3)</f>
        <v>MSI</v>
      </c>
      <c r="R1662" t="str">
        <f t="shared" ref="R1662:R1663" si="100">LEFT(H1662, 29)</f>
        <v>Qualcomm Snapdragon Octa-Core</v>
      </c>
      <c r="S1662" t="str">
        <f t="shared" si="97"/>
        <v>32 GB</v>
      </c>
    </row>
    <row r="1663" spans="1:19">
      <c r="A1663" t="str">
        <f>LEFT(B1663, LEN(B1663)-15)</f>
        <v>Asus VivoBook 15 X1504VA-NJ543WS Laptop (Core i5 13th Gen/16 GB/512 GB SSD/Windows 11)</v>
      </c>
      <c r="B1663" t="s">
        <v>2364</v>
      </c>
      <c r="C1663" s="1">
        <v>55990</v>
      </c>
      <c r="D1663" s="1">
        <v>1</v>
      </c>
      <c r="E1663" s="2">
        <v>20</v>
      </c>
      <c r="F1663" s="2" t="str" cm="1">
        <f t="array" ref="F1663">_xlfn.IFS(AND(101&gt;E1663, E1663&gt;69), "Top-Tier", AND(70&gt;E1663, E1663&gt;39), "Mid-Tier", 40&gt;E1663, "Low-Tier")</f>
        <v>Low-Tier</v>
      </c>
      <c r="G1663" s="4">
        <v>45108</v>
      </c>
      <c r="H1663" t="s">
        <v>2363</v>
      </c>
      <c r="I1663" t="s">
        <v>33</v>
      </c>
      <c r="J1663" t="s">
        <v>34</v>
      </c>
      <c r="K1663" t="s">
        <v>159</v>
      </c>
      <c r="L1663" t="s">
        <v>24</v>
      </c>
      <c r="N1663" t="s">
        <v>31</v>
      </c>
      <c r="P1663" s="3">
        <v>75</v>
      </c>
      <c r="Q1663" t="str">
        <f>LEFT(B1663, 4)</f>
        <v>Asus</v>
      </c>
      <c r="R1663" t="str">
        <f t="shared" si="100"/>
        <v>Qualcomm Snapdragon Octa-Core</v>
      </c>
      <c r="S1663" t="str">
        <f t="shared" si="97"/>
        <v>16 GB</v>
      </c>
    </row>
    <row r="1664" spans="1:19">
      <c r="A1664" t="str">
        <f>LEFT(B1664, LEN(B1664)-15)</f>
        <v>Asus ROG Strix G18 G814JI-N6097WS Laptop (Core i9 13th Gen/16 GB/1 TB SSD/Windows 11/8 GB)</v>
      </c>
      <c r="B1664" t="s">
        <v>2365</v>
      </c>
      <c r="C1664" s="1">
        <v>219990</v>
      </c>
      <c r="D1664" s="1">
        <v>2</v>
      </c>
      <c r="E1664" s="2">
        <v>20</v>
      </c>
      <c r="F1664" s="2" t="str" cm="1">
        <f t="array" ref="F1664">_xlfn.IFS(AND(101&gt;E1664, E1664&gt;69), "Top-Tier", AND(70&gt;E1664, E1664&gt;39), "Mid-Tier", 40&gt;E1664, "Low-Tier")</f>
        <v>Low-Tier</v>
      </c>
      <c r="G1664" s="4">
        <v>45047</v>
      </c>
      <c r="H1664" t="s">
        <v>2366</v>
      </c>
      <c r="I1664" t="s">
        <v>33</v>
      </c>
      <c r="J1664" t="s">
        <v>72</v>
      </c>
      <c r="K1664" t="s">
        <v>475</v>
      </c>
      <c r="L1664" t="s">
        <v>24</v>
      </c>
      <c r="N1664" t="s">
        <v>31</v>
      </c>
      <c r="Q1664" t="str">
        <f>LEFT(B1664, 4)</f>
        <v>Asus</v>
      </c>
      <c r="R1664" t="str">
        <f>LEFT(H1664, 18)</f>
        <v>Snapdragon X Elite</v>
      </c>
      <c r="S1664" t="str">
        <f t="shared" si="97"/>
        <v>16 GB</v>
      </c>
    </row>
    <row r="1665" spans="1:19">
      <c r="A1665" t="str">
        <f>LEFT(B1665, LEN(B1665)-15)</f>
        <v>Asus ROG Zephyrus G14 GA402XV-N2034WS Laptop (AMD Octa Core Ryzen 9/32 GB/1 TB SSD/Windows 11/8 GB)</v>
      </c>
      <c r="B1665" t="s">
        <v>2367</v>
      </c>
      <c r="C1665" s="1">
        <v>201288</v>
      </c>
      <c r="D1665" s="1">
        <v>3</v>
      </c>
      <c r="E1665" s="2">
        <v>20</v>
      </c>
      <c r="F1665" s="2" t="str" cm="1">
        <f t="array" ref="F1665">_xlfn.IFS(AND(101&gt;E1665, E1665&gt;69), "Top-Tier", AND(70&gt;E1665, E1665&gt;39), "Mid-Tier", 40&gt;E1665, "Low-Tier")</f>
        <v>Low-Tier</v>
      </c>
      <c r="G1665" s="4">
        <v>45047</v>
      </c>
      <c r="H1665" t="s">
        <v>2366</v>
      </c>
      <c r="I1665" t="s">
        <v>33</v>
      </c>
      <c r="J1665" t="s">
        <v>144</v>
      </c>
      <c r="K1665" t="s">
        <v>221</v>
      </c>
      <c r="L1665" t="s">
        <v>24</v>
      </c>
      <c r="M1665" t="s">
        <v>222</v>
      </c>
      <c r="N1665" t="s">
        <v>31</v>
      </c>
      <c r="Q1665" t="str">
        <f>LEFT(B1665, 4)</f>
        <v>Asus</v>
      </c>
      <c r="R1665" t="str">
        <f t="shared" ref="R1665:R1679" si="101">LEFT(H1665, 18)</f>
        <v>Snapdragon X Elite</v>
      </c>
      <c r="S1665" t="str">
        <f t="shared" si="97"/>
        <v>32 GB</v>
      </c>
    </row>
    <row r="1666" spans="1:19">
      <c r="A1666" t="str">
        <f>LEFT(B1666, LEN(B1666)-15)</f>
        <v>Lenovo Thinkpad P15v Gen3 (21D8S05G00) Laptop (Core i7 12th Gen/32 GB/1 TB SSD/Windows 11/4 GB)</v>
      </c>
      <c r="B1666" t="s">
        <v>2368</v>
      </c>
      <c r="C1666" s="1">
        <v>180093</v>
      </c>
      <c r="D1666" s="1">
        <v>1</v>
      </c>
      <c r="E1666" s="2">
        <v>20</v>
      </c>
      <c r="F1666" s="2" t="str" cm="1">
        <f t="array" ref="F1666">_xlfn.IFS(AND(101&gt;E1666, E1666&gt;69), "Top-Tier", AND(70&gt;E1666, E1666&gt;39), "Mid-Tier", 40&gt;E1666, "Low-Tier")</f>
        <v>Low-Tier</v>
      </c>
      <c r="G1666" s="4">
        <v>44958</v>
      </c>
      <c r="H1666" t="s">
        <v>2366</v>
      </c>
      <c r="I1666" t="s">
        <v>33</v>
      </c>
      <c r="J1666" t="s">
        <v>144</v>
      </c>
      <c r="K1666" t="s">
        <v>51</v>
      </c>
      <c r="L1666" t="s">
        <v>24</v>
      </c>
      <c r="N1666" t="s">
        <v>31</v>
      </c>
      <c r="P1666" s="3">
        <v>83</v>
      </c>
      <c r="Q1666" t="str">
        <f>LEFT(B1666, 6)</f>
        <v>Lenovo</v>
      </c>
      <c r="R1666" t="str">
        <f t="shared" si="101"/>
        <v>Snapdragon X Elite</v>
      </c>
      <c r="S1666" t="str">
        <f t="shared" si="97"/>
        <v>32 GB</v>
      </c>
    </row>
    <row r="1667" spans="1:19">
      <c r="A1667" t="str">
        <f>LEFT(B1667, LEN(B1667)-15)</f>
        <v>Lenovo V14 Gen 2 (82KAA08BIH) Laptop (Core i3 11th Gen/8 GB/512 GB SSD/DOS)</v>
      </c>
      <c r="B1667" t="s">
        <v>2369</v>
      </c>
      <c r="C1667" s="1">
        <v>31890</v>
      </c>
      <c r="D1667" s="1">
        <v>4</v>
      </c>
      <c r="E1667" s="2">
        <v>20</v>
      </c>
      <c r="F1667" s="2" t="str" cm="1">
        <f t="array" ref="F1667">_xlfn.IFS(AND(101&gt;E1667, E1667&gt;69), "Top-Tier", AND(70&gt;E1667, E1667&gt;39), "Mid-Tier", 40&gt;E1667, "Low-Tier")</f>
        <v>Low-Tier</v>
      </c>
      <c r="G1667" s="4">
        <v>44927</v>
      </c>
      <c r="H1667" t="s">
        <v>2366</v>
      </c>
      <c r="I1667" t="s">
        <v>124</v>
      </c>
      <c r="J1667" t="s">
        <v>50</v>
      </c>
      <c r="K1667" t="s">
        <v>1585</v>
      </c>
      <c r="L1667" t="s">
        <v>24</v>
      </c>
      <c r="M1667" t="s">
        <v>253</v>
      </c>
      <c r="N1667" t="s">
        <v>31</v>
      </c>
      <c r="Q1667" t="str">
        <f>LEFT(B1667, 6)</f>
        <v>Lenovo</v>
      </c>
      <c r="R1667" t="str">
        <f t="shared" si="101"/>
        <v>Snapdragon X Elite</v>
      </c>
      <c r="S1667" t="str">
        <f t="shared" si="97"/>
        <v xml:space="preserve">8 GB </v>
      </c>
    </row>
    <row r="1668" spans="1:19">
      <c r="A1668" t="str">
        <f>LEFT(B1668, LEN(B1668)-15)</f>
        <v>Lenovo V14 G2 ITL (82KAA04QIH) Laptop (Core i5 11th Gen/8 GB/512 GB SSD/DOS)</v>
      </c>
      <c r="B1668" t="s">
        <v>2370</v>
      </c>
      <c r="C1668" s="1">
        <v>40980</v>
      </c>
      <c r="D1668" s="1">
        <v>1</v>
      </c>
      <c r="E1668" s="2">
        <v>20</v>
      </c>
      <c r="F1668" s="2" t="str" cm="1">
        <f t="array" ref="F1668">_xlfn.IFS(AND(101&gt;E1668, E1668&gt;69), "Top-Tier", AND(70&gt;E1668, E1668&gt;39), "Mid-Tier", 40&gt;E1668, "Low-Tier")</f>
        <v>Low-Tier</v>
      </c>
      <c r="G1668" s="4">
        <v>44927</v>
      </c>
      <c r="H1668" t="s">
        <v>2366</v>
      </c>
      <c r="I1668" t="s">
        <v>124</v>
      </c>
      <c r="J1668" t="s">
        <v>50</v>
      </c>
      <c r="K1668" t="s">
        <v>1246</v>
      </c>
      <c r="L1668" t="s">
        <v>24</v>
      </c>
      <c r="M1668" t="s">
        <v>52</v>
      </c>
      <c r="N1668" t="s">
        <v>31</v>
      </c>
      <c r="P1668" s="3">
        <v>72</v>
      </c>
      <c r="Q1668" t="str">
        <f>LEFT(B1668, 6)</f>
        <v>Lenovo</v>
      </c>
      <c r="R1668" t="str">
        <f t="shared" si="101"/>
        <v>Snapdragon X Elite</v>
      </c>
      <c r="S1668" t="str">
        <f t="shared" si="97"/>
        <v xml:space="preserve">8 GB </v>
      </c>
    </row>
    <row r="1669" spans="1:19">
      <c r="A1669" t="str">
        <f>LEFT(B1669, LEN(B1669)-15)</f>
        <v>Lenovo Thinkpad E14 Gen 4 (21E3S00L00) Laptop (Core i5 12th Gen/8 GB/512 GB SSD/Windows 11)</v>
      </c>
      <c r="B1669" t="s">
        <v>2371</v>
      </c>
      <c r="C1669" s="1">
        <v>64999</v>
      </c>
      <c r="D1669" s="1">
        <v>1</v>
      </c>
      <c r="E1669" s="2">
        <v>20</v>
      </c>
      <c r="F1669" s="2" t="str" cm="1">
        <f t="array" ref="F1669">_xlfn.IFS(AND(101&gt;E1669, E1669&gt;69), "Top-Tier", AND(70&gt;E1669, E1669&gt;39), "Mid-Tier", 40&gt;E1669, "Low-Tier")</f>
        <v>Low-Tier</v>
      </c>
      <c r="G1669" s="4">
        <v>44927</v>
      </c>
      <c r="H1669" t="s">
        <v>2366</v>
      </c>
      <c r="I1669" t="s">
        <v>33</v>
      </c>
      <c r="J1669" t="s">
        <v>50</v>
      </c>
      <c r="K1669" t="s">
        <v>149</v>
      </c>
      <c r="L1669" t="s">
        <v>24</v>
      </c>
      <c r="M1669" t="s">
        <v>135</v>
      </c>
      <c r="N1669" t="s">
        <v>31</v>
      </c>
      <c r="P1669" s="3">
        <v>78</v>
      </c>
      <c r="Q1669" t="str">
        <f>LEFT(B1669, 6)</f>
        <v>Lenovo</v>
      </c>
      <c r="R1669" t="str">
        <f t="shared" si="101"/>
        <v>Snapdragon X Elite</v>
      </c>
      <c r="S1669" t="str">
        <f t="shared" si="97"/>
        <v xml:space="preserve">8 GB </v>
      </c>
    </row>
    <row r="1670" spans="1:19">
      <c r="A1670" t="str">
        <f>LEFT(B1670, LEN(B1670)-15)</f>
        <v>Dell Vostro 3510 (BTS-ICC-D585051WIN8) Laptop (Core i3 11th Gen/8 GB/1 TB 256 GB SSD/Windows 11)</v>
      </c>
      <c r="B1670" t="s">
        <v>2372</v>
      </c>
      <c r="C1670" s="1">
        <v>44990</v>
      </c>
      <c r="D1670" s="1">
        <v>2</v>
      </c>
      <c r="E1670" s="2">
        <v>20</v>
      </c>
      <c r="F1670" s="2" t="str" cm="1">
        <f t="array" ref="F1670">_xlfn.IFS(AND(101&gt;E1670, E1670&gt;69), "Top-Tier", AND(70&gt;E1670, E1670&gt;39), "Mid-Tier", 40&gt;E1670, "Low-Tier")</f>
        <v>Low-Tier</v>
      </c>
      <c r="G1670" s="4">
        <v>44896</v>
      </c>
      <c r="H1670" t="s">
        <v>2366</v>
      </c>
      <c r="I1670" t="s">
        <v>33</v>
      </c>
      <c r="J1670" t="s">
        <v>332</v>
      </c>
      <c r="K1670" t="s">
        <v>249</v>
      </c>
      <c r="L1670" t="s">
        <v>24</v>
      </c>
      <c r="M1670" t="s">
        <v>122</v>
      </c>
      <c r="N1670" t="s">
        <v>31</v>
      </c>
      <c r="Q1670" t="str">
        <f>LEFT(B1670, 4)</f>
        <v>Dell</v>
      </c>
      <c r="R1670" t="str">
        <f t="shared" si="101"/>
        <v>Snapdragon X Elite</v>
      </c>
      <c r="S1670" t="str">
        <f t="shared" si="97"/>
        <v xml:space="preserve">8 GB </v>
      </c>
    </row>
    <row r="1671" spans="1:19">
      <c r="A1671" t="str">
        <f>LEFT(B1671, LEN(B1671)-15)</f>
        <v>Asus Vivobook K15 OLED KM513UA-L513WS Laptop (AMD Hexa Core Ryzen 5/16 GB/512 GB SSD/Windows 11)</v>
      </c>
      <c r="B1671" t="s">
        <v>2373</v>
      </c>
      <c r="C1671" s="1">
        <v>62990</v>
      </c>
      <c r="D1671" s="1">
        <v>2</v>
      </c>
      <c r="E1671" s="2">
        <v>20</v>
      </c>
      <c r="F1671" s="2" t="str" cm="1">
        <f t="array" ref="F1671">_xlfn.IFS(AND(101&gt;E1671, E1671&gt;69), "Top-Tier", AND(70&gt;E1671, E1671&gt;39), "Mid-Tier", 40&gt;E1671, "Low-Tier")</f>
        <v>Low-Tier</v>
      </c>
      <c r="G1671" s="4">
        <v>44866</v>
      </c>
      <c r="H1671" t="s">
        <v>2366</v>
      </c>
      <c r="I1671" t="s">
        <v>33</v>
      </c>
      <c r="J1671" t="s">
        <v>34</v>
      </c>
      <c r="K1671" t="s">
        <v>159</v>
      </c>
      <c r="L1671" t="s">
        <v>24</v>
      </c>
      <c r="M1671" t="s">
        <v>99</v>
      </c>
      <c r="N1671" t="s">
        <v>31</v>
      </c>
      <c r="Q1671" t="str">
        <f>LEFT(B1671, 4)</f>
        <v>Asus</v>
      </c>
      <c r="R1671" t="str">
        <f t="shared" si="101"/>
        <v>Snapdragon X Elite</v>
      </c>
      <c r="S1671" t="str">
        <f t="shared" si="97"/>
        <v>16 GB</v>
      </c>
    </row>
    <row r="1672" spans="1:19">
      <c r="A1672" t="str">
        <f>LEFT(B1672, LEN(B1672)-15)</f>
        <v>Dell Alienware x17 R1 (D569936WIN9) Laptop (Core i9 11th Gen/32 GB/1 TB SSD/Windows 11/16 GB)</v>
      </c>
      <c r="B1672" t="s">
        <v>2374</v>
      </c>
      <c r="C1672" s="1">
        <v>297000</v>
      </c>
      <c r="D1672" s="1">
        <v>1</v>
      </c>
      <c r="E1672" s="2">
        <v>20</v>
      </c>
      <c r="F1672" s="2" t="str" cm="1">
        <f t="array" ref="F1672">_xlfn.IFS(AND(101&gt;E1672, E1672&gt;69), "Top-Tier", AND(70&gt;E1672, E1672&gt;39), "Mid-Tier", 40&gt;E1672, "Low-Tier")</f>
        <v>Low-Tier</v>
      </c>
      <c r="G1672" s="4">
        <v>44866</v>
      </c>
      <c r="H1672" t="s">
        <v>2366</v>
      </c>
      <c r="I1672" t="s">
        <v>33</v>
      </c>
      <c r="J1672" t="s">
        <v>1391</v>
      </c>
      <c r="K1672" t="s">
        <v>565</v>
      </c>
      <c r="L1672" t="s">
        <v>24</v>
      </c>
      <c r="M1672" t="s">
        <v>237</v>
      </c>
      <c r="N1672" t="s">
        <v>31</v>
      </c>
      <c r="O1672" t="s">
        <v>261</v>
      </c>
      <c r="P1672" s="3">
        <v>83</v>
      </c>
      <c r="Q1672" t="str">
        <f>LEFT(B1672, 4)</f>
        <v>Dell</v>
      </c>
      <c r="R1672" t="str">
        <f t="shared" si="101"/>
        <v>Snapdragon X Elite</v>
      </c>
      <c r="S1672" t="str">
        <f t="shared" si="97"/>
        <v>32 GB</v>
      </c>
    </row>
    <row r="1673" spans="1:19">
      <c r="A1673" t="str">
        <f>LEFT(B1673, LEN(B1673)-15)</f>
        <v>Dell XPS 13 9315 (D560077WIN9S) Laptop (Core i7 12th Gen/16 GB/1 TB SSD/Windows 11)</v>
      </c>
      <c r="B1673" t="s">
        <v>2375</v>
      </c>
      <c r="C1673" s="1">
        <v>165462</v>
      </c>
      <c r="D1673" s="1">
        <v>2</v>
      </c>
      <c r="E1673" s="2">
        <v>20</v>
      </c>
      <c r="F1673" s="2" t="str" cm="1">
        <f t="array" ref="F1673">_xlfn.IFS(AND(101&gt;E1673, E1673&gt;69), "Top-Tier", AND(70&gt;E1673, E1673&gt;39), "Mid-Tier", 40&gt;E1673, "Low-Tier")</f>
        <v>Low-Tier</v>
      </c>
      <c r="G1673" s="4">
        <v>44805</v>
      </c>
      <c r="H1673" t="s">
        <v>2366</v>
      </c>
      <c r="I1673" t="s">
        <v>33</v>
      </c>
      <c r="J1673" t="s">
        <v>329</v>
      </c>
      <c r="K1673" t="s">
        <v>243</v>
      </c>
      <c r="L1673" t="s">
        <v>24</v>
      </c>
      <c r="M1673" t="s">
        <v>2301</v>
      </c>
      <c r="P1673" s="3">
        <v>80</v>
      </c>
      <c r="Q1673" t="str">
        <f>LEFT(B1673, 4)</f>
        <v>Dell</v>
      </c>
      <c r="R1673" t="str">
        <f t="shared" si="101"/>
        <v>Snapdragon X Elite</v>
      </c>
      <c r="S1673" t="str">
        <f t="shared" si="97"/>
        <v>16 GB</v>
      </c>
    </row>
    <row r="1674" spans="1:19">
      <c r="A1674" t="str">
        <f>LEFT(B1674, LEN(B1674)-15)</f>
        <v>Dell Vostro 5625 (D552265WIN9S) Laptop (AMD Octa Core Ryzen 7/16 GB/512 GB SSD/Windows 11)</v>
      </c>
      <c r="B1674" t="s">
        <v>2376</v>
      </c>
      <c r="C1674" s="1">
        <v>76000</v>
      </c>
      <c r="D1674" s="1">
        <v>1</v>
      </c>
      <c r="E1674" s="2">
        <v>20</v>
      </c>
      <c r="F1674" s="2" t="str" cm="1">
        <f t="array" ref="F1674">_xlfn.IFS(AND(101&gt;E1674, E1674&gt;69), "Top-Tier", AND(70&gt;E1674, E1674&gt;39), "Mid-Tier", 40&gt;E1674, "Low-Tier")</f>
        <v>Low-Tier</v>
      </c>
      <c r="G1674" s="4">
        <v>44805</v>
      </c>
      <c r="H1674" t="s">
        <v>2377</v>
      </c>
      <c r="I1674" t="s">
        <v>33</v>
      </c>
      <c r="J1674" t="s">
        <v>34</v>
      </c>
      <c r="K1674" t="s">
        <v>1110</v>
      </c>
      <c r="L1674" t="s">
        <v>24</v>
      </c>
      <c r="M1674" t="s">
        <v>407</v>
      </c>
      <c r="N1674" t="s">
        <v>31</v>
      </c>
      <c r="P1674" s="3">
        <v>71</v>
      </c>
      <c r="Q1674" t="str">
        <f>LEFT(B1674, 4)</f>
        <v>Dell</v>
      </c>
      <c r="R1674" t="str">
        <f t="shared" si="101"/>
        <v xml:space="preserve">Snapdragon X Plus </v>
      </c>
      <c r="S1674" t="str">
        <f t="shared" si="97"/>
        <v>16 GB</v>
      </c>
    </row>
    <row r="1675" spans="1:19">
      <c r="A1675" t="str">
        <f>LEFT(B1675, LEN(B1675)-15)</f>
        <v>Asus TUF Gaming F15 FA507RE-HN043WS Laptop (AMD Octa Core Ryzen 7/16 GB/1 TB SSD/Windows 11/4 GB)</v>
      </c>
      <c r="B1675" t="s">
        <v>2378</v>
      </c>
      <c r="C1675" s="1">
        <v>115990</v>
      </c>
      <c r="D1675" s="1">
        <v>1</v>
      </c>
      <c r="E1675" s="2">
        <v>20</v>
      </c>
      <c r="F1675" s="2" t="str" cm="1">
        <f t="array" ref="F1675">_xlfn.IFS(AND(101&gt;E1675, E1675&gt;69), "Top-Tier", AND(70&gt;E1675, E1675&gt;39), "Mid-Tier", 40&gt;E1675, "Low-Tier")</f>
        <v>Low-Tier</v>
      </c>
      <c r="G1675" s="4">
        <v>44805</v>
      </c>
      <c r="H1675" t="s">
        <v>2379</v>
      </c>
      <c r="I1675" t="s">
        <v>33</v>
      </c>
      <c r="J1675" t="s">
        <v>72</v>
      </c>
      <c r="K1675" t="s">
        <v>51</v>
      </c>
      <c r="L1675" t="s">
        <v>24</v>
      </c>
      <c r="N1675" t="s">
        <v>31</v>
      </c>
      <c r="P1675" s="3">
        <v>82</v>
      </c>
      <c r="Q1675" t="str">
        <f>LEFT(B1675, 4)</f>
        <v>Asus</v>
      </c>
      <c r="R1675" t="str">
        <f t="shared" si="101"/>
        <v xml:space="preserve">Snapdragon X Plus </v>
      </c>
      <c r="S1675" t="str">
        <f t="shared" si="97"/>
        <v>16 GB</v>
      </c>
    </row>
    <row r="1676" spans="1:19">
      <c r="A1676" t="str">
        <f>LEFT(B1676, LEN(B1676)-15)</f>
        <v>Asus ROG Flow X16 GV601RM-M5053WS Laptop (AMD Octa Core Ryzen7/16 GB/1 TB SSD/Windows 11/6 GB)</v>
      </c>
      <c r="B1676" t="s">
        <v>2380</v>
      </c>
      <c r="C1676" s="1">
        <v>207990</v>
      </c>
      <c r="D1676" s="1">
        <v>1</v>
      </c>
      <c r="E1676" s="2">
        <v>20</v>
      </c>
      <c r="F1676" s="2" t="str" cm="1">
        <f t="array" ref="F1676">_xlfn.IFS(AND(101&gt;E1676, E1676&gt;69), "Top-Tier", AND(70&gt;E1676, E1676&gt;39), "Mid-Tier", 40&gt;E1676, "Low-Tier")</f>
        <v>Low-Tier</v>
      </c>
      <c r="G1676" s="4">
        <v>44805</v>
      </c>
      <c r="H1676" t="s">
        <v>2379</v>
      </c>
      <c r="I1676" t="s">
        <v>33</v>
      </c>
      <c r="J1676" t="s">
        <v>72</v>
      </c>
      <c r="K1676" t="s">
        <v>117</v>
      </c>
      <c r="L1676" t="s">
        <v>24</v>
      </c>
      <c r="M1676" t="s">
        <v>336</v>
      </c>
      <c r="N1676" t="s">
        <v>31</v>
      </c>
      <c r="P1676" s="3">
        <v>83</v>
      </c>
      <c r="Q1676" t="str">
        <f>LEFT(B1676, 4)</f>
        <v>Asus</v>
      </c>
      <c r="R1676" t="str">
        <f t="shared" si="101"/>
        <v xml:space="preserve">Snapdragon X Plus </v>
      </c>
      <c r="S1676" t="str">
        <f t="shared" si="97"/>
        <v>16 GB</v>
      </c>
    </row>
    <row r="1677" spans="1:19">
      <c r="A1677" t="str">
        <f>LEFT(B1677, LEN(B1677)-15)</f>
        <v>Asus VivoBook Pro 15 M6500IH-HN702WS Laptop (AMD Octa Core Ryzen 7/16 GB/512 GB SSD/Windows 11/4 GB)</v>
      </c>
      <c r="B1677" t="s">
        <v>2381</v>
      </c>
      <c r="C1677" s="1">
        <v>66990</v>
      </c>
      <c r="D1677" s="1">
        <v>1</v>
      </c>
      <c r="E1677" s="2">
        <v>20</v>
      </c>
      <c r="F1677" s="2" t="str" cm="1">
        <f t="array" ref="F1677">_xlfn.IFS(AND(101&gt;E1677, E1677&gt;69), "Top-Tier", AND(70&gt;E1677, E1677&gt;39), "Mid-Tier", 40&gt;E1677, "Low-Tier")</f>
        <v>Low-Tier</v>
      </c>
      <c r="G1677" s="4">
        <v>44774</v>
      </c>
      <c r="H1677" t="s">
        <v>2379</v>
      </c>
      <c r="I1677" t="s">
        <v>33</v>
      </c>
      <c r="J1677" t="s">
        <v>34</v>
      </c>
      <c r="K1677" t="s">
        <v>51</v>
      </c>
      <c r="L1677" t="s">
        <v>24</v>
      </c>
      <c r="M1677" t="s">
        <v>52</v>
      </c>
      <c r="N1677" t="s">
        <v>31</v>
      </c>
      <c r="P1677" s="3">
        <v>76</v>
      </c>
      <c r="Q1677" t="str">
        <f>LEFT(B1677, 4)</f>
        <v>Asus</v>
      </c>
      <c r="R1677" t="str">
        <f t="shared" si="101"/>
        <v xml:space="preserve">Snapdragon X Plus </v>
      </c>
      <c r="S1677" t="str">
        <f t="shared" si="97"/>
        <v>16 GB</v>
      </c>
    </row>
    <row r="1678" spans="1:19">
      <c r="A1678" t="str">
        <f>LEFT(B1678, LEN(B1678)-15)</f>
        <v>Asus ROG Zephyrus G14 GA402RK-L8148WS Laptop (AMD Octa Core Ryzen 9/32 GB/1 TB SSD/Windows 11/8 GB)</v>
      </c>
      <c r="B1678" t="s">
        <v>2382</v>
      </c>
      <c r="C1678" s="1">
        <v>154990</v>
      </c>
      <c r="D1678" s="1">
        <v>1</v>
      </c>
      <c r="E1678" s="2">
        <v>20</v>
      </c>
      <c r="F1678" s="2" t="str" cm="1">
        <f t="array" ref="F1678">_xlfn.IFS(AND(101&gt;E1678, E1678&gt;69), "Top-Tier", AND(70&gt;E1678, E1678&gt;39), "Mid-Tier", 40&gt;E1678, "Low-Tier")</f>
        <v>Low-Tier</v>
      </c>
      <c r="G1678" s="4">
        <v>44743</v>
      </c>
      <c r="H1678" t="s">
        <v>2383</v>
      </c>
      <c r="I1678" t="s">
        <v>33</v>
      </c>
      <c r="J1678" t="s">
        <v>144</v>
      </c>
      <c r="K1678" t="s">
        <v>221</v>
      </c>
      <c r="L1678" t="s">
        <v>24</v>
      </c>
      <c r="N1678" t="s">
        <v>31</v>
      </c>
      <c r="P1678" s="3">
        <v>77</v>
      </c>
      <c r="Q1678" t="str">
        <f>LEFT(B1678, 4)</f>
        <v>Asus</v>
      </c>
      <c r="R1678" t="str">
        <f t="shared" si="101"/>
        <v xml:space="preserve">Snapdragon X Plus </v>
      </c>
      <c r="S1678" t="str">
        <f t="shared" si="97"/>
        <v>32 GB</v>
      </c>
    </row>
    <row r="1679" spans="1:19">
      <c r="A1679" t="str">
        <f>LEFT(B1679, LEN(B1679)-15)</f>
        <v>Lenovo Yoga 9i Gen 7 Intel Evo (82LU008TIN) Laptop (Core i7 12th Gen/16 GB/1 TB SSD/Windows 11)</v>
      </c>
      <c r="B1679" t="s">
        <v>2384</v>
      </c>
      <c r="C1679" s="1">
        <v>136999</v>
      </c>
      <c r="D1679" s="1">
        <v>1</v>
      </c>
      <c r="E1679" s="2">
        <v>20</v>
      </c>
      <c r="F1679" s="2" t="str" cm="1">
        <f t="array" ref="F1679">_xlfn.IFS(AND(101&gt;E1679, E1679&gt;69), "Top-Tier", AND(70&gt;E1679, E1679&gt;39), "Mid-Tier", 40&gt;E1679, "Low-Tier")</f>
        <v>Low-Tier</v>
      </c>
      <c r="G1679" s="4">
        <v>44743</v>
      </c>
      <c r="H1679" t="s">
        <v>2383</v>
      </c>
      <c r="I1679" t="s">
        <v>33</v>
      </c>
      <c r="J1679" t="s">
        <v>167</v>
      </c>
      <c r="K1679" t="s">
        <v>2385</v>
      </c>
      <c r="L1679" t="s">
        <v>24</v>
      </c>
      <c r="M1679" t="s">
        <v>232</v>
      </c>
      <c r="P1679" s="3">
        <v>82</v>
      </c>
      <c r="Q1679" t="str">
        <f>LEFT(B1679, 6)</f>
        <v>Lenovo</v>
      </c>
      <c r="R1679" t="str">
        <f t="shared" si="101"/>
        <v xml:space="preserve">Snapdragon X Plus </v>
      </c>
      <c r="S1679" t="str">
        <f t="shared" si="97"/>
        <v>16 GB</v>
      </c>
    </row>
    <row r="1680" spans="1:19">
      <c r="A1680" t="str">
        <f>LEFT(B1680, LEN(B1680)-15)</f>
        <v>Asus ROG Zephyrus Duo 16 GX650RXZ-LS228WS Laptop (AMD Octa Core Ryzen 9/32 GB/2 TB SSD/Windows 11/16 GB)</v>
      </c>
      <c r="B1680" t="s">
        <v>2386</v>
      </c>
      <c r="C1680" s="1">
        <v>361990</v>
      </c>
      <c r="D1680" s="1">
        <v>2</v>
      </c>
      <c r="E1680" s="2">
        <v>20</v>
      </c>
      <c r="F1680" s="2" t="str" cm="1">
        <f t="array" ref="F1680">_xlfn.IFS(AND(101&gt;E1680, E1680&gt;69), "Top-Tier", AND(70&gt;E1680, E1680&gt;39), "Mid-Tier", 40&gt;E1680, "Low-Tier")</f>
        <v>Low-Tier</v>
      </c>
      <c r="G1680" s="4">
        <v>44743</v>
      </c>
      <c r="H1680" t="s">
        <v>2387</v>
      </c>
      <c r="I1680" t="s">
        <v>33</v>
      </c>
      <c r="J1680" t="s">
        <v>172</v>
      </c>
      <c r="K1680" t="s">
        <v>1417</v>
      </c>
      <c r="L1680" t="s">
        <v>24</v>
      </c>
      <c r="M1680" t="s">
        <v>237</v>
      </c>
      <c r="N1680" t="s">
        <v>31</v>
      </c>
      <c r="O1680" t="s">
        <v>2388</v>
      </c>
      <c r="P1680" s="3">
        <v>85</v>
      </c>
      <c r="Q1680" t="str">
        <f>LEFT(B1680, 4)</f>
        <v>Asus</v>
      </c>
      <c r="R1680" t="str">
        <f>LEFT(H1680, 27)</f>
        <v>Snapdragon X Plus Deca-Core</v>
      </c>
      <c r="S1680" t="str">
        <f t="shared" si="97"/>
        <v>32 GB</v>
      </c>
    </row>
    <row r="1681" spans="1:19">
      <c r="A1681" t="str">
        <f>LEFT(B1681, LEN(B1681)-15)</f>
        <v>Dell XPS 13 9320 (D560074WIN9S) Laptop (Core i5 12th Gen/16 GB/512 GB SSD/Windows 11)</v>
      </c>
      <c r="B1681" t="s">
        <v>2389</v>
      </c>
      <c r="C1681" s="1">
        <v>163660</v>
      </c>
      <c r="D1681" s="1">
        <v>1</v>
      </c>
      <c r="E1681" s="2">
        <v>20</v>
      </c>
      <c r="F1681" s="2" t="str" cm="1">
        <f t="array" ref="F1681">_xlfn.IFS(AND(101&gt;E1681, E1681&gt;69), "Top-Tier", AND(70&gt;E1681, E1681&gt;39), "Mid-Tier", 40&gt;E1681, "Low-Tier")</f>
        <v>Low-Tier</v>
      </c>
      <c r="G1681" s="4">
        <v>44713</v>
      </c>
      <c r="H1681" t="s">
        <v>2390</v>
      </c>
      <c r="I1681" t="s">
        <v>33</v>
      </c>
      <c r="J1681" t="s">
        <v>121</v>
      </c>
      <c r="K1681" t="s">
        <v>2391</v>
      </c>
      <c r="L1681" t="s">
        <v>24</v>
      </c>
      <c r="M1681" t="s">
        <v>232</v>
      </c>
      <c r="P1681" s="3">
        <v>79</v>
      </c>
      <c r="Q1681" t="str">
        <f>LEFT(B1681, 4)</f>
        <v>Dell</v>
      </c>
      <c r="R1681" t="str">
        <f>LEFT(H1681, 27)</f>
        <v>Snapdragon X Plus Octa-Core</v>
      </c>
      <c r="S1681" t="str">
        <f t="shared" si="97"/>
        <v>16 GB</v>
      </c>
    </row>
  </sheetData>
  <autoFilter ref="F1:F1681" xr:uid="{8D8E0B4F-4891-4BE4-BB2C-9F9BCB341DC2}"/>
  <sortState xmlns:xlrd2="http://schemas.microsoft.com/office/spreadsheetml/2017/richdata2" ref="A2:Q1681">
    <sortCondition descending="1" ref="E2:E16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B4CC-087B-4F52-86CD-38C50FCE9A39}">
  <dimension ref="A2:E310"/>
  <sheetViews>
    <sheetView topLeftCell="B1" workbookViewId="0">
      <selection activeCell="L10" sqref="L10"/>
    </sheetView>
  </sheetViews>
  <sheetFormatPr defaultRowHeight="15"/>
  <cols>
    <col min="1" max="1" width="16.7109375" bestFit="1" customWidth="1"/>
    <col min="2" max="2" width="31.5703125" bestFit="1" customWidth="1"/>
    <col min="3" max="3" width="14.28515625" bestFit="1" customWidth="1"/>
    <col min="4" max="5" width="10.42578125" bestFit="1" customWidth="1"/>
    <col min="6" max="6" width="11.7109375" bestFit="1" customWidth="1"/>
    <col min="7" max="7" width="7.140625" bestFit="1" customWidth="1"/>
    <col min="8" max="8" width="9.140625" bestFit="1" customWidth="1"/>
    <col min="9" max="9" width="3.5703125" bestFit="1" customWidth="1"/>
    <col min="10" max="10" width="6.7109375" bestFit="1" customWidth="1"/>
    <col min="11" max="11" width="7.5703125" bestFit="1" customWidth="1"/>
    <col min="12" max="12" width="9.7109375" bestFit="1" customWidth="1"/>
    <col min="13" max="13" width="9.5703125" bestFit="1" customWidth="1"/>
    <col min="14" max="14" width="4.5703125" bestFit="1" customWidth="1"/>
    <col min="15" max="15" width="8.7109375" bestFit="1" customWidth="1"/>
    <col min="16" max="16" width="9.140625" bestFit="1" customWidth="1"/>
    <col min="17" max="17" width="9.42578125" bestFit="1" customWidth="1"/>
    <col min="18" max="18" width="6.5703125" bestFit="1" customWidth="1"/>
    <col min="19" max="19" width="9.7109375" bestFit="1" customWidth="1"/>
    <col min="20" max="20" width="11.7109375" bestFit="1" customWidth="1"/>
    <col min="21" max="21" width="6.42578125" bestFit="1" customWidth="1"/>
    <col min="22" max="22" width="5.7109375" bestFit="1" customWidth="1"/>
    <col min="23" max="23" width="8.28515625" bestFit="1" customWidth="1"/>
    <col min="24" max="25" width="6.42578125" bestFit="1" customWidth="1"/>
    <col min="26" max="26" width="5.7109375" bestFit="1" customWidth="1"/>
    <col min="27" max="27" width="8.28515625" bestFit="1" customWidth="1"/>
    <col min="28" max="29" width="6.42578125" bestFit="1" customWidth="1"/>
    <col min="30" max="30" width="5.7109375" bestFit="1" customWidth="1"/>
    <col min="31" max="31" width="8.28515625" bestFit="1" customWidth="1"/>
    <col min="32" max="34" width="6.42578125" bestFit="1" customWidth="1"/>
    <col min="35" max="35" width="5.7109375" bestFit="1" customWidth="1"/>
    <col min="36" max="36" width="8.28515625" bestFit="1" customWidth="1"/>
    <col min="37" max="39" width="6.42578125" bestFit="1" customWidth="1"/>
    <col min="40" max="40" width="5.7109375" bestFit="1" customWidth="1"/>
    <col min="41" max="41" width="8.28515625" bestFit="1" customWidth="1"/>
    <col min="42" max="44" width="6.42578125" bestFit="1" customWidth="1"/>
    <col min="45" max="45" width="5.7109375" bestFit="1" customWidth="1"/>
    <col min="46" max="46" width="8.28515625" bestFit="1" customWidth="1"/>
    <col min="47" max="48" width="6.42578125" bestFit="1" customWidth="1"/>
    <col min="49" max="49" width="5.7109375" bestFit="1" customWidth="1"/>
    <col min="50" max="50" width="8.28515625" bestFit="1" customWidth="1"/>
    <col min="51" max="54" width="6.42578125" bestFit="1" customWidth="1"/>
    <col min="55" max="55" width="5.7109375" bestFit="1" customWidth="1"/>
    <col min="56" max="56" width="8.28515625" bestFit="1" customWidth="1"/>
    <col min="57" max="58" width="6.42578125" bestFit="1" customWidth="1"/>
    <col min="59" max="59" width="5.7109375" bestFit="1" customWidth="1"/>
    <col min="60" max="60" width="8.28515625" bestFit="1" customWidth="1"/>
    <col min="61" max="63" width="6.42578125" bestFit="1" customWidth="1"/>
    <col min="64" max="64" width="5.7109375" bestFit="1" customWidth="1"/>
    <col min="65" max="65" width="8.28515625" bestFit="1" customWidth="1"/>
    <col min="66" max="68" width="6.42578125" bestFit="1" customWidth="1"/>
    <col min="69" max="69" width="5.7109375" bestFit="1" customWidth="1"/>
    <col min="70" max="70" width="8.28515625" bestFit="1" customWidth="1"/>
    <col min="71" max="74" width="6.42578125" bestFit="1" customWidth="1"/>
    <col min="75" max="75" width="8.28515625" bestFit="1" customWidth="1"/>
    <col min="76" max="76" width="9.28515625" bestFit="1" customWidth="1"/>
    <col min="77" max="79" width="6.42578125" bestFit="1" customWidth="1"/>
    <col min="80" max="80" width="5.7109375" bestFit="1" customWidth="1"/>
    <col min="81" max="82" width="6.42578125" bestFit="1" customWidth="1"/>
    <col min="83" max="83" width="5.7109375" bestFit="1" customWidth="1"/>
    <col min="84" max="84" width="12.42578125" bestFit="1" customWidth="1"/>
    <col min="85" max="85" width="11.7109375" bestFit="1" customWidth="1"/>
    <col min="86" max="86" width="12.7109375" bestFit="1" customWidth="1"/>
  </cols>
  <sheetData>
    <row r="2" spans="1:5">
      <c r="A2" s="9" t="s">
        <v>18</v>
      </c>
      <c r="B2" t="s">
        <v>2392</v>
      </c>
    </row>
    <row r="4" spans="1:5">
      <c r="A4" s="9" t="s">
        <v>2393</v>
      </c>
      <c r="C4" s="9" t="s">
        <v>5</v>
      </c>
    </row>
    <row r="5" spans="1:5">
      <c r="A5" s="10" t="s">
        <v>16</v>
      </c>
      <c r="B5" s="13" t="s">
        <v>17</v>
      </c>
      <c r="C5" s="11" t="s">
        <v>2394</v>
      </c>
      <c r="D5" s="11" t="s">
        <v>2395</v>
      </c>
      <c r="E5" s="11" t="s">
        <v>2396</v>
      </c>
    </row>
    <row r="6" spans="1:5">
      <c r="A6" s="10" t="s">
        <v>2397</v>
      </c>
      <c r="B6" s="13" t="s">
        <v>2398</v>
      </c>
      <c r="C6" s="12"/>
      <c r="D6" s="12"/>
      <c r="E6" s="12">
        <v>58890</v>
      </c>
    </row>
    <row r="7" spans="1:5">
      <c r="A7" s="10"/>
      <c r="B7" s="13" t="s">
        <v>2399</v>
      </c>
      <c r="C7" s="12"/>
      <c r="D7" s="12"/>
      <c r="E7" s="12">
        <v>91190</v>
      </c>
    </row>
    <row r="8" spans="1:5">
      <c r="A8" s="10"/>
      <c r="B8" s="13" t="s">
        <v>2400</v>
      </c>
      <c r="C8" s="12"/>
      <c r="D8" s="12"/>
      <c r="E8" s="12">
        <v>47920</v>
      </c>
    </row>
    <row r="9" spans="1:5">
      <c r="A9" s="10"/>
      <c r="B9" s="13" t="s">
        <v>2401</v>
      </c>
      <c r="C9" s="12"/>
      <c r="D9" s="12"/>
      <c r="E9" s="12">
        <v>80814.571428571435</v>
      </c>
    </row>
    <row r="10" spans="1:5">
      <c r="A10" s="10"/>
      <c r="B10" s="13" t="s">
        <v>2402</v>
      </c>
      <c r="C10" s="12"/>
      <c r="D10" s="12"/>
      <c r="E10" s="12">
        <v>64659.666666666664</v>
      </c>
    </row>
    <row r="11" spans="1:5">
      <c r="A11" s="10"/>
      <c r="B11" s="13" t="s">
        <v>2403</v>
      </c>
      <c r="C11" s="12"/>
      <c r="D11" s="12"/>
      <c r="E11" s="12">
        <v>85196.333333333328</v>
      </c>
    </row>
    <row r="12" spans="1:5">
      <c r="A12" s="10"/>
      <c r="B12" s="13" t="s">
        <v>2404</v>
      </c>
      <c r="C12" s="12"/>
      <c r="D12" s="12"/>
      <c r="E12" s="12">
        <v>41990</v>
      </c>
    </row>
    <row r="13" spans="1:5">
      <c r="A13" s="10"/>
      <c r="B13" s="13" t="s">
        <v>2405</v>
      </c>
      <c r="C13" s="12"/>
      <c r="D13" s="12"/>
      <c r="E13" s="12">
        <v>51490</v>
      </c>
    </row>
    <row r="14" spans="1:5">
      <c r="A14" s="10"/>
      <c r="B14" s="13" t="s">
        <v>2406</v>
      </c>
      <c r="C14" s="12"/>
      <c r="D14" s="12"/>
      <c r="E14" s="12">
        <v>55687.8</v>
      </c>
    </row>
    <row r="15" spans="1:5">
      <c r="A15" s="10"/>
      <c r="B15" s="13" t="s">
        <v>2407</v>
      </c>
      <c r="C15" s="12"/>
      <c r="D15" s="12"/>
      <c r="E15" s="12">
        <v>38663.333333333336</v>
      </c>
    </row>
    <row r="16" spans="1:5">
      <c r="A16" s="10"/>
      <c r="B16" s="13" t="s">
        <v>2408</v>
      </c>
      <c r="C16" s="12"/>
      <c r="D16" s="12"/>
      <c r="E16" s="12">
        <v>104662.66666666667</v>
      </c>
    </row>
    <row r="17" spans="1:5">
      <c r="A17" s="10"/>
      <c r="B17" s="13" t="s">
        <v>2409</v>
      </c>
      <c r="C17" s="12"/>
      <c r="D17" s="12"/>
      <c r="E17" s="12">
        <v>49191.5</v>
      </c>
    </row>
    <row r="18" spans="1:5">
      <c r="A18" s="10"/>
      <c r="B18" s="13" t="s">
        <v>2410</v>
      </c>
      <c r="C18" s="12"/>
      <c r="D18" s="12"/>
      <c r="E18" s="12">
        <v>45492.25</v>
      </c>
    </row>
    <row r="19" spans="1:5">
      <c r="A19" s="10"/>
      <c r="B19" s="13" t="s">
        <v>2411</v>
      </c>
      <c r="C19" s="12"/>
      <c r="D19" s="12"/>
      <c r="E19" s="12">
        <v>92999</v>
      </c>
    </row>
    <row r="20" spans="1:5">
      <c r="A20" s="10"/>
      <c r="B20" s="13" t="s">
        <v>2412</v>
      </c>
      <c r="C20" s="12"/>
      <c r="D20" s="12"/>
      <c r="E20" s="12">
        <v>56490</v>
      </c>
    </row>
    <row r="21" spans="1:5">
      <c r="A21" s="10"/>
      <c r="B21" s="13" t="s">
        <v>2413</v>
      </c>
      <c r="C21" s="12"/>
      <c r="D21" s="12"/>
      <c r="E21" s="12">
        <v>64994.5</v>
      </c>
    </row>
    <row r="22" spans="1:5">
      <c r="A22" s="10"/>
      <c r="B22" s="13" t="s">
        <v>2414</v>
      </c>
      <c r="C22" s="12"/>
      <c r="D22" s="12"/>
      <c r="E22" s="12">
        <v>184990</v>
      </c>
    </row>
    <row r="23" spans="1:5">
      <c r="A23" s="10"/>
      <c r="B23" s="13" t="s">
        <v>2415</v>
      </c>
      <c r="C23" s="12"/>
      <c r="D23" s="12"/>
      <c r="E23" s="12">
        <v>46517.2</v>
      </c>
    </row>
    <row r="24" spans="1:5">
      <c r="A24" s="10"/>
      <c r="B24" s="13" t="s">
        <v>2416</v>
      </c>
      <c r="C24" s="12"/>
      <c r="D24" s="12"/>
      <c r="E24" s="12">
        <v>41058.625</v>
      </c>
    </row>
    <row r="25" spans="1:5">
      <c r="A25" s="10"/>
      <c r="B25" s="13" t="s">
        <v>2417</v>
      </c>
      <c r="C25" s="12"/>
      <c r="D25" s="12"/>
      <c r="E25" s="12">
        <v>55650.36363636364</v>
      </c>
    </row>
    <row r="26" spans="1:5">
      <c r="A26" s="10"/>
      <c r="B26" s="13" t="s">
        <v>1873</v>
      </c>
      <c r="C26" s="12"/>
      <c r="D26" s="12"/>
      <c r="E26" s="12">
        <v>21990</v>
      </c>
    </row>
    <row r="27" spans="1:5">
      <c r="A27" s="10"/>
      <c r="B27" s="13" t="s">
        <v>2418</v>
      </c>
      <c r="C27" s="12"/>
      <c r="D27" s="12"/>
      <c r="E27" s="12">
        <v>47990</v>
      </c>
    </row>
    <row r="28" spans="1:5">
      <c r="A28" s="10"/>
      <c r="B28" s="13" t="s">
        <v>2419</v>
      </c>
      <c r="C28" s="12"/>
      <c r="D28" s="12"/>
      <c r="E28" s="12">
        <v>29255.714285714286</v>
      </c>
    </row>
    <row r="29" spans="1:5">
      <c r="A29" s="10"/>
      <c r="B29" s="13" t="s">
        <v>2420</v>
      </c>
      <c r="C29" s="12"/>
      <c r="D29" s="12"/>
      <c r="E29" s="12">
        <v>51570</v>
      </c>
    </row>
    <row r="30" spans="1:5">
      <c r="A30" s="10"/>
      <c r="B30" s="13" t="s">
        <v>2421</v>
      </c>
      <c r="C30" s="12"/>
      <c r="D30" s="12"/>
      <c r="E30" s="12">
        <v>16990</v>
      </c>
    </row>
    <row r="31" spans="1:5">
      <c r="A31" s="10"/>
      <c r="B31" s="13" t="s">
        <v>2422</v>
      </c>
      <c r="C31" s="12"/>
      <c r="D31" s="12">
        <v>47999</v>
      </c>
      <c r="E31" s="12">
        <v>42883.333333333336</v>
      </c>
    </row>
    <row r="32" spans="1:5">
      <c r="A32" s="10"/>
      <c r="B32" s="13" t="s">
        <v>2423</v>
      </c>
      <c r="C32" s="12"/>
      <c r="D32" s="12">
        <v>23999</v>
      </c>
      <c r="E32" s="12"/>
    </row>
    <row r="33" spans="1:5">
      <c r="A33" s="10"/>
      <c r="B33" s="13" t="s">
        <v>2424</v>
      </c>
      <c r="C33" s="12"/>
      <c r="D33" s="12">
        <v>18999</v>
      </c>
      <c r="E33" s="12"/>
    </row>
    <row r="34" spans="1:5">
      <c r="A34" s="10" t="s">
        <v>2425</v>
      </c>
      <c r="B34" s="13" t="s">
        <v>2398</v>
      </c>
      <c r="C34" s="12"/>
      <c r="D34" s="12"/>
      <c r="E34" s="12">
        <v>155490</v>
      </c>
    </row>
    <row r="35" spans="1:5">
      <c r="A35" s="10"/>
      <c r="B35" s="13" t="s">
        <v>2426</v>
      </c>
      <c r="C35" s="12"/>
      <c r="D35" s="12"/>
      <c r="E35" s="12">
        <v>159490</v>
      </c>
    </row>
    <row r="36" spans="1:5">
      <c r="A36" s="10"/>
      <c r="B36" s="13" t="s">
        <v>2427</v>
      </c>
      <c r="C36" s="12"/>
      <c r="D36" s="12"/>
      <c r="E36" s="12">
        <v>118990</v>
      </c>
    </row>
    <row r="37" spans="1:5">
      <c r="A37" s="10"/>
      <c r="B37" s="13" t="s">
        <v>2428</v>
      </c>
      <c r="C37" s="12"/>
      <c r="D37" s="12"/>
      <c r="E37" s="12">
        <v>192390</v>
      </c>
    </row>
    <row r="38" spans="1:5">
      <c r="A38" s="10"/>
      <c r="B38" s="13" t="s">
        <v>2399</v>
      </c>
      <c r="C38" s="12"/>
      <c r="D38" s="12"/>
      <c r="E38" s="12">
        <v>208960</v>
      </c>
    </row>
    <row r="39" spans="1:5">
      <c r="A39" s="10"/>
      <c r="B39" s="13" t="s">
        <v>2429</v>
      </c>
      <c r="C39" s="12"/>
      <c r="D39" s="12"/>
      <c r="E39" s="12">
        <v>257996.5</v>
      </c>
    </row>
    <row r="40" spans="1:5">
      <c r="A40" s="10"/>
      <c r="B40" s="13" t="s">
        <v>2400</v>
      </c>
      <c r="C40" s="12"/>
      <c r="D40" s="12"/>
      <c r="E40" s="12">
        <v>155640.06060606061</v>
      </c>
    </row>
    <row r="41" spans="1:5">
      <c r="A41" s="10"/>
      <c r="B41" s="13" t="s">
        <v>2430</v>
      </c>
      <c r="C41" s="12"/>
      <c r="D41" s="12"/>
      <c r="E41" s="12">
        <v>248490</v>
      </c>
    </row>
    <row r="42" spans="1:5">
      <c r="A42" s="10"/>
      <c r="B42" s="13" t="s">
        <v>2401</v>
      </c>
      <c r="C42" s="12"/>
      <c r="D42" s="12"/>
      <c r="E42" s="12">
        <v>143632.41379310345</v>
      </c>
    </row>
    <row r="43" spans="1:5">
      <c r="A43" s="10"/>
      <c r="B43" s="13" t="s">
        <v>2431</v>
      </c>
      <c r="C43" s="12"/>
      <c r="D43" s="12"/>
      <c r="E43" s="12">
        <v>120490</v>
      </c>
    </row>
    <row r="44" spans="1:5">
      <c r="A44" s="10"/>
      <c r="B44" s="13" t="s">
        <v>2402</v>
      </c>
      <c r="C44" s="12"/>
      <c r="D44" s="12"/>
      <c r="E44" s="12">
        <v>97040</v>
      </c>
    </row>
    <row r="45" spans="1:5">
      <c r="A45" s="10"/>
      <c r="B45" s="13" t="s">
        <v>2406</v>
      </c>
      <c r="C45" s="12"/>
      <c r="D45" s="12"/>
      <c r="E45" s="12">
        <v>191990</v>
      </c>
    </row>
    <row r="46" spans="1:5">
      <c r="A46" s="10"/>
      <c r="B46" s="13" t="s">
        <v>2410</v>
      </c>
      <c r="C46" s="12"/>
      <c r="D46" s="12"/>
      <c r="E46" s="12">
        <v>136990</v>
      </c>
    </row>
    <row r="47" spans="1:5">
      <c r="A47" s="10"/>
      <c r="B47" s="13" t="s">
        <v>2417</v>
      </c>
      <c r="C47" s="12"/>
      <c r="D47" s="12"/>
      <c r="E47" s="12">
        <v>271823.33333333331</v>
      </c>
    </row>
    <row r="48" spans="1:5">
      <c r="A48" s="10"/>
      <c r="B48" s="13" t="s">
        <v>2424</v>
      </c>
      <c r="C48" s="12"/>
      <c r="D48" s="12">
        <v>229990</v>
      </c>
      <c r="E48" s="12"/>
    </row>
    <row r="49" spans="1:5">
      <c r="A49" s="10" t="s">
        <v>2432</v>
      </c>
      <c r="B49" s="13" t="s">
        <v>2426</v>
      </c>
      <c r="C49" s="12"/>
      <c r="D49" s="12"/>
      <c r="E49" s="12">
        <v>119990</v>
      </c>
    </row>
    <row r="50" spans="1:5">
      <c r="A50" s="10"/>
      <c r="B50" s="13" t="s">
        <v>2427</v>
      </c>
      <c r="C50" s="12"/>
      <c r="D50" s="12"/>
      <c r="E50" s="12">
        <v>99990</v>
      </c>
    </row>
    <row r="51" spans="1:5">
      <c r="A51" s="10"/>
      <c r="B51" s="13" t="s">
        <v>2428</v>
      </c>
      <c r="C51" s="12"/>
      <c r="D51" s="12"/>
      <c r="E51" s="12">
        <v>279990</v>
      </c>
    </row>
    <row r="52" spans="1:5">
      <c r="A52" s="10"/>
      <c r="B52" s="13" t="s">
        <v>2399</v>
      </c>
      <c r="C52" s="12"/>
      <c r="D52" s="12"/>
      <c r="E52" s="12">
        <v>159990</v>
      </c>
    </row>
    <row r="53" spans="1:5">
      <c r="A53" s="10"/>
      <c r="B53" s="13" t="s">
        <v>2400</v>
      </c>
      <c r="C53" s="12"/>
      <c r="D53" s="12"/>
      <c r="E53" s="12">
        <v>142737.28947368421</v>
      </c>
    </row>
    <row r="54" spans="1:5">
      <c r="A54" s="10"/>
      <c r="B54" s="13" t="s">
        <v>2401</v>
      </c>
      <c r="C54" s="12"/>
      <c r="D54" s="12"/>
      <c r="E54" s="12">
        <v>111871.68965517242</v>
      </c>
    </row>
    <row r="55" spans="1:5">
      <c r="A55" s="10"/>
      <c r="B55" s="13" t="s">
        <v>2431</v>
      </c>
      <c r="C55" s="12"/>
      <c r="D55" s="12"/>
      <c r="E55" s="12">
        <v>87447.666666666672</v>
      </c>
    </row>
    <row r="56" spans="1:5">
      <c r="A56" s="10"/>
      <c r="B56" s="13" t="s">
        <v>2433</v>
      </c>
      <c r="C56" s="12"/>
      <c r="D56" s="12"/>
      <c r="E56" s="12">
        <v>74313.5</v>
      </c>
    </row>
    <row r="57" spans="1:5">
      <c r="A57" s="10"/>
      <c r="B57" s="13" t="s">
        <v>2434</v>
      </c>
      <c r="C57" s="12"/>
      <c r="D57" s="12"/>
      <c r="E57" s="12">
        <v>83990</v>
      </c>
    </row>
    <row r="58" spans="1:5">
      <c r="A58" s="10"/>
      <c r="B58" s="13" t="s">
        <v>2435</v>
      </c>
      <c r="C58" s="12"/>
      <c r="D58" s="12"/>
      <c r="E58" s="12">
        <v>68990</v>
      </c>
    </row>
    <row r="59" spans="1:5">
      <c r="A59" s="10"/>
      <c r="B59" s="13" t="s">
        <v>2436</v>
      </c>
      <c r="C59" s="12"/>
      <c r="D59" s="12"/>
      <c r="E59" s="12">
        <v>54990</v>
      </c>
    </row>
    <row r="60" spans="1:5">
      <c r="A60" s="10"/>
      <c r="B60" s="13" t="s">
        <v>2402</v>
      </c>
      <c r="C60" s="12"/>
      <c r="D60" s="12"/>
      <c r="E60" s="12">
        <v>67218.818181818177</v>
      </c>
    </row>
    <row r="61" spans="1:5">
      <c r="A61" s="10"/>
      <c r="B61" s="13" t="s">
        <v>2403</v>
      </c>
      <c r="C61" s="12"/>
      <c r="D61" s="12"/>
      <c r="E61" s="12">
        <v>81615.529411764699</v>
      </c>
    </row>
    <row r="62" spans="1:5">
      <c r="A62" s="10"/>
      <c r="B62" s="13" t="s">
        <v>2404</v>
      </c>
      <c r="C62" s="12"/>
      <c r="D62" s="12"/>
      <c r="E62" s="12">
        <v>55684</v>
      </c>
    </row>
    <row r="63" spans="1:5">
      <c r="A63" s="10"/>
      <c r="B63" s="13" t="s">
        <v>2405</v>
      </c>
      <c r="C63" s="12"/>
      <c r="D63" s="12"/>
      <c r="E63" s="12">
        <v>73901.399999999994</v>
      </c>
    </row>
    <row r="64" spans="1:5">
      <c r="A64" s="10"/>
      <c r="B64" s="13" t="s">
        <v>2406</v>
      </c>
      <c r="C64" s="12"/>
      <c r="D64" s="12"/>
      <c r="E64" s="12">
        <v>59429.875</v>
      </c>
    </row>
    <row r="65" spans="1:5">
      <c r="A65" s="10"/>
      <c r="B65" s="13" t="s">
        <v>2407</v>
      </c>
      <c r="C65" s="12"/>
      <c r="D65" s="12"/>
      <c r="E65" s="12">
        <v>66850.28571428571</v>
      </c>
    </row>
    <row r="66" spans="1:5">
      <c r="A66" s="10"/>
      <c r="B66" s="13" t="s">
        <v>2437</v>
      </c>
      <c r="C66" s="12"/>
      <c r="D66" s="12"/>
      <c r="E66" s="12">
        <v>100170</v>
      </c>
    </row>
    <row r="67" spans="1:5">
      <c r="A67" s="10"/>
      <c r="B67" s="13" t="s">
        <v>2438</v>
      </c>
      <c r="C67" s="12"/>
      <c r="D67" s="12"/>
      <c r="E67" s="12">
        <v>60990</v>
      </c>
    </row>
    <row r="68" spans="1:5">
      <c r="A68" s="10"/>
      <c r="B68" s="13" t="s">
        <v>2439</v>
      </c>
      <c r="C68" s="12"/>
      <c r="D68" s="12"/>
      <c r="E68" s="12">
        <v>49490</v>
      </c>
    </row>
    <row r="69" spans="1:5">
      <c r="A69" s="10"/>
      <c r="B69" s="13" t="s">
        <v>2440</v>
      </c>
      <c r="C69" s="12"/>
      <c r="D69" s="12"/>
      <c r="E69" s="12">
        <v>102445</v>
      </c>
    </row>
    <row r="70" spans="1:5">
      <c r="A70" s="10"/>
      <c r="B70" s="13" t="s">
        <v>2408</v>
      </c>
      <c r="C70" s="12"/>
      <c r="D70" s="12"/>
      <c r="E70" s="12">
        <v>93742</v>
      </c>
    </row>
    <row r="71" spans="1:5">
      <c r="A71" s="10"/>
      <c r="B71" s="13" t="s">
        <v>2409</v>
      </c>
      <c r="C71" s="12"/>
      <c r="D71" s="12"/>
      <c r="E71" s="12">
        <v>47634.612903225803</v>
      </c>
    </row>
    <row r="72" spans="1:5">
      <c r="A72" s="10"/>
      <c r="B72" s="13" t="s">
        <v>2410</v>
      </c>
      <c r="C72" s="12"/>
      <c r="D72" s="12"/>
      <c r="E72" s="12">
        <v>77562.058823529413</v>
      </c>
    </row>
    <row r="73" spans="1:5">
      <c r="A73" s="10"/>
      <c r="B73" s="13" t="s">
        <v>2411</v>
      </c>
      <c r="C73" s="12"/>
      <c r="D73" s="12"/>
      <c r="E73" s="12">
        <v>49775.666666666664</v>
      </c>
    </row>
    <row r="74" spans="1:5">
      <c r="A74" s="10"/>
      <c r="B74" s="13" t="s">
        <v>2414</v>
      </c>
      <c r="C74" s="12"/>
      <c r="D74" s="12"/>
      <c r="E74" s="12">
        <v>78490</v>
      </c>
    </row>
    <row r="75" spans="1:5">
      <c r="A75" s="10"/>
      <c r="B75" s="13" t="s">
        <v>2441</v>
      </c>
      <c r="C75" s="12"/>
      <c r="D75" s="12"/>
      <c r="E75" s="12">
        <v>85990</v>
      </c>
    </row>
    <row r="76" spans="1:5">
      <c r="A76" s="10"/>
      <c r="B76" s="13" t="s">
        <v>2442</v>
      </c>
      <c r="C76" s="12"/>
      <c r="D76" s="12"/>
      <c r="E76" s="12">
        <v>41459.833333333336</v>
      </c>
    </row>
    <row r="77" spans="1:5">
      <c r="A77" s="10"/>
      <c r="B77" s="13" t="s">
        <v>2415</v>
      </c>
      <c r="C77" s="12"/>
      <c r="D77" s="12"/>
      <c r="E77" s="12">
        <v>62979.416666666664</v>
      </c>
    </row>
    <row r="78" spans="1:5">
      <c r="A78" s="10"/>
      <c r="B78" s="13" t="s">
        <v>2416</v>
      </c>
      <c r="C78" s="12"/>
      <c r="D78" s="12"/>
      <c r="E78" s="12">
        <v>59156.342857142859</v>
      </c>
    </row>
    <row r="79" spans="1:5">
      <c r="A79" s="10"/>
      <c r="B79" s="13" t="s">
        <v>2417</v>
      </c>
      <c r="C79" s="12"/>
      <c r="D79" s="12"/>
      <c r="E79" s="12">
        <v>89071.361111111109</v>
      </c>
    </row>
    <row r="80" spans="1:5">
      <c r="A80" s="10"/>
      <c r="B80" s="13" t="s">
        <v>2443</v>
      </c>
      <c r="C80" s="12"/>
      <c r="D80" s="12"/>
      <c r="E80" s="12">
        <v>161990</v>
      </c>
    </row>
    <row r="81" spans="1:5">
      <c r="A81" s="10"/>
      <c r="B81" s="13" t="s">
        <v>2444</v>
      </c>
      <c r="C81" s="12"/>
      <c r="D81" s="12"/>
      <c r="E81" s="12">
        <v>62240</v>
      </c>
    </row>
    <row r="82" spans="1:5">
      <c r="A82" s="10"/>
      <c r="B82" s="13" t="s">
        <v>2445</v>
      </c>
      <c r="C82" s="12"/>
      <c r="D82" s="12"/>
      <c r="E82" s="12">
        <v>70026</v>
      </c>
    </row>
    <row r="83" spans="1:5">
      <c r="A83" s="10"/>
      <c r="B83" s="13" t="s">
        <v>1873</v>
      </c>
      <c r="C83" s="12"/>
      <c r="D83" s="12"/>
      <c r="E83" s="12">
        <v>48889.666666666664</v>
      </c>
    </row>
    <row r="84" spans="1:5">
      <c r="A84" s="10"/>
      <c r="B84" s="13" t="s">
        <v>2418</v>
      </c>
      <c r="C84" s="12"/>
      <c r="D84" s="12"/>
      <c r="E84" s="12">
        <v>71246</v>
      </c>
    </row>
    <row r="85" spans="1:5">
      <c r="A85" s="10"/>
      <c r="B85" s="13" t="s">
        <v>2419</v>
      </c>
      <c r="C85" s="12"/>
      <c r="D85" s="12"/>
      <c r="E85" s="12">
        <v>57194.625</v>
      </c>
    </row>
    <row r="86" spans="1:5">
      <c r="A86" s="10"/>
      <c r="B86" s="13" t="s">
        <v>2420</v>
      </c>
      <c r="C86" s="12"/>
      <c r="D86" s="12"/>
      <c r="E86" s="12">
        <v>84587.666666666672</v>
      </c>
    </row>
    <row r="87" spans="1:5">
      <c r="A87" s="10"/>
      <c r="B87" s="13" t="s">
        <v>2446</v>
      </c>
      <c r="C87" s="12"/>
      <c r="D87" s="12"/>
      <c r="E87" s="12">
        <v>50990</v>
      </c>
    </row>
    <row r="88" spans="1:5">
      <c r="A88" s="10"/>
      <c r="B88" s="13" t="s">
        <v>2447</v>
      </c>
      <c r="C88" s="12"/>
      <c r="D88" s="12"/>
      <c r="E88" s="12">
        <v>61990</v>
      </c>
    </row>
    <row r="89" spans="1:5">
      <c r="A89" s="10"/>
      <c r="B89" s="13" t="s">
        <v>2448</v>
      </c>
      <c r="C89" s="12"/>
      <c r="D89" s="12"/>
      <c r="E89" s="12">
        <v>56244.5</v>
      </c>
    </row>
    <row r="90" spans="1:5">
      <c r="A90" s="10"/>
      <c r="B90" s="13" t="s">
        <v>2449</v>
      </c>
      <c r="C90" s="12"/>
      <c r="D90" s="12"/>
      <c r="E90" s="12">
        <v>64744.5</v>
      </c>
    </row>
    <row r="91" spans="1:5">
      <c r="A91" s="10"/>
      <c r="B91" s="13" t="s">
        <v>2450</v>
      </c>
      <c r="C91" s="12"/>
      <c r="D91" s="12"/>
      <c r="E91" s="12">
        <v>102656.66666666667</v>
      </c>
    </row>
    <row r="92" spans="1:5">
      <c r="A92" s="10"/>
      <c r="B92" s="13" t="s">
        <v>2422</v>
      </c>
      <c r="C92" s="12"/>
      <c r="D92" s="12">
        <v>92990</v>
      </c>
      <c r="E92" s="12">
        <v>85194.2</v>
      </c>
    </row>
    <row r="93" spans="1:5">
      <c r="A93" s="10"/>
      <c r="B93" s="13" t="s">
        <v>2451</v>
      </c>
      <c r="C93" s="12"/>
      <c r="D93" s="12">
        <v>57990</v>
      </c>
      <c r="E93" s="12"/>
    </row>
    <row r="94" spans="1:5">
      <c r="A94" s="10"/>
      <c r="B94" s="13" t="s">
        <v>2423</v>
      </c>
      <c r="C94" s="12"/>
      <c r="D94" s="12">
        <v>150534.66666666666</v>
      </c>
      <c r="E94" s="12"/>
    </row>
    <row r="95" spans="1:5">
      <c r="A95" s="10"/>
      <c r="B95" s="13" t="s">
        <v>2424</v>
      </c>
      <c r="C95" s="12"/>
      <c r="D95" s="12">
        <v>137494.41666666666</v>
      </c>
      <c r="E95" s="12"/>
    </row>
    <row r="96" spans="1:5">
      <c r="A96" s="10"/>
      <c r="B96" s="13" t="s">
        <v>2452</v>
      </c>
      <c r="C96" s="12"/>
      <c r="D96" s="12">
        <v>153835</v>
      </c>
      <c r="E96" s="12"/>
    </row>
    <row r="97" spans="1:5">
      <c r="A97" s="10"/>
      <c r="B97" s="13" t="s">
        <v>2453</v>
      </c>
      <c r="C97" s="12">
        <v>26990</v>
      </c>
      <c r="D97" s="12">
        <v>130363</v>
      </c>
      <c r="E97" s="12"/>
    </row>
    <row r="98" spans="1:5">
      <c r="A98" s="10"/>
      <c r="B98" s="13" t="s">
        <v>2454</v>
      </c>
      <c r="C98" s="12">
        <v>49968</v>
      </c>
      <c r="D98" s="12"/>
      <c r="E98" s="12"/>
    </row>
    <row r="99" spans="1:5">
      <c r="A99" s="10"/>
      <c r="B99" s="13" t="s">
        <v>2455</v>
      </c>
      <c r="C99" s="12">
        <v>55990</v>
      </c>
      <c r="D99" s="12"/>
      <c r="E99" s="12"/>
    </row>
    <row r="100" spans="1:5">
      <c r="A100" s="10"/>
      <c r="B100" s="13" t="s">
        <v>2456</v>
      </c>
      <c r="C100" s="12">
        <v>161422.66666666666</v>
      </c>
      <c r="D100" s="12"/>
      <c r="E100" s="12"/>
    </row>
    <row r="101" spans="1:5">
      <c r="A101" s="10"/>
      <c r="B101" s="13" t="s">
        <v>2457</v>
      </c>
      <c r="C101" s="12">
        <v>136490</v>
      </c>
      <c r="D101" s="12"/>
      <c r="E101" s="12"/>
    </row>
    <row r="102" spans="1:5">
      <c r="A102" s="10"/>
      <c r="B102" s="13" t="s">
        <v>2458</v>
      </c>
      <c r="C102" s="12">
        <v>361990</v>
      </c>
      <c r="D102" s="12"/>
      <c r="E102" s="12"/>
    </row>
    <row r="103" spans="1:5">
      <c r="A103" s="10" t="s">
        <v>2459</v>
      </c>
      <c r="B103" s="13" t="s">
        <v>2419</v>
      </c>
      <c r="C103" s="12"/>
      <c r="D103" s="12"/>
      <c r="E103" s="12">
        <v>15871</v>
      </c>
    </row>
    <row r="104" spans="1:5">
      <c r="A104" s="10" t="s">
        <v>2460</v>
      </c>
      <c r="B104" s="13" t="s">
        <v>2428</v>
      </c>
      <c r="C104" s="12"/>
      <c r="D104" s="12"/>
      <c r="E104" s="12">
        <v>169671.5</v>
      </c>
    </row>
    <row r="105" spans="1:5">
      <c r="A105" s="10"/>
      <c r="B105" s="13" t="s">
        <v>2399</v>
      </c>
      <c r="C105" s="12"/>
      <c r="D105" s="12"/>
      <c r="E105" s="12">
        <v>213464.66666666666</v>
      </c>
    </row>
    <row r="106" spans="1:5">
      <c r="A106" s="10"/>
      <c r="B106" s="13" t="s">
        <v>2400</v>
      </c>
      <c r="C106" s="12"/>
      <c r="D106" s="12"/>
      <c r="E106" s="12">
        <v>97678.428571428565</v>
      </c>
    </row>
    <row r="107" spans="1:5">
      <c r="A107" s="10"/>
      <c r="B107" s="13" t="s">
        <v>2401</v>
      </c>
      <c r="C107" s="12"/>
      <c r="D107" s="12"/>
      <c r="E107" s="12">
        <v>68305.777777777781</v>
      </c>
    </row>
    <row r="108" spans="1:5">
      <c r="A108" s="10"/>
      <c r="B108" s="13" t="s">
        <v>2402</v>
      </c>
      <c r="C108" s="12"/>
      <c r="D108" s="12"/>
      <c r="E108" s="12">
        <v>29924</v>
      </c>
    </row>
    <row r="109" spans="1:5">
      <c r="A109" s="10"/>
      <c r="B109" s="13" t="s">
        <v>2403</v>
      </c>
      <c r="C109" s="12"/>
      <c r="D109" s="12"/>
      <c r="E109" s="12">
        <v>58990</v>
      </c>
    </row>
    <row r="110" spans="1:5">
      <c r="A110" s="10"/>
      <c r="B110" s="13" t="s">
        <v>2404</v>
      </c>
      <c r="C110" s="12"/>
      <c r="D110" s="12"/>
      <c r="E110" s="12">
        <v>69840</v>
      </c>
    </row>
    <row r="111" spans="1:5">
      <c r="A111" s="10"/>
      <c r="B111" s="13" t="s">
        <v>2405</v>
      </c>
      <c r="C111" s="12"/>
      <c r="D111" s="12"/>
      <c r="E111" s="12">
        <v>58994.5</v>
      </c>
    </row>
    <row r="112" spans="1:5">
      <c r="A112" s="10"/>
      <c r="B112" s="13" t="s">
        <v>2406</v>
      </c>
      <c r="C112" s="12"/>
      <c r="D112" s="12"/>
      <c r="E112" s="12">
        <v>31960</v>
      </c>
    </row>
    <row r="113" spans="1:5">
      <c r="A113" s="10"/>
      <c r="B113" s="13" t="s">
        <v>2407</v>
      </c>
      <c r="C113" s="12"/>
      <c r="D113" s="12"/>
      <c r="E113" s="12">
        <v>57190</v>
      </c>
    </row>
    <row r="114" spans="1:5">
      <c r="A114" s="10"/>
      <c r="B114" s="13" t="s">
        <v>2409</v>
      </c>
      <c r="C114" s="12"/>
      <c r="D114" s="12"/>
      <c r="E114" s="12">
        <v>64040</v>
      </c>
    </row>
    <row r="115" spans="1:5">
      <c r="A115" s="10"/>
      <c r="B115" s="13" t="s">
        <v>2410</v>
      </c>
      <c r="C115" s="12"/>
      <c r="D115" s="12"/>
      <c r="E115" s="12">
        <v>46635.8</v>
      </c>
    </row>
    <row r="116" spans="1:5">
      <c r="A116" s="10"/>
      <c r="B116" s="13" t="s">
        <v>2411</v>
      </c>
      <c r="C116" s="12"/>
      <c r="D116" s="12"/>
      <c r="E116" s="12">
        <v>37994.5</v>
      </c>
    </row>
    <row r="117" spans="1:5">
      <c r="A117" s="10"/>
      <c r="B117" s="13" t="s">
        <v>2413</v>
      </c>
      <c r="C117" s="12"/>
      <c r="D117" s="12"/>
      <c r="E117" s="12">
        <v>67590</v>
      </c>
    </row>
    <row r="118" spans="1:5">
      <c r="A118" s="10"/>
      <c r="B118" s="13" t="s">
        <v>2414</v>
      </c>
      <c r="C118" s="12"/>
      <c r="D118" s="12"/>
      <c r="E118" s="12">
        <v>37450</v>
      </c>
    </row>
    <row r="119" spans="1:5">
      <c r="A119" s="10"/>
      <c r="B119" s="13" t="s">
        <v>2415</v>
      </c>
      <c r="C119" s="12"/>
      <c r="D119" s="12"/>
      <c r="E119" s="12">
        <v>57477.7</v>
      </c>
    </row>
    <row r="120" spans="1:5">
      <c r="A120" s="10"/>
      <c r="B120" s="13" t="s">
        <v>2416</v>
      </c>
      <c r="C120" s="12"/>
      <c r="D120" s="12"/>
      <c r="E120" s="12">
        <v>64007.814814814818</v>
      </c>
    </row>
    <row r="121" spans="1:5">
      <c r="A121" s="10"/>
      <c r="B121" s="13" t="s">
        <v>2417</v>
      </c>
      <c r="C121" s="12"/>
      <c r="D121" s="12"/>
      <c r="E121" s="12">
        <v>62927.416666666664</v>
      </c>
    </row>
    <row r="122" spans="1:5">
      <c r="A122" s="10"/>
      <c r="B122" s="13" t="s">
        <v>2461</v>
      </c>
      <c r="C122" s="12"/>
      <c r="D122" s="12"/>
      <c r="E122" s="12">
        <v>41500</v>
      </c>
    </row>
    <row r="123" spans="1:5">
      <c r="A123" s="10"/>
      <c r="B123" s="13" t="s">
        <v>2443</v>
      </c>
      <c r="C123" s="12"/>
      <c r="D123" s="12"/>
      <c r="E123" s="12">
        <v>96433</v>
      </c>
    </row>
    <row r="124" spans="1:5">
      <c r="A124" s="10"/>
      <c r="B124" s="13" t="s">
        <v>2444</v>
      </c>
      <c r="C124" s="12"/>
      <c r="D124" s="12"/>
      <c r="E124" s="12">
        <v>51176.5</v>
      </c>
    </row>
    <row r="125" spans="1:5">
      <c r="A125" s="10"/>
      <c r="B125" s="13" t="s">
        <v>1873</v>
      </c>
      <c r="C125" s="12"/>
      <c r="D125" s="12"/>
      <c r="E125" s="12">
        <v>30999</v>
      </c>
    </row>
    <row r="126" spans="1:5">
      <c r="A126" s="10"/>
      <c r="B126" s="13" t="s">
        <v>2418</v>
      </c>
      <c r="C126" s="12"/>
      <c r="D126" s="12"/>
      <c r="E126" s="12">
        <v>39990</v>
      </c>
    </row>
    <row r="127" spans="1:5">
      <c r="A127" s="10"/>
      <c r="B127" s="13" t="s">
        <v>2419</v>
      </c>
      <c r="C127" s="12"/>
      <c r="D127" s="12"/>
      <c r="E127" s="12">
        <v>64461.7</v>
      </c>
    </row>
    <row r="128" spans="1:5">
      <c r="A128" s="10"/>
      <c r="B128" s="13" t="s">
        <v>2420</v>
      </c>
      <c r="C128" s="12"/>
      <c r="D128" s="12"/>
      <c r="E128" s="12">
        <v>70052.666666666672</v>
      </c>
    </row>
    <row r="129" spans="1:5">
      <c r="A129" s="10"/>
      <c r="B129" s="13" t="s">
        <v>2422</v>
      </c>
      <c r="C129" s="12"/>
      <c r="D129" s="12">
        <v>96220</v>
      </c>
      <c r="E129" s="12">
        <v>162895.66666666666</v>
      </c>
    </row>
    <row r="130" spans="1:5">
      <c r="A130" s="10"/>
      <c r="B130" s="13" t="s">
        <v>2451</v>
      </c>
      <c r="C130" s="12"/>
      <c r="D130" s="12">
        <v>197635</v>
      </c>
      <c r="E130" s="12"/>
    </row>
    <row r="131" spans="1:5">
      <c r="A131" s="10"/>
      <c r="B131" s="13" t="s">
        <v>2423</v>
      </c>
      <c r="C131" s="12"/>
      <c r="D131" s="12">
        <v>39496.5</v>
      </c>
      <c r="E131" s="12"/>
    </row>
    <row r="132" spans="1:5">
      <c r="A132" s="10"/>
      <c r="B132" s="13" t="s">
        <v>2424</v>
      </c>
      <c r="C132" s="12"/>
      <c r="D132" s="12">
        <v>107660</v>
      </c>
      <c r="E132" s="12"/>
    </row>
    <row r="133" spans="1:5">
      <c r="A133" s="10"/>
      <c r="B133" s="13" t="s">
        <v>2456</v>
      </c>
      <c r="C133" s="12">
        <v>169150.66666666666</v>
      </c>
      <c r="D133" s="12"/>
      <c r="E133" s="12"/>
    </row>
    <row r="134" spans="1:5">
      <c r="A134" s="10"/>
      <c r="B134" s="13" t="s">
        <v>2457</v>
      </c>
      <c r="C134" s="12">
        <v>76000</v>
      </c>
      <c r="D134" s="12"/>
      <c r="E134" s="12"/>
    </row>
    <row r="135" spans="1:5">
      <c r="A135" s="10"/>
      <c r="B135" s="13" t="s">
        <v>2462</v>
      </c>
      <c r="C135" s="12">
        <v>163660</v>
      </c>
      <c r="D135" s="12"/>
      <c r="E135" s="12"/>
    </row>
    <row r="136" spans="1:5">
      <c r="A136" s="10" t="s">
        <v>2463</v>
      </c>
      <c r="B136" s="13" t="s">
        <v>2400</v>
      </c>
      <c r="C136" s="12"/>
      <c r="D136" s="12"/>
      <c r="E136" s="12">
        <v>109990</v>
      </c>
    </row>
    <row r="137" spans="1:5">
      <c r="A137" s="10"/>
      <c r="B137" s="13" t="s">
        <v>2415</v>
      </c>
      <c r="C137" s="12"/>
      <c r="D137" s="12"/>
      <c r="E137" s="12">
        <v>79990</v>
      </c>
    </row>
    <row r="138" spans="1:5">
      <c r="A138" s="10"/>
      <c r="B138" s="13" t="s">
        <v>2417</v>
      </c>
      <c r="C138" s="12"/>
      <c r="D138" s="12"/>
      <c r="E138" s="12">
        <v>59990</v>
      </c>
    </row>
    <row r="139" spans="1:5">
      <c r="A139" s="10"/>
      <c r="B139" s="13" t="s">
        <v>2419</v>
      </c>
      <c r="C139" s="12"/>
      <c r="D139" s="12"/>
      <c r="E139" s="12">
        <v>79990</v>
      </c>
    </row>
    <row r="140" spans="1:5">
      <c r="A140" s="10"/>
      <c r="B140" s="13" t="s">
        <v>2452</v>
      </c>
      <c r="C140" s="12"/>
      <c r="D140" s="12">
        <v>69990</v>
      </c>
      <c r="E140" s="12"/>
    </row>
    <row r="141" spans="1:5">
      <c r="A141" s="10" t="s">
        <v>2464</v>
      </c>
      <c r="B141" s="13" t="s">
        <v>2401</v>
      </c>
      <c r="C141" s="12"/>
      <c r="D141" s="12"/>
      <c r="E141" s="12">
        <v>82011.333333333328</v>
      </c>
    </row>
    <row r="142" spans="1:5">
      <c r="A142" s="10"/>
      <c r="B142" s="13" t="s">
        <v>2402</v>
      </c>
      <c r="C142" s="12"/>
      <c r="D142" s="12"/>
      <c r="E142" s="12">
        <v>148500</v>
      </c>
    </row>
    <row r="143" spans="1:5">
      <c r="A143" s="10"/>
      <c r="B143" s="13" t="s">
        <v>2409</v>
      </c>
      <c r="C143" s="12"/>
      <c r="D143" s="12"/>
      <c r="E143" s="12">
        <v>78029</v>
      </c>
    </row>
    <row r="144" spans="1:5">
      <c r="A144" s="10"/>
      <c r="B144" s="13" t="s">
        <v>2410</v>
      </c>
      <c r="C144" s="12"/>
      <c r="D144" s="12"/>
      <c r="E144" s="12">
        <v>74989</v>
      </c>
    </row>
    <row r="145" spans="1:5">
      <c r="A145" s="10"/>
      <c r="B145" s="13" t="s">
        <v>2415</v>
      </c>
      <c r="C145" s="12"/>
      <c r="D145" s="12"/>
      <c r="E145" s="12">
        <v>49999</v>
      </c>
    </row>
    <row r="146" spans="1:5">
      <c r="A146" s="10"/>
      <c r="B146" s="13" t="s">
        <v>2416</v>
      </c>
      <c r="C146" s="12"/>
      <c r="D146" s="12"/>
      <c r="E146" s="12">
        <v>76990</v>
      </c>
    </row>
    <row r="147" spans="1:5">
      <c r="A147" s="10"/>
      <c r="B147" s="13" t="s">
        <v>2417</v>
      </c>
      <c r="C147" s="12"/>
      <c r="D147" s="12"/>
      <c r="E147" s="12">
        <v>143700</v>
      </c>
    </row>
    <row r="148" spans="1:5">
      <c r="A148" s="10"/>
      <c r="B148" s="13" t="s">
        <v>2422</v>
      </c>
      <c r="C148" s="12"/>
      <c r="D148" s="12"/>
      <c r="E148" s="12">
        <v>193990</v>
      </c>
    </row>
    <row r="149" spans="1:5">
      <c r="A149" s="10" t="s">
        <v>2465</v>
      </c>
      <c r="B149" s="13" t="s">
        <v>2428</v>
      </c>
      <c r="C149" s="12"/>
      <c r="D149" s="12"/>
      <c r="E149" s="12">
        <v>55490</v>
      </c>
    </row>
    <row r="150" spans="1:5">
      <c r="A150" s="10"/>
      <c r="B150" s="13" t="s">
        <v>2399</v>
      </c>
      <c r="C150" s="12"/>
      <c r="D150" s="12"/>
      <c r="E150" s="12">
        <v>93807.8</v>
      </c>
    </row>
    <row r="151" spans="1:5">
      <c r="A151" s="10"/>
      <c r="B151" s="13" t="s">
        <v>2400</v>
      </c>
      <c r="C151" s="12"/>
      <c r="D151" s="12"/>
      <c r="E151" s="12">
        <v>116743.70588235294</v>
      </c>
    </row>
    <row r="152" spans="1:5">
      <c r="A152" s="10"/>
      <c r="B152" s="13" t="s">
        <v>2466</v>
      </c>
      <c r="C152" s="12"/>
      <c r="D152" s="12"/>
      <c r="E152" s="12">
        <v>32990</v>
      </c>
    </row>
    <row r="153" spans="1:5">
      <c r="A153" s="10"/>
      <c r="B153" s="13" t="s">
        <v>2401</v>
      </c>
      <c r="C153" s="12"/>
      <c r="D153" s="12"/>
      <c r="E153" s="12">
        <v>76985</v>
      </c>
    </row>
    <row r="154" spans="1:5">
      <c r="A154" s="10"/>
      <c r="B154" s="13" t="s">
        <v>2431</v>
      </c>
      <c r="C154" s="12"/>
      <c r="D154" s="12"/>
      <c r="E154" s="12">
        <v>68699.5</v>
      </c>
    </row>
    <row r="155" spans="1:5">
      <c r="A155" s="10"/>
      <c r="B155" s="13" t="s">
        <v>2433</v>
      </c>
      <c r="C155" s="12"/>
      <c r="D155" s="12"/>
      <c r="E155" s="12">
        <v>58419.5</v>
      </c>
    </row>
    <row r="156" spans="1:5">
      <c r="A156" s="10"/>
      <c r="B156" s="13" t="s">
        <v>2435</v>
      </c>
      <c r="C156" s="12"/>
      <c r="D156" s="12"/>
      <c r="E156" s="12">
        <v>42990</v>
      </c>
    </row>
    <row r="157" spans="1:5">
      <c r="A157" s="10"/>
      <c r="B157" s="13" t="s">
        <v>2402</v>
      </c>
      <c r="C157" s="12"/>
      <c r="D157" s="12"/>
      <c r="E157" s="12">
        <v>63871.888888888891</v>
      </c>
    </row>
    <row r="158" spans="1:5">
      <c r="A158" s="10"/>
      <c r="B158" s="13" t="s">
        <v>2403</v>
      </c>
      <c r="C158" s="12"/>
      <c r="D158" s="12"/>
      <c r="E158" s="12">
        <v>51862.25</v>
      </c>
    </row>
    <row r="159" spans="1:5">
      <c r="A159" s="10"/>
      <c r="B159" s="13" t="s">
        <v>2404</v>
      </c>
      <c r="C159" s="12"/>
      <c r="D159" s="12"/>
      <c r="E159" s="12">
        <v>56249.5</v>
      </c>
    </row>
    <row r="160" spans="1:5">
      <c r="A160" s="10"/>
      <c r="B160" s="13" t="s">
        <v>2405</v>
      </c>
      <c r="C160" s="12"/>
      <c r="D160" s="12"/>
      <c r="E160" s="12">
        <v>71456.666666666672</v>
      </c>
    </row>
    <row r="161" spans="1:5">
      <c r="A161" s="10"/>
      <c r="B161" s="13" t="s">
        <v>2406</v>
      </c>
      <c r="C161" s="12"/>
      <c r="D161" s="12"/>
      <c r="E161" s="12">
        <v>63538.333333333336</v>
      </c>
    </row>
    <row r="162" spans="1:5">
      <c r="A162" s="10"/>
      <c r="B162" s="13" t="s">
        <v>2407</v>
      </c>
      <c r="C162" s="12"/>
      <c r="D162" s="12"/>
      <c r="E162" s="12">
        <v>70008.583333333328</v>
      </c>
    </row>
    <row r="163" spans="1:5">
      <c r="A163" s="10"/>
      <c r="B163" s="13" t="s">
        <v>2467</v>
      </c>
      <c r="C163" s="12"/>
      <c r="D163" s="12"/>
      <c r="E163" s="12">
        <v>75142</v>
      </c>
    </row>
    <row r="164" spans="1:5">
      <c r="A164" s="10"/>
      <c r="B164" s="13" t="s">
        <v>2438</v>
      </c>
      <c r="C164" s="12"/>
      <c r="D164" s="12"/>
      <c r="E164" s="12">
        <v>75398.666666666672</v>
      </c>
    </row>
    <row r="165" spans="1:5">
      <c r="A165" s="10"/>
      <c r="B165" s="13" t="s">
        <v>2468</v>
      </c>
      <c r="C165" s="12"/>
      <c r="D165" s="12"/>
      <c r="E165" s="12">
        <v>200773</v>
      </c>
    </row>
    <row r="166" spans="1:5">
      <c r="A166" s="10"/>
      <c r="B166" s="13" t="s">
        <v>2439</v>
      </c>
      <c r="C166" s="12"/>
      <c r="D166" s="12"/>
      <c r="E166" s="12">
        <v>27990</v>
      </c>
    </row>
    <row r="167" spans="1:5">
      <c r="A167" s="10"/>
      <c r="B167" s="13" t="s">
        <v>2408</v>
      </c>
      <c r="C167" s="12"/>
      <c r="D167" s="12"/>
      <c r="E167" s="12">
        <v>51959.666666666664</v>
      </c>
    </row>
    <row r="168" spans="1:5">
      <c r="A168" s="10"/>
      <c r="B168" s="13" t="s">
        <v>2409</v>
      </c>
      <c r="C168" s="12"/>
      <c r="D168" s="12"/>
      <c r="E168" s="12">
        <v>56026</v>
      </c>
    </row>
    <row r="169" spans="1:5">
      <c r="A169" s="10"/>
      <c r="B169" s="13" t="s">
        <v>2410</v>
      </c>
      <c r="C169" s="12"/>
      <c r="D169" s="12"/>
      <c r="E169" s="12">
        <v>47849.928571428572</v>
      </c>
    </row>
    <row r="170" spans="1:5">
      <c r="A170" s="10"/>
      <c r="B170" s="13" t="s">
        <v>2411</v>
      </c>
      <c r="C170" s="12"/>
      <c r="D170" s="12"/>
      <c r="E170" s="12">
        <v>50867.25</v>
      </c>
    </row>
    <row r="171" spans="1:5">
      <c r="A171" s="10"/>
      <c r="B171" s="13" t="s">
        <v>2412</v>
      </c>
      <c r="C171" s="12"/>
      <c r="D171" s="12"/>
      <c r="E171" s="12">
        <v>89084</v>
      </c>
    </row>
    <row r="172" spans="1:5">
      <c r="A172" s="10"/>
      <c r="B172" s="13" t="s">
        <v>2442</v>
      </c>
      <c r="C172" s="12"/>
      <c r="D172" s="12"/>
      <c r="E172" s="12">
        <v>44772</v>
      </c>
    </row>
    <row r="173" spans="1:5">
      <c r="A173" s="10"/>
      <c r="B173" s="13" t="s">
        <v>2415</v>
      </c>
      <c r="C173" s="12"/>
      <c r="D173" s="12"/>
      <c r="E173" s="12">
        <v>62783.833333333336</v>
      </c>
    </row>
    <row r="174" spans="1:5">
      <c r="A174" s="10"/>
      <c r="B174" s="13" t="s">
        <v>2416</v>
      </c>
      <c r="C174" s="12"/>
      <c r="D174" s="12"/>
      <c r="E174" s="12">
        <v>51909.175000000003</v>
      </c>
    </row>
    <row r="175" spans="1:5">
      <c r="A175" s="10"/>
      <c r="B175" s="13" t="s">
        <v>2417</v>
      </c>
      <c r="C175" s="12"/>
      <c r="D175" s="12"/>
      <c r="E175" s="12">
        <v>58409.322580645159</v>
      </c>
    </row>
    <row r="176" spans="1:5">
      <c r="A176" s="10"/>
      <c r="B176" s="13" t="s">
        <v>2444</v>
      </c>
      <c r="C176" s="12"/>
      <c r="D176" s="12"/>
      <c r="E176" s="12">
        <v>56003.166666666664</v>
      </c>
    </row>
    <row r="177" spans="1:5">
      <c r="A177" s="10"/>
      <c r="B177" s="13" t="s">
        <v>2445</v>
      </c>
      <c r="C177" s="12"/>
      <c r="D177" s="12"/>
      <c r="E177" s="12">
        <v>35274</v>
      </c>
    </row>
    <row r="178" spans="1:5">
      <c r="A178" s="10"/>
      <c r="B178" s="13" t="s">
        <v>1873</v>
      </c>
      <c r="C178" s="12"/>
      <c r="D178" s="12"/>
      <c r="E178" s="12">
        <v>89990</v>
      </c>
    </row>
    <row r="179" spans="1:5">
      <c r="A179" s="10"/>
      <c r="B179" s="13" t="s">
        <v>2418</v>
      </c>
      <c r="C179" s="12"/>
      <c r="D179" s="12"/>
      <c r="E179" s="12">
        <v>68594.5</v>
      </c>
    </row>
    <row r="180" spans="1:5">
      <c r="A180" s="10"/>
      <c r="B180" s="13" t="s">
        <v>2419</v>
      </c>
      <c r="C180" s="12"/>
      <c r="D180" s="12"/>
      <c r="E180" s="12">
        <v>58461.695652173912</v>
      </c>
    </row>
    <row r="181" spans="1:5">
      <c r="A181" s="10"/>
      <c r="B181" s="13" t="s">
        <v>2420</v>
      </c>
      <c r="C181" s="12"/>
      <c r="D181" s="12"/>
      <c r="E181" s="12">
        <v>57316.42105263158</v>
      </c>
    </row>
    <row r="182" spans="1:5">
      <c r="A182" s="10"/>
      <c r="B182" s="13" t="s">
        <v>2421</v>
      </c>
      <c r="C182" s="12"/>
      <c r="D182" s="12"/>
      <c r="E182" s="12">
        <v>48853</v>
      </c>
    </row>
    <row r="183" spans="1:5">
      <c r="A183" s="10"/>
      <c r="B183" s="13" t="s">
        <v>2450</v>
      </c>
      <c r="C183" s="12"/>
      <c r="D183" s="12"/>
      <c r="E183" s="12">
        <v>86824.75</v>
      </c>
    </row>
    <row r="184" spans="1:5">
      <c r="A184" s="10"/>
      <c r="B184" s="13" t="s">
        <v>2422</v>
      </c>
      <c r="C184" s="12"/>
      <c r="D184" s="12">
        <v>48123.333333333336</v>
      </c>
      <c r="E184" s="12">
        <v>28490</v>
      </c>
    </row>
    <row r="185" spans="1:5">
      <c r="A185" s="10"/>
      <c r="B185" s="13" t="s">
        <v>2423</v>
      </c>
      <c r="C185" s="12"/>
      <c r="D185" s="12">
        <v>71153.888888888891</v>
      </c>
      <c r="E185" s="12"/>
    </row>
    <row r="186" spans="1:5">
      <c r="A186" s="10"/>
      <c r="B186" s="13" t="s">
        <v>2424</v>
      </c>
      <c r="C186" s="12"/>
      <c r="D186" s="12">
        <v>71793.333333333328</v>
      </c>
      <c r="E186" s="12"/>
    </row>
    <row r="187" spans="1:5">
      <c r="A187" s="10"/>
      <c r="B187" s="13" t="s">
        <v>2453</v>
      </c>
      <c r="C187" s="12">
        <v>85144.5</v>
      </c>
      <c r="D187" s="12"/>
      <c r="E187" s="12"/>
    </row>
    <row r="188" spans="1:5">
      <c r="A188" s="10" t="s">
        <v>2469</v>
      </c>
      <c r="B188" s="13" t="s">
        <v>2400</v>
      </c>
      <c r="C188" s="12"/>
      <c r="D188" s="12"/>
      <c r="E188" s="12">
        <v>39990</v>
      </c>
    </row>
    <row r="189" spans="1:5">
      <c r="A189" s="10"/>
      <c r="B189" s="13" t="s">
        <v>2401</v>
      </c>
      <c r="C189" s="12"/>
      <c r="D189" s="12"/>
      <c r="E189" s="12">
        <v>53990</v>
      </c>
    </row>
    <row r="190" spans="1:5">
      <c r="A190" s="10"/>
      <c r="B190" s="13" t="s">
        <v>2431</v>
      </c>
      <c r="C190" s="12"/>
      <c r="D190" s="12"/>
      <c r="E190" s="12">
        <v>49990</v>
      </c>
    </row>
    <row r="191" spans="1:5">
      <c r="A191" s="10"/>
      <c r="B191" s="13" t="s">
        <v>2402</v>
      </c>
      <c r="C191" s="12"/>
      <c r="D191" s="12"/>
      <c r="E191" s="12">
        <v>89990</v>
      </c>
    </row>
    <row r="192" spans="1:5">
      <c r="A192" s="10"/>
      <c r="B192" s="13" t="s">
        <v>2406</v>
      </c>
      <c r="C192" s="12"/>
      <c r="D192" s="12"/>
      <c r="E192" s="12">
        <v>39656.666666666664</v>
      </c>
    </row>
    <row r="193" spans="1:5">
      <c r="A193" s="10"/>
      <c r="B193" s="13" t="s">
        <v>2407</v>
      </c>
      <c r="C193" s="12"/>
      <c r="D193" s="12"/>
      <c r="E193" s="12">
        <v>53326.333333333336</v>
      </c>
    </row>
    <row r="194" spans="1:5">
      <c r="A194" s="10"/>
      <c r="B194" s="13" t="s">
        <v>2468</v>
      </c>
      <c r="C194" s="12"/>
      <c r="D194" s="12"/>
      <c r="E194" s="12">
        <v>47030</v>
      </c>
    </row>
    <row r="195" spans="1:5">
      <c r="A195" s="10"/>
      <c r="B195" s="13" t="s">
        <v>2409</v>
      </c>
      <c r="C195" s="12"/>
      <c r="D195" s="12"/>
      <c r="E195" s="12">
        <v>59990</v>
      </c>
    </row>
    <row r="196" spans="1:5">
      <c r="A196" s="10"/>
      <c r="B196" s="13" t="s">
        <v>2410</v>
      </c>
      <c r="C196" s="12"/>
      <c r="D196" s="12"/>
      <c r="E196" s="12">
        <v>36490</v>
      </c>
    </row>
    <row r="197" spans="1:5">
      <c r="A197" s="10"/>
      <c r="B197" s="13" t="s">
        <v>2411</v>
      </c>
      <c r="C197" s="12"/>
      <c r="D197" s="12"/>
      <c r="E197" s="12">
        <v>64990</v>
      </c>
    </row>
    <row r="198" spans="1:5">
      <c r="A198" s="10"/>
      <c r="B198" s="13" t="s">
        <v>2470</v>
      </c>
      <c r="C198" s="12"/>
      <c r="D198" s="12"/>
      <c r="E198" s="12">
        <v>60990</v>
      </c>
    </row>
    <row r="199" spans="1:5">
      <c r="A199" s="10"/>
      <c r="B199" s="13" t="s">
        <v>2412</v>
      </c>
      <c r="C199" s="12"/>
      <c r="D199" s="12"/>
      <c r="E199" s="12">
        <v>40994.5</v>
      </c>
    </row>
    <row r="200" spans="1:5">
      <c r="A200" s="10"/>
      <c r="B200" s="13" t="s">
        <v>2415</v>
      </c>
      <c r="C200" s="12"/>
      <c r="D200" s="12"/>
      <c r="E200" s="12">
        <v>49330.833333333336</v>
      </c>
    </row>
    <row r="201" spans="1:5">
      <c r="A201" s="10"/>
      <c r="B201" s="13" t="s">
        <v>2416</v>
      </c>
      <c r="C201" s="12"/>
      <c r="D201" s="12"/>
      <c r="E201" s="12">
        <v>44644.4</v>
      </c>
    </row>
    <row r="202" spans="1:5">
      <c r="A202" s="10"/>
      <c r="B202" s="13" t="s">
        <v>2417</v>
      </c>
      <c r="C202" s="12"/>
      <c r="D202" s="12"/>
      <c r="E202" s="12">
        <v>33369.5</v>
      </c>
    </row>
    <row r="203" spans="1:5">
      <c r="A203" s="10"/>
      <c r="B203" s="13" t="s">
        <v>2444</v>
      </c>
      <c r="C203" s="12"/>
      <c r="D203" s="12"/>
      <c r="E203" s="12">
        <v>22999</v>
      </c>
    </row>
    <row r="204" spans="1:5">
      <c r="A204" s="10"/>
      <c r="B204" s="13" t="s">
        <v>2419</v>
      </c>
      <c r="C204" s="12"/>
      <c r="D204" s="12"/>
      <c r="E204" s="12">
        <v>52994.5</v>
      </c>
    </row>
    <row r="205" spans="1:5">
      <c r="A205" s="10" t="s">
        <v>2471</v>
      </c>
      <c r="B205" s="13" t="s">
        <v>2472</v>
      </c>
      <c r="C205" s="12"/>
      <c r="D205" s="12"/>
      <c r="E205" s="12">
        <v>110990</v>
      </c>
    </row>
    <row r="206" spans="1:5">
      <c r="A206" s="10"/>
      <c r="B206" s="13" t="s">
        <v>2428</v>
      </c>
      <c r="C206" s="12"/>
      <c r="D206" s="12"/>
      <c r="E206" s="12">
        <v>65195</v>
      </c>
    </row>
    <row r="207" spans="1:5">
      <c r="A207" s="10"/>
      <c r="B207" s="13" t="s">
        <v>2400</v>
      </c>
      <c r="C207" s="12"/>
      <c r="D207" s="12"/>
      <c r="E207" s="12">
        <v>105343.63636363637</v>
      </c>
    </row>
    <row r="208" spans="1:5">
      <c r="A208" s="10"/>
      <c r="B208" s="13" t="s">
        <v>2401</v>
      </c>
      <c r="C208" s="12"/>
      <c r="D208" s="12"/>
      <c r="E208" s="12">
        <v>95001.846153846156</v>
      </c>
    </row>
    <row r="209" spans="1:5">
      <c r="A209" s="10"/>
      <c r="B209" s="13" t="s">
        <v>2431</v>
      </c>
      <c r="C209" s="12"/>
      <c r="D209" s="12"/>
      <c r="E209" s="12">
        <v>68156.666666666672</v>
      </c>
    </row>
    <row r="210" spans="1:5">
      <c r="A210" s="10"/>
      <c r="B210" s="13" t="s">
        <v>2402</v>
      </c>
      <c r="C210" s="12"/>
      <c r="D210" s="12"/>
      <c r="E210" s="12">
        <v>74875.600000000006</v>
      </c>
    </row>
    <row r="211" spans="1:5">
      <c r="A211" s="10"/>
      <c r="B211" s="13" t="s">
        <v>2403</v>
      </c>
      <c r="C211" s="12"/>
      <c r="D211" s="12"/>
      <c r="E211" s="12">
        <v>90001.111111111109</v>
      </c>
    </row>
    <row r="212" spans="1:5">
      <c r="A212" s="10"/>
      <c r="B212" s="13" t="s">
        <v>2405</v>
      </c>
      <c r="C212" s="12"/>
      <c r="D212" s="12"/>
      <c r="E212" s="12">
        <v>44659.666666666664</v>
      </c>
    </row>
    <row r="213" spans="1:5">
      <c r="A213" s="10"/>
      <c r="B213" s="13" t="s">
        <v>2406</v>
      </c>
      <c r="C213" s="12"/>
      <c r="D213" s="12"/>
      <c r="E213" s="12">
        <v>67190</v>
      </c>
    </row>
    <row r="214" spans="1:5">
      <c r="A214" s="10"/>
      <c r="B214" s="13" t="s">
        <v>2407</v>
      </c>
      <c r="C214" s="12"/>
      <c r="D214" s="12"/>
      <c r="E214" s="12">
        <v>69748.571428571435</v>
      </c>
    </row>
    <row r="215" spans="1:5">
      <c r="A215" s="10"/>
      <c r="B215" s="13" t="s">
        <v>2437</v>
      </c>
      <c r="C215" s="12"/>
      <c r="D215" s="12"/>
      <c r="E215" s="12">
        <v>75990</v>
      </c>
    </row>
    <row r="216" spans="1:5">
      <c r="A216" s="10"/>
      <c r="B216" s="13" t="s">
        <v>2438</v>
      </c>
      <c r="C216" s="12"/>
      <c r="D216" s="12"/>
      <c r="E216" s="12">
        <v>65275</v>
      </c>
    </row>
    <row r="217" spans="1:5">
      <c r="A217" s="10"/>
      <c r="B217" s="13" t="s">
        <v>2468</v>
      </c>
      <c r="C217" s="12"/>
      <c r="D217" s="12"/>
      <c r="E217" s="12">
        <v>48990</v>
      </c>
    </row>
    <row r="218" spans="1:5">
      <c r="A218" s="10"/>
      <c r="B218" s="13" t="s">
        <v>2440</v>
      </c>
      <c r="C218" s="12"/>
      <c r="D218" s="12"/>
      <c r="E218" s="12">
        <v>76935</v>
      </c>
    </row>
    <row r="219" spans="1:5">
      <c r="A219" s="10"/>
      <c r="B219" s="13" t="s">
        <v>2409</v>
      </c>
      <c r="C219" s="12"/>
      <c r="D219" s="12"/>
      <c r="E219" s="12">
        <v>62727.333333333336</v>
      </c>
    </row>
    <row r="220" spans="1:5">
      <c r="A220" s="10"/>
      <c r="B220" s="13" t="s">
        <v>2410</v>
      </c>
      <c r="C220" s="12"/>
      <c r="D220" s="12"/>
      <c r="E220" s="12">
        <v>52813.285714285717</v>
      </c>
    </row>
    <row r="221" spans="1:5">
      <c r="A221" s="10"/>
      <c r="B221" s="13" t="s">
        <v>2411</v>
      </c>
      <c r="C221" s="12"/>
      <c r="D221" s="12"/>
      <c r="E221" s="12">
        <v>74361.882352941175</v>
      </c>
    </row>
    <row r="222" spans="1:5">
      <c r="A222" s="10"/>
      <c r="B222" s="13" t="s">
        <v>2412</v>
      </c>
      <c r="C222" s="12"/>
      <c r="D222" s="12"/>
      <c r="E222" s="12">
        <v>50000</v>
      </c>
    </row>
    <row r="223" spans="1:5">
      <c r="A223" s="10"/>
      <c r="B223" s="13" t="s">
        <v>2413</v>
      </c>
      <c r="C223" s="12"/>
      <c r="D223" s="12"/>
      <c r="E223" s="12">
        <v>27395</v>
      </c>
    </row>
    <row r="224" spans="1:5">
      <c r="A224" s="10"/>
      <c r="B224" s="13" t="s">
        <v>2415</v>
      </c>
      <c r="C224" s="12"/>
      <c r="D224" s="12"/>
      <c r="E224" s="12">
        <v>66316.333333333328</v>
      </c>
    </row>
    <row r="225" spans="1:5">
      <c r="A225" s="10"/>
      <c r="B225" s="13" t="s">
        <v>2416</v>
      </c>
      <c r="C225" s="12"/>
      <c r="D225" s="12"/>
      <c r="E225" s="12">
        <v>57028.04</v>
      </c>
    </row>
    <row r="226" spans="1:5">
      <c r="A226" s="10"/>
      <c r="B226" s="13" t="s">
        <v>2417</v>
      </c>
      <c r="C226" s="12"/>
      <c r="D226" s="12"/>
      <c r="E226" s="12">
        <v>62537.666666666664</v>
      </c>
    </row>
    <row r="227" spans="1:5">
      <c r="A227" s="10"/>
      <c r="B227" s="13" t="s">
        <v>2444</v>
      </c>
      <c r="C227" s="12"/>
      <c r="D227" s="12"/>
      <c r="E227" s="12">
        <v>46453.666666666664</v>
      </c>
    </row>
    <row r="228" spans="1:5">
      <c r="A228" s="10"/>
      <c r="B228" s="13" t="s">
        <v>1873</v>
      </c>
      <c r="C228" s="12"/>
      <c r="D228" s="12"/>
      <c r="E228" s="12">
        <v>29744.5</v>
      </c>
    </row>
    <row r="229" spans="1:5">
      <c r="A229" s="10"/>
      <c r="B229" s="13" t="s">
        <v>2418</v>
      </c>
      <c r="C229" s="12"/>
      <c r="D229" s="12"/>
      <c r="E229" s="12">
        <v>42963.625</v>
      </c>
    </row>
    <row r="230" spans="1:5">
      <c r="A230" s="10"/>
      <c r="B230" s="13" t="s">
        <v>2419</v>
      </c>
      <c r="C230" s="12"/>
      <c r="D230" s="12"/>
      <c r="E230" s="12">
        <v>59404.619047619046</v>
      </c>
    </row>
    <row r="231" spans="1:5">
      <c r="A231" s="10"/>
      <c r="B231" s="13" t="s">
        <v>2420</v>
      </c>
      <c r="C231" s="12"/>
      <c r="D231" s="12"/>
      <c r="E231" s="12">
        <v>51516.052631578947</v>
      </c>
    </row>
    <row r="232" spans="1:5">
      <c r="A232" s="10"/>
      <c r="B232" s="13" t="s">
        <v>2421</v>
      </c>
      <c r="C232" s="12"/>
      <c r="D232" s="12"/>
      <c r="E232" s="12">
        <v>63990</v>
      </c>
    </row>
    <row r="233" spans="1:5">
      <c r="A233" s="10"/>
      <c r="B233" s="13" t="s">
        <v>2446</v>
      </c>
      <c r="C233" s="12"/>
      <c r="D233" s="12"/>
      <c r="E233" s="12">
        <v>62890</v>
      </c>
    </row>
    <row r="234" spans="1:5">
      <c r="A234" s="10"/>
      <c r="B234" s="13" t="s">
        <v>2447</v>
      </c>
      <c r="C234" s="12"/>
      <c r="D234" s="12"/>
      <c r="E234" s="12">
        <v>69990</v>
      </c>
    </row>
    <row r="235" spans="1:5">
      <c r="A235" s="10"/>
      <c r="B235" s="13" t="s">
        <v>2448</v>
      </c>
      <c r="C235" s="12"/>
      <c r="D235" s="12"/>
      <c r="E235" s="12">
        <v>91000</v>
      </c>
    </row>
    <row r="236" spans="1:5">
      <c r="A236" s="10"/>
      <c r="B236" s="13" t="s">
        <v>2450</v>
      </c>
      <c r="C236" s="12"/>
      <c r="D236" s="12"/>
      <c r="E236" s="12">
        <v>64490</v>
      </c>
    </row>
    <row r="237" spans="1:5">
      <c r="A237" s="10"/>
      <c r="B237" s="13" t="s">
        <v>2422</v>
      </c>
      <c r="C237" s="12"/>
      <c r="D237" s="12">
        <v>27408.333333333332</v>
      </c>
      <c r="E237" s="12">
        <v>62195</v>
      </c>
    </row>
    <row r="238" spans="1:5">
      <c r="A238" s="10"/>
      <c r="B238" s="13" t="s">
        <v>2423</v>
      </c>
      <c r="C238" s="12"/>
      <c r="D238" s="12">
        <v>40756.625</v>
      </c>
      <c r="E238" s="12"/>
    </row>
    <row r="239" spans="1:5">
      <c r="A239" s="10"/>
      <c r="B239" s="13" t="s">
        <v>2424</v>
      </c>
      <c r="C239" s="12"/>
      <c r="D239" s="12">
        <v>87819.625</v>
      </c>
      <c r="E239" s="12"/>
    </row>
    <row r="240" spans="1:5">
      <c r="A240" s="10"/>
      <c r="B240" s="13" t="s">
        <v>2452</v>
      </c>
      <c r="C240" s="12"/>
      <c r="D240" s="12">
        <v>44290</v>
      </c>
      <c r="E240" s="12"/>
    </row>
    <row r="241" spans="1:5">
      <c r="A241" s="10"/>
      <c r="B241" s="13" t="s">
        <v>2454</v>
      </c>
      <c r="C241" s="12">
        <v>78240</v>
      </c>
      <c r="D241" s="12"/>
      <c r="E241" s="12"/>
    </row>
    <row r="242" spans="1:5">
      <c r="A242" s="10"/>
      <c r="B242" s="13" t="s">
        <v>2455</v>
      </c>
      <c r="C242" s="12">
        <v>98820</v>
      </c>
      <c r="D242" s="12"/>
      <c r="E242" s="12"/>
    </row>
    <row r="243" spans="1:5">
      <c r="A243" s="10"/>
      <c r="B243" s="13" t="s">
        <v>2456</v>
      </c>
      <c r="C243" s="12">
        <v>79490.5</v>
      </c>
      <c r="D243" s="12"/>
      <c r="E243" s="12"/>
    </row>
    <row r="244" spans="1:5">
      <c r="A244" s="10"/>
      <c r="B244" s="13" t="s">
        <v>2457</v>
      </c>
      <c r="C244" s="12">
        <v>136999</v>
      </c>
      <c r="D244" s="12"/>
      <c r="E244" s="12"/>
    </row>
    <row r="245" spans="1:5">
      <c r="A245" s="10" t="s">
        <v>2473</v>
      </c>
      <c r="B245" s="13" t="s">
        <v>2472</v>
      </c>
      <c r="C245" s="12"/>
      <c r="D245" s="12"/>
      <c r="E245" s="12">
        <v>150990</v>
      </c>
    </row>
    <row r="246" spans="1:5">
      <c r="A246" s="10"/>
      <c r="B246" s="13" t="s">
        <v>2428</v>
      </c>
      <c r="C246" s="12"/>
      <c r="D246" s="12"/>
      <c r="E246" s="12">
        <v>133051</v>
      </c>
    </row>
    <row r="247" spans="1:5">
      <c r="A247" s="10"/>
      <c r="B247" s="13" t="s">
        <v>2399</v>
      </c>
      <c r="C247" s="12"/>
      <c r="D247" s="12"/>
      <c r="E247" s="12">
        <v>159717.5</v>
      </c>
    </row>
    <row r="248" spans="1:5">
      <c r="A248" s="10"/>
      <c r="B248" s="13" t="s">
        <v>2400</v>
      </c>
      <c r="C248" s="12"/>
      <c r="D248" s="12"/>
      <c r="E248" s="12">
        <v>123595.6</v>
      </c>
    </row>
    <row r="249" spans="1:5">
      <c r="A249" s="10"/>
      <c r="B249" s="13" t="s">
        <v>2401</v>
      </c>
      <c r="C249" s="12"/>
      <c r="D249" s="12"/>
      <c r="E249" s="12">
        <v>136996</v>
      </c>
    </row>
    <row r="250" spans="1:5">
      <c r="A250" s="10"/>
      <c r="B250" s="13" t="s">
        <v>2402</v>
      </c>
      <c r="C250" s="12"/>
      <c r="D250" s="12"/>
      <c r="E250" s="12">
        <v>113990</v>
      </c>
    </row>
    <row r="251" spans="1:5">
      <c r="A251" s="10"/>
      <c r="B251" s="13" t="s">
        <v>2417</v>
      </c>
      <c r="C251" s="12"/>
      <c r="D251" s="12"/>
      <c r="E251" s="12">
        <v>102490</v>
      </c>
    </row>
    <row r="252" spans="1:5">
      <c r="A252" s="10"/>
      <c r="B252" s="13" t="s">
        <v>2419</v>
      </c>
      <c r="C252" s="12"/>
      <c r="D252" s="12"/>
      <c r="E252" s="12">
        <v>132990</v>
      </c>
    </row>
    <row r="253" spans="1:5">
      <c r="A253" s="10"/>
      <c r="B253" s="13" t="s">
        <v>2447</v>
      </c>
      <c r="C253" s="12"/>
      <c r="D253" s="12"/>
      <c r="E253" s="12">
        <v>84499</v>
      </c>
    </row>
    <row r="254" spans="1:5">
      <c r="A254" s="10"/>
      <c r="B254" s="13" t="s">
        <v>2422</v>
      </c>
      <c r="C254" s="12"/>
      <c r="D254" s="12"/>
      <c r="E254" s="12">
        <v>261990</v>
      </c>
    </row>
    <row r="255" spans="1:5">
      <c r="A255" s="10"/>
      <c r="B255" s="13" t="s">
        <v>2424</v>
      </c>
      <c r="C255" s="12"/>
      <c r="D255" s="12">
        <v>159990</v>
      </c>
      <c r="E255" s="12"/>
    </row>
    <row r="256" spans="1:5">
      <c r="A256" s="10"/>
      <c r="B256" s="13" t="s">
        <v>2474</v>
      </c>
      <c r="C256" s="12"/>
      <c r="D256" s="12">
        <v>80999</v>
      </c>
      <c r="E256" s="12"/>
    </row>
    <row r="257" spans="1:5">
      <c r="A257" s="10"/>
      <c r="B257" s="13" t="s">
        <v>2454</v>
      </c>
      <c r="C257" s="12">
        <v>232990</v>
      </c>
      <c r="D257" s="12"/>
      <c r="E257" s="12"/>
    </row>
    <row r="258" spans="1:5">
      <c r="A258" s="10" t="s">
        <v>2475</v>
      </c>
      <c r="B258" s="13" t="s">
        <v>2431</v>
      </c>
      <c r="C258" s="12"/>
      <c r="D258" s="12"/>
      <c r="E258" s="12">
        <v>73656.666666666672</v>
      </c>
    </row>
    <row r="259" spans="1:5">
      <c r="A259" s="10" t="s">
        <v>2476</v>
      </c>
      <c r="B259" s="13" t="s">
        <v>2472</v>
      </c>
      <c r="C259" s="12"/>
      <c r="D259" s="12"/>
      <c r="E259" s="12">
        <v>38990</v>
      </c>
    </row>
    <row r="260" spans="1:5">
      <c r="A260" s="10"/>
      <c r="B260" s="13" t="s">
        <v>2399</v>
      </c>
      <c r="C260" s="12"/>
      <c r="D260" s="12"/>
      <c r="E260" s="12">
        <v>112323.33333333333</v>
      </c>
    </row>
    <row r="261" spans="1:5">
      <c r="A261" s="10"/>
      <c r="B261" s="13" t="s">
        <v>2400</v>
      </c>
      <c r="C261" s="12"/>
      <c r="D261" s="12"/>
      <c r="E261" s="12">
        <v>116758.25</v>
      </c>
    </row>
    <row r="262" spans="1:5">
      <c r="A262" s="10"/>
      <c r="B262" s="13" t="s">
        <v>2401</v>
      </c>
      <c r="C262" s="12"/>
      <c r="D262" s="12"/>
      <c r="E262" s="12">
        <v>92689.65</v>
      </c>
    </row>
    <row r="263" spans="1:5">
      <c r="A263" s="10"/>
      <c r="B263" s="13" t="s">
        <v>2431</v>
      </c>
      <c r="C263" s="12"/>
      <c r="D263" s="12"/>
      <c r="E263" s="12">
        <v>68996.75</v>
      </c>
    </row>
    <row r="264" spans="1:5">
      <c r="A264" s="10"/>
      <c r="B264" s="13" t="s">
        <v>2477</v>
      </c>
      <c r="C264" s="12"/>
      <c r="D264" s="12"/>
      <c r="E264" s="12">
        <v>38990</v>
      </c>
    </row>
    <row r="265" spans="1:5">
      <c r="A265" s="10"/>
      <c r="B265" s="13" t="s">
        <v>2402</v>
      </c>
      <c r="C265" s="12"/>
      <c r="D265" s="12"/>
      <c r="E265" s="12">
        <v>69326.333333333328</v>
      </c>
    </row>
    <row r="266" spans="1:5">
      <c r="A266" s="10"/>
      <c r="B266" s="13" t="s">
        <v>2403</v>
      </c>
      <c r="C266" s="12"/>
      <c r="D266" s="12"/>
      <c r="E266" s="12">
        <v>70855.142857142855</v>
      </c>
    </row>
    <row r="267" spans="1:5">
      <c r="A267" s="10"/>
      <c r="B267" s="13" t="s">
        <v>2404</v>
      </c>
      <c r="C267" s="12"/>
      <c r="D267" s="12"/>
      <c r="E267" s="12">
        <v>122160.5</v>
      </c>
    </row>
    <row r="268" spans="1:5">
      <c r="A268" s="10"/>
      <c r="B268" s="13" t="s">
        <v>2405</v>
      </c>
      <c r="C268" s="12"/>
      <c r="D268" s="12"/>
      <c r="E268" s="12">
        <v>85675.4</v>
      </c>
    </row>
    <row r="269" spans="1:5">
      <c r="A269" s="10"/>
      <c r="B269" s="13" t="s">
        <v>2406</v>
      </c>
      <c r="C269" s="12"/>
      <c r="D269" s="12"/>
      <c r="E269" s="12">
        <v>42960</v>
      </c>
    </row>
    <row r="270" spans="1:5">
      <c r="A270" s="10"/>
      <c r="B270" s="13" t="s">
        <v>2407</v>
      </c>
      <c r="C270" s="12"/>
      <c r="D270" s="12"/>
      <c r="E270" s="12">
        <v>54591.8</v>
      </c>
    </row>
    <row r="271" spans="1:5">
      <c r="A271" s="10"/>
      <c r="B271" s="13" t="s">
        <v>2468</v>
      </c>
      <c r="C271" s="12"/>
      <c r="D271" s="12"/>
      <c r="E271" s="12">
        <v>65490</v>
      </c>
    </row>
    <row r="272" spans="1:5">
      <c r="A272" s="10"/>
      <c r="B272" s="13" t="s">
        <v>2439</v>
      </c>
      <c r="C272" s="12"/>
      <c r="D272" s="12"/>
      <c r="E272" s="12">
        <v>56130</v>
      </c>
    </row>
    <row r="273" spans="1:5">
      <c r="A273" s="10"/>
      <c r="B273" s="13" t="s">
        <v>2440</v>
      </c>
      <c r="C273" s="12"/>
      <c r="D273" s="12"/>
      <c r="E273" s="12">
        <v>50999</v>
      </c>
    </row>
    <row r="274" spans="1:5">
      <c r="A274" s="10"/>
      <c r="B274" s="13" t="s">
        <v>2408</v>
      </c>
      <c r="C274" s="12"/>
      <c r="D274" s="12"/>
      <c r="E274" s="12">
        <v>59375.333333333336</v>
      </c>
    </row>
    <row r="275" spans="1:5">
      <c r="A275" s="10"/>
      <c r="B275" s="13" t="s">
        <v>2409</v>
      </c>
      <c r="C275" s="12"/>
      <c r="D275" s="12"/>
      <c r="E275" s="12">
        <v>125549.8</v>
      </c>
    </row>
    <row r="276" spans="1:5">
      <c r="A276" s="10"/>
      <c r="B276" s="13" t="s">
        <v>2410</v>
      </c>
      <c r="C276" s="12"/>
      <c r="D276" s="12"/>
      <c r="E276" s="12">
        <v>92390</v>
      </c>
    </row>
    <row r="277" spans="1:5">
      <c r="A277" s="10"/>
      <c r="B277" s="13" t="s">
        <v>2411</v>
      </c>
      <c r="C277" s="12"/>
      <c r="D277" s="12"/>
      <c r="E277" s="12">
        <v>81535.333333333328</v>
      </c>
    </row>
    <row r="278" spans="1:5">
      <c r="A278" s="10"/>
      <c r="B278" s="13" t="s">
        <v>2412</v>
      </c>
      <c r="C278" s="12"/>
      <c r="D278" s="12"/>
      <c r="E278" s="12">
        <v>42999</v>
      </c>
    </row>
    <row r="279" spans="1:5">
      <c r="A279" s="10"/>
      <c r="B279" s="13" t="s">
        <v>2413</v>
      </c>
      <c r="C279" s="12"/>
      <c r="D279" s="12"/>
      <c r="E279" s="12">
        <v>49940</v>
      </c>
    </row>
    <row r="280" spans="1:5">
      <c r="A280" s="10"/>
      <c r="B280" s="13" t="s">
        <v>2442</v>
      </c>
      <c r="C280" s="12"/>
      <c r="D280" s="12"/>
      <c r="E280" s="12">
        <v>71555.333333333328</v>
      </c>
    </row>
    <row r="281" spans="1:5">
      <c r="A281" s="10"/>
      <c r="B281" s="13" t="s">
        <v>2415</v>
      </c>
      <c r="C281" s="12"/>
      <c r="D281" s="12"/>
      <c r="E281" s="12">
        <v>132851.66666666666</v>
      </c>
    </row>
    <row r="282" spans="1:5">
      <c r="A282" s="10"/>
      <c r="B282" s="13" t="s">
        <v>2416</v>
      </c>
      <c r="C282" s="12"/>
      <c r="D282" s="12"/>
      <c r="E282" s="12">
        <v>67495.8</v>
      </c>
    </row>
    <row r="283" spans="1:5">
      <c r="A283" s="10"/>
      <c r="B283" s="13" t="s">
        <v>2417</v>
      </c>
      <c r="C283" s="12"/>
      <c r="D283" s="12"/>
      <c r="E283" s="12">
        <v>71830.363636363632</v>
      </c>
    </row>
    <row r="284" spans="1:5">
      <c r="A284" s="10"/>
      <c r="B284" s="13" t="s">
        <v>2444</v>
      </c>
      <c r="C284" s="12"/>
      <c r="D284" s="12"/>
      <c r="E284" s="12">
        <v>149216</v>
      </c>
    </row>
    <row r="285" spans="1:5">
      <c r="A285" s="10"/>
      <c r="B285" s="13" t="s">
        <v>2419</v>
      </c>
      <c r="C285" s="12"/>
      <c r="D285" s="12"/>
      <c r="E285" s="12">
        <v>67510</v>
      </c>
    </row>
    <row r="286" spans="1:5">
      <c r="A286" s="10"/>
      <c r="B286" s="13" t="s">
        <v>2420</v>
      </c>
      <c r="C286" s="12"/>
      <c r="D286" s="12"/>
      <c r="E286" s="12">
        <v>121468.85714285714</v>
      </c>
    </row>
    <row r="287" spans="1:5">
      <c r="A287" s="10"/>
      <c r="B287" s="13" t="s">
        <v>2450</v>
      </c>
      <c r="C287" s="12"/>
      <c r="D287" s="12"/>
      <c r="E287" s="12">
        <v>40944.5</v>
      </c>
    </row>
    <row r="288" spans="1:5">
      <c r="A288" s="10"/>
      <c r="B288" s="13" t="s">
        <v>2424</v>
      </c>
      <c r="C288" s="12"/>
      <c r="D288" s="12">
        <v>77992.25</v>
      </c>
      <c r="E288" s="12"/>
    </row>
    <row r="289" spans="1:5">
      <c r="A289" s="10"/>
      <c r="B289" s="13" t="s">
        <v>2454</v>
      </c>
      <c r="C289" s="12">
        <v>44990</v>
      </c>
      <c r="D289" s="12"/>
      <c r="E289" s="12"/>
    </row>
    <row r="290" spans="1:5">
      <c r="A290" s="10"/>
      <c r="B290" s="13" t="s">
        <v>2455</v>
      </c>
      <c r="C290" s="12">
        <v>277411</v>
      </c>
      <c r="D290" s="12"/>
      <c r="E290" s="12"/>
    </row>
    <row r="291" spans="1:5">
      <c r="A291" s="10" t="s">
        <v>2478</v>
      </c>
      <c r="B291" s="13" t="s">
        <v>2415</v>
      </c>
      <c r="C291" s="12"/>
      <c r="D291" s="12"/>
      <c r="E291" s="12">
        <v>20494.5</v>
      </c>
    </row>
    <row r="292" spans="1:5">
      <c r="A292" s="10" t="s">
        <v>2479</v>
      </c>
      <c r="B292" s="13" t="s">
        <v>2400</v>
      </c>
      <c r="C292" s="12"/>
      <c r="D292" s="12"/>
      <c r="E292" s="12">
        <v>126133.6</v>
      </c>
    </row>
    <row r="293" spans="1:5">
      <c r="A293" s="10"/>
      <c r="B293" s="13" t="s">
        <v>2401</v>
      </c>
      <c r="C293" s="12"/>
      <c r="D293" s="12"/>
      <c r="E293" s="12">
        <v>84353.600000000006</v>
      </c>
    </row>
    <row r="294" spans="1:5">
      <c r="A294" s="10"/>
      <c r="B294" s="13" t="s">
        <v>2431</v>
      </c>
      <c r="C294" s="12"/>
      <c r="D294" s="12"/>
      <c r="E294" s="12">
        <v>54490</v>
      </c>
    </row>
    <row r="295" spans="1:5">
      <c r="A295" s="10"/>
      <c r="B295" s="13" t="s">
        <v>2403</v>
      </c>
      <c r="C295" s="12"/>
      <c r="D295" s="12"/>
      <c r="E295" s="12">
        <v>66490</v>
      </c>
    </row>
    <row r="296" spans="1:5">
      <c r="A296" s="10"/>
      <c r="B296" s="13" t="s">
        <v>2407</v>
      </c>
      <c r="C296" s="12"/>
      <c r="D296" s="12"/>
      <c r="E296" s="12">
        <v>151659.66666666666</v>
      </c>
    </row>
    <row r="297" spans="1:5">
      <c r="A297" s="10"/>
      <c r="B297" s="13" t="s">
        <v>2409</v>
      </c>
      <c r="C297" s="12"/>
      <c r="D297" s="12"/>
      <c r="E297" s="12">
        <v>55194</v>
      </c>
    </row>
    <row r="298" spans="1:5">
      <c r="A298" s="10"/>
      <c r="B298" s="13" t="s">
        <v>2410</v>
      </c>
      <c r="C298" s="12"/>
      <c r="D298" s="12"/>
      <c r="E298" s="12">
        <v>118326.33333333333</v>
      </c>
    </row>
    <row r="299" spans="1:5">
      <c r="A299" s="10"/>
      <c r="B299" s="13" t="s">
        <v>2415</v>
      </c>
      <c r="C299" s="12"/>
      <c r="D299" s="12"/>
      <c r="E299" s="12">
        <v>106494.5</v>
      </c>
    </row>
    <row r="300" spans="1:5">
      <c r="A300" s="10"/>
      <c r="B300" s="13" t="s">
        <v>2417</v>
      </c>
      <c r="C300" s="12"/>
      <c r="D300" s="12"/>
      <c r="E300" s="12">
        <v>67199</v>
      </c>
    </row>
    <row r="301" spans="1:5">
      <c r="A301" s="10"/>
      <c r="B301" s="13" t="s">
        <v>2418</v>
      </c>
      <c r="C301" s="12"/>
      <c r="D301" s="12"/>
      <c r="E301" s="12">
        <v>181990</v>
      </c>
    </row>
    <row r="302" spans="1:5">
      <c r="A302" s="10"/>
      <c r="B302" s="13" t="s">
        <v>2419</v>
      </c>
      <c r="C302" s="12"/>
      <c r="D302" s="12"/>
      <c r="E302" s="12">
        <v>171990</v>
      </c>
    </row>
    <row r="303" spans="1:5">
      <c r="A303" s="10"/>
      <c r="B303" s="13" t="s">
        <v>2420</v>
      </c>
      <c r="C303" s="12"/>
      <c r="D303" s="12"/>
      <c r="E303" s="12">
        <v>102431.18181818182</v>
      </c>
    </row>
    <row r="304" spans="1:5">
      <c r="A304" s="10"/>
      <c r="B304" s="13" t="s">
        <v>2424</v>
      </c>
      <c r="C304" s="12"/>
      <c r="D304" s="12">
        <v>141990</v>
      </c>
      <c r="E304" s="12"/>
    </row>
    <row r="305" spans="1:5">
      <c r="A305" s="10" t="s">
        <v>2480</v>
      </c>
      <c r="B305" s="13" t="s">
        <v>2423</v>
      </c>
      <c r="C305" s="12"/>
      <c r="D305" s="12">
        <v>16990</v>
      </c>
      <c r="E305" s="12"/>
    </row>
    <row r="306" spans="1:5">
      <c r="A306" s="10"/>
      <c r="B306" s="13" t="s">
        <v>2424</v>
      </c>
      <c r="C306" s="12"/>
      <c r="D306" s="12">
        <v>31330</v>
      </c>
      <c r="E306" s="12"/>
    </row>
    <row r="307" spans="1:5">
      <c r="A307" s="10"/>
      <c r="B307" s="13" t="s">
        <v>2452</v>
      </c>
      <c r="C307" s="12"/>
      <c r="D307" s="12">
        <v>14390</v>
      </c>
      <c r="E307" s="12"/>
    </row>
    <row r="308" spans="1:5">
      <c r="A308" s="10" t="s">
        <v>2481</v>
      </c>
      <c r="B308" s="13" t="s">
        <v>2416</v>
      </c>
      <c r="C308" s="12"/>
      <c r="D308" s="12"/>
      <c r="E308" s="12">
        <v>43749</v>
      </c>
    </row>
    <row r="309" spans="1:5">
      <c r="A309" s="10" t="s">
        <v>2482</v>
      </c>
      <c r="B309" s="13" t="s">
        <v>2418</v>
      </c>
      <c r="C309" s="12"/>
      <c r="D309" s="12"/>
      <c r="E309" s="12">
        <v>53665.666666666664</v>
      </c>
    </row>
    <row r="310" spans="1:5">
      <c r="A310" s="10"/>
      <c r="B310" s="13" t="s">
        <v>2420</v>
      </c>
      <c r="C310" s="12"/>
      <c r="D310" s="12"/>
      <c r="E310" s="12">
        <v>23999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7C39-5989-4D23-8D07-F184D22EF04F}">
  <dimension ref="A1"/>
  <sheetViews>
    <sheetView workbookViewId="0">
      <selection activeCell="O8" sqref="O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Tazim</cp:lastModifiedBy>
  <cp:revision/>
  <dcterms:created xsi:type="dcterms:W3CDTF">2026-04-10T10:49:00Z</dcterms:created>
  <dcterms:modified xsi:type="dcterms:W3CDTF">2026-04-10T18:28:01Z</dcterms:modified>
  <cp:category/>
  <cp:contentStatus/>
</cp:coreProperties>
</file>